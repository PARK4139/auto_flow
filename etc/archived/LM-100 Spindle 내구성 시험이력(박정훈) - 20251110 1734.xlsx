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1BC48CC8-0C96-463E-9FAE-4C5C5BC0AAAB}" xr6:coauthVersionLast="47" xr6:coauthVersionMax="47" xr10:uidLastSave="{00000000-0000-0000-0000-000000000000}"/>
  <bookViews>
    <workbookView xWindow="-110" yWindow="-110" windowWidth="25820" windowHeight="15500" firstSheet="1" activeTab="3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상수" sheetId="10" r:id="rId8"/>
    <sheet name="작성 EX" sheetId="14" r:id="rId9"/>
  </sheets>
  <definedNames>
    <definedName name="_xlnm._FilterDatabase" localSheetId="1" hidden="1">'ES#8'!$A$2:$AQ$6</definedName>
    <definedName name="_xlnm._FilterDatabase" localSheetId="2" hidden="1">'ES#9'!$A$2:$AQ$6</definedName>
    <definedName name="_xlnm._FilterDatabase" localSheetId="3" hidden="1">'PP#2'!$A$2:$AQ$6</definedName>
    <definedName name="_xlnm._FilterDatabase" localSheetId="4" hidden="1">'PP#3'!$A$2:$AQ$6</definedName>
    <definedName name="_xlnm._FilterDatabase" localSheetId="5" hidden="1">'PP#4'!$A$2:$AQ$6</definedName>
    <definedName name="_xlnm._FilterDatabase" localSheetId="6" hidden="1">'PP#5'!$A$2:$AQ$6</definedName>
    <definedName name="_xlnm._FilterDatabase" localSheetId="8" hidden="1">'작성 EX'!$A$2:$AQ$6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0" i="16" l="1"/>
  <c r="AE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K10" i="16"/>
  <c r="AF10" i="17"/>
  <c r="AE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K10" i="17"/>
  <c r="AF10" i="15"/>
  <c r="AE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K10" i="15"/>
  <c r="M11" i="2"/>
  <c r="K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E11" i="2"/>
  <c r="AF11" i="2"/>
  <c r="AF10" i="19"/>
  <c r="AE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K10" i="19"/>
  <c r="AF9" i="19"/>
  <c r="AE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K9" i="19"/>
  <c r="AF8" i="19"/>
  <c r="AE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K8" i="19"/>
  <c r="AF7" i="19"/>
  <c r="AE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K7" i="19"/>
  <c r="AF10" i="18"/>
  <c r="AE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K10" i="18"/>
  <c r="AF9" i="18"/>
  <c r="AE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K9" i="18"/>
  <c r="AF8" i="18"/>
  <c r="AE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K8" i="18"/>
  <c r="AF7" i="18"/>
  <c r="AE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K7" i="18"/>
  <c r="AF11" i="17"/>
  <c r="AE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K11" i="17"/>
  <c r="AF9" i="17"/>
  <c r="AE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K9" i="17"/>
  <c r="AF8" i="17"/>
  <c r="AE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K8" i="17"/>
  <c r="AF7" i="17"/>
  <c r="AE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K7" i="17"/>
  <c r="AF11" i="16"/>
  <c r="AE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K11" i="16"/>
  <c r="AF9" i="16"/>
  <c r="AE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K9" i="16"/>
  <c r="AF8" i="16"/>
  <c r="AE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K8" i="16"/>
  <c r="AF7" i="16"/>
  <c r="AE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K7" i="16"/>
  <c r="AF11" i="15"/>
  <c r="AE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K11" i="15"/>
  <c r="AF9" i="15"/>
  <c r="AE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K9" i="15"/>
  <c r="AF8" i="15"/>
  <c r="AE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K8" i="15"/>
  <c r="AF7" i="15"/>
  <c r="AE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K7" i="15"/>
  <c r="K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E9" i="2"/>
  <c r="AF9" i="2"/>
  <c r="K8" i="2"/>
  <c r="K10" i="2"/>
  <c r="M7" i="2"/>
  <c r="AE214" i="14"/>
  <c r="AA214" i="14"/>
  <c r="Z214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K214" i="14"/>
  <c r="AE213" i="14"/>
  <c r="AA213" i="14"/>
  <c r="Z213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K213" i="14"/>
  <c r="AE212" i="14"/>
  <c r="AA212" i="14"/>
  <c r="Z212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K212" i="14"/>
  <c r="AE211" i="14"/>
  <c r="AA211" i="14"/>
  <c r="Z211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K211" i="14"/>
  <c r="AE210" i="14"/>
  <c r="AA210" i="14"/>
  <c r="Z210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K210" i="14"/>
  <c r="AE209" i="14"/>
  <c r="AA209" i="14"/>
  <c r="Z209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K209" i="14"/>
  <c r="AE208" i="14"/>
  <c r="AA208" i="14"/>
  <c r="Z208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K208" i="14"/>
  <c r="AE207" i="14"/>
  <c r="AA207" i="14"/>
  <c r="Z207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K207" i="14"/>
  <c r="AE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K206" i="14"/>
  <c r="AE205" i="14"/>
  <c r="AA205" i="14"/>
  <c r="Z205" i="14"/>
  <c r="Y205" i="14"/>
  <c r="X205" i="14"/>
  <c r="W205" i="14"/>
  <c r="V205" i="14"/>
  <c r="U205" i="14"/>
  <c r="T205" i="14"/>
  <c r="S205" i="14"/>
  <c r="R205" i="14"/>
  <c r="Q205" i="14"/>
  <c r="P205" i="14"/>
  <c r="O205" i="14"/>
  <c r="N205" i="14"/>
  <c r="M205" i="14"/>
  <c r="K205" i="14"/>
  <c r="AE204" i="14"/>
  <c r="AA204" i="14"/>
  <c r="Z204" i="14"/>
  <c r="Y204" i="14"/>
  <c r="X204" i="14"/>
  <c r="W204" i="14"/>
  <c r="V204" i="14"/>
  <c r="U204" i="14"/>
  <c r="T204" i="14"/>
  <c r="S204" i="14"/>
  <c r="R204" i="14"/>
  <c r="Q204" i="14"/>
  <c r="P204" i="14"/>
  <c r="O204" i="14"/>
  <c r="N204" i="14"/>
  <c r="M204" i="14"/>
  <c r="K204" i="14"/>
  <c r="AE203" i="14"/>
  <c r="AA203" i="14"/>
  <c r="Z203" i="14"/>
  <c r="Y203" i="14"/>
  <c r="X203" i="14"/>
  <c r="W203" i="14"/>
  <c r="V203" i="14"/>
  <c r="U203" i="14"/>
  <c r="T203" i="14"/>
  <c r="S203" i="14"/>
  <c r="R203" i="14"/>
  <c r="Q203" i="14"/>
  <c r="P203" i="14"/>
  <c r="O203" i="14"/>
  <c r="N203" i="14"/>
  <c r="M203" i="14"/>
  <c r="K203" i="14"/>
  <c r="AE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K202" i="14"/>
  <c r="AE201" i="14"/>
  <c r="AA201" i="14"/>
  <c r="Z201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K201" i="14"/>
  <c r="AE200" i="14"/>
  <c r="AA200" i="14"/>
  <c r="Z200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K200" i="14"/>
  <c r="AE199" i="14"/>
  <c r="AA199" i="14"/>
  <c r="Z199" i="14"/>
  <c r="Y199" i="14"/>
  <c r="X199" i="14"/>
  <c r="W199" i="14"/>
  <c r="V199" i="14"/>
  <c r="U199" i="14"/>
  <c r="T199" i="14"/>
  <c r="S199" i="14"/>
  <c r="R199" i="14"/>
  <c r="Q199" i="14"/>
  <c r="P199" i="14"/>
  <c r="O199" i="14"/>
  <c r="N199" i="14"/>
  <c r="M199" i="14"/>
  <c r="K199" i="14"/>
  <c r="AE198" i="14"/>
  <c r="AA198" i="14"/>
  <c r="Z198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K198" i="14"/>
  <c r="AE197" i="14"/>
  <c r="AA197" i="14"/>
  <c r="Z197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K197" i="14"/>
  <c r="AE196" i="14"/>
  <c r="AA196" i="14"/>
  <c r="Z196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K196" i="14"/>
  <c r="AE195" i="14"/>
  <c r="AA195" i="14"/>
  <c r="Z195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K195" i="14"/>
  <c r="AE194" i="14"/>
  <c r="AA194" i="14"/>
  <c r="Z194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K194" i="14"/>
  <c r="AE193" i="14"/>
  <c r="AA193" i="14"/>
  <c r="Z193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K193" i="14"/>
  <c r="AE192" i="14"/>
  <c r="AA192" i="14"/>
  <c r="Z192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K192" i="14"/>
  <c r="AE191" i="14"/>
  <c r="AA191" i="14"/>
  <c r="Z191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K191" i="14"/>
  <c r="AE190" i="14"/>
  <c r="AA19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K190" i="14"/>
  <c r="AE189" i="14"/>
  <c r="AA189" i="14"/>
  <c r="Z189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K189" i="14"/>
  <c r="AE188" i="14"/>
  <c r="AA188" i="14"/>
  <c r="Z188" i="14"/>
  <c r="Y188" i="14"/>
  <c r="X188" i="14"/>
  <c r="W188" i="14"/>
  <c r="V188" i="14"/>
  <c r="U188" i="14"/>
  <c r="T188" i="14"/>
  <c r="S188" i="14"/>
  <c r="R188" i="14"/>
  <c r="Q188" i="14"/>
  <c r="P188" i="14"/>
  <c r="O188" i="14"/>
  <c r="N188" i="14"/>
  <c r="M188" i="14"/>
  <c r="K188" i="14"/>
  <c r="AE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K187" i="14"/>
  <c r="AE186" i="14"/>
  <c r="AA186" i="14"/>
  <c r="Z186" i="14"/>
  <c r="Y186" i="14"/>
  <c r="X186" i="14"/>
  <c r="W186" i="14"/>
  <c r="V186" i="14"/>
  <c r="U186" i="14"/>
  <c r="T186" i="14"/>
  <c r="S186" i="14"/>
  <c r="R186" i="14"/>
  <c r="Q186" i="14"/>
  <c r="P186" i="14"/>
  <c r="O186" i="14"/>
  <c r="N186" i="14"/>
  <c r="M186" i="14"/>
  <c r="K186" i="14"/>
  <c r="AE185" i="14"/>
  <c r="AA185" i="14"/>
  <c r="Z185" i="14"/>
  <c r="Y185" i="14"/>
  <c r="X185" i="14"/>
  <c r="W185" i="14"/>
  <c r="V185" i="14"/>
  <c r="U185" i="14"/>
  <c r="T185" i="14"/>
  <c r="S185" i="14"/>
  <c r="R185" i="14"/>
  <c r="Q185" i="14"/>
  <c r="P185" i="14"/>
  <c r="O185" i="14"/>
  <c r="N185" i="14"/>
  <c r="M185" i="14"/>
  <c r="K185" i="14"/>
  <c r="AE184" i="14"/>
  <c r="AA184" i="14"/>
  <c r="Z184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K184" i="14"/>
  <c r="AE183" i="14"/>
  <c r="AA183" i="14"/>
  <c r="Z183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K183" i="14"/>
  <c r="AE182" i="14"/>
  <c r="AA182" i="14"/>
  <c r="Z182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K182" i="14"/>
  <c r="AE181" i="14"/>
  <c r="AA181" i="14"/>
  <c r="Z181" i="14"/>
  <c r="Y181" i="14"/>
  <c r="X181" i="14"/>
  <c r="W181" i="14"/>
  <c r="V181" i="14"/>
  <c r="U181" i="14"/>
  <c r="T181" i="14"/>
  <c r="S181" i="14"/>
  <c r="R181" i="14"/>
  <c r="Q181" i="14"/>
  <c r="P181" i="14"/>
  <c r="O181" i="14"/>
  <c r="N181" i="14"/>
  <c r="M181" i="14"/>
  <c r="K181" i="14"/>
  <c r="AE180" i="14"/>
  <c r="AA180" i="14"/>
  <c r="Z180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K180" i="14"/>
  <c r="AE179" i="14"/>
  <c r="AA179" i="14"/>
  <c r="Z179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K179" i="14"/>
  <c r="AE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K178" i="14"/>
  <c r="AE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K177" i="14"/>
  <c r="AE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K176" i="14"/>
  <c r="AE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K175" i="14"/>
  <c r="AE174" i="14"/>
  <c r="AA174" i="14"/>
  <c r="Z174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K174" i="14"/>
  <c r="AE173" i="14"/>
  <c r="AA173" i="14"/>
  <c r="Z173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K173" i="14"/>
  <c r="AE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K172" i="14"/>
  <c r="AE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K171" i="14"/>
  <c r="AE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K170" i="14"/>
  <c r="AE169" i="14"/>
  <c r="AA169" i="14"/>
  <c r="Z169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K169" i="14"/>
  <c r="AE168" i="14"/>
  <c r="AA168" i="14"/>
  <c r="Z168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K168" i="14"/>
  <c r="AE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K167" i="14"/>
  <c r="AE166" i="14"/>
  <c r="AA166" i="14"/>
  <c r="Z166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K166" i="14"/>
  <c r="AE165" i="14"/>
  <c r="AA165" i="14"/>
  <c r="Z165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K165" i="14"/>
  <c r="AE164" i="14"/>
  <c r="AA164" i="14"/>
  <c r="Z164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K164" i="14"/>
  <c r="AE163" i="14"/>
  <c r="AA163" i="14"/>
  <c r="Z163" i="14"/>
  <c r="Y163" i="14"/>
  <c r="X163" i="14"/>
  <c r="W163" i="14"/>
  <c r="V163" i="14"/>
  <c r="U163" i="14"/>
  <c r="T163" i="14"/>
  <c r="S163" i="14"/>
  <c r="R163" i="14"/>
  <c r="Q163" i="14"/>
  <c r="P163" i="14"/>
  <c r="O163" i="14"/>
  <c r="N163" i="14"/>
  <c r="M163" i="14"/>
  <c r="K163" i="14"/>
  <c r="AE162" i="14"/>
  <c r="AA162" i="14"/>
  <c r="Z162" i="14"/>
  <c r="Y162" i="14"/>
  <c r="X162" i="14"/>
  <c r="W162" i="14"/>
  <c r="V162" i="14"/>
  <c r="U162" i="14"/>
  <c r="T162" i="14"/>
  <c r="S162" i="14"/>
  <c r="R162" i="14"/>
  <c r="Q162" i="14"/>
  <c r="P162" i="14"/>
  <c r="O162" i="14"/>
  <c r="N162" i="14"/>
  <c r="M162" i="14"/>
  <c r="K162" i="14"/>
  <c r="AE161" i="14"/>
  <c r="AA161" i="14"/>
  <c r="Z161" i="14"/>
  <c r="Y161" i="14"/>
  <c r="X161" i="14"/>
  <c r="W161" i="14"/>
  <c r="V161" i="14"/>
  <c r="U161" i="14"/>
  <c r="T161" i="14"/>
  <c r="S161" i="14"/>
  <c r="R161" i="14"/>
  <c r="Q161" i="14"/>
  <c r="P161" i="14"/>
  <c r="O161" i="14"/>
  <c r="N161" i="14"/>
  <c r="M161" i="14"/>
  <c r="K161" i="14"/>
  <c r="AE160" i="14"/>
  <c r="AA160" i="14"/>
  <c r="Z160" i="14"/>
  <c r="Y160" i="14"/>
  <c r="X160" i="14"/>
  <c r="W160" i="14"/>
  <c r="V160" i="14"/>
  <c r="U160" i="14"/>
  <c r="T160" i="14"/>
  <c r="S160" i="14"/>
  <c r="R160" i="14"/>
  <c r="Q160" i="14"/>
  <c r="P160" i="14"/>
  <c r="O160" i="14"/>
  <c r="N160" i="14"/>
  <c r="M160" i="14"/>
  <c r="K160" i="14"/>
  <c r="AE159" i="14"/>
  <c r="AA159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K159" i="14"/>
  <c r="AE158" i="14"/>
  <c r="AA158" i="14"/>
  <c r="Z158" i="14"/>
  <c r="Y158" i="14"/>
  <c r="X158" i="14"/>
  <c r="W158" i="14"/>
  <c r="V158" i="14"/>
  <c r="U158" i="14"/>
  <c r="T158" i="14"/>
  <c r="S158" i="14"/>
  <c r="R158" i="14"/>
  <c r="Q158" i="14"/>
  <c r="P158" i="14"/>
  <c r="O158" i="14"/>
  <c r="N158" i="14"/>
  <c r="M158" i="14"/>
  <c r="K158" i="14"/>
  <c r="AE157" i="14"/>
  <c r="AA157" i="14"/>
  <c r="Z157" i="14"/>
  <c r="Y157" i="14"/>
  <c r="X157" i="14"/>
  <c r="W157" i="14"/>
  <c r="V157" i="14"/>
  <c r="U157" i="14"/>
  <c r="T157" i="14"/>
  <c r="S157" i="14"/>
  <c r="R157" i="14"/>
  <c r="Q157" i="14"/>
  <c r="P157" i="14"/>
  <c r="O157" i="14"/>
  <c r="N157" i="14"/>
  <c r="M157" i="14"/>
  <c r="K157" i="14"/>
  <c r="AE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K156" i="14"/>
  <c r="AE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K155" i="14"/>
  <c r="AE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K154" i="14"/>
  <c r="AE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K153" i="14"/>
  <c r="AE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K152" i="14"/>
  <c r="AE151" i="14"/>
  <c r="AA151" i="14"/>
  <c r="Z151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K151" i="14"/>
  <c r="AE150" i="14"/>
  <c r="AA150" i="14"/>
  <c r="Z150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K150" i="14"/>
  <c r="AE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K149" i="14"/>
  <c r="AE148" i="14"/>
  <c r="AA148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K148" i="14"/>
  <c r="AE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K147" i="14"/>
  <c r="AE146" i="14"/>
  <c r="AA146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K146" i="14"/>
  <c r="AE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K145" i="14"/>
  <c r="AE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K144" i="14"/>
  <c r="AE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K143" i="14"/>
  <c r="AE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K142" i="14"/>
  <c r="AE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K141" i="14"/>
  <c r="AE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K140" i="14"/>
  <c r="AE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K139" i="14"/>
  <c r="AE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K138" i="14"/>
  <c r="AE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K137" i="14"/>
  <c r="AE136" i="14"/>
  <c r="AA136" i="14"/>
  <c r="Z136" i="14"/>
  <c r="Y136" i="14"/>
  <c r="X136" i="14"/>
  <c r="W136" i="14"/>
  <c r="V136" i="14"/>
  <c r="U136" i="14"/>
  <c r="T136" i="14"/>
  <c r="S136" i="14"/>
  <c r="R136" i="14"/>
  <c r="Q136" i="14"/>
  <c r="P136" i="14"/>
  <c r="O136" i="14"/>
  <c r="N136" i="14"/>
  <c r="M136" i="14"/>
  <c r="K136" i="14"/>
  <c r="AE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K135" i="14"/>
  <c r="AE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K134" i="14"/>
  <c r="AE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K133" i="14"/>
  <c r="AE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K132" i="14"/>
  <c r="AE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K131" i="14"/>
  <c r="AE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K130" i="14"/>
  <c r="AE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K129" i="14"/>
  <c r="AE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K128" i="14"/>
  <c r="AE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K127" i="14"/>
  <c r="AE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K126" i="14"/>
  <c r="AE125" i="14"/>
  <c r="AA125" i="14"/>
  <c r="Z125" i="14"/>
  <c r="Y125" i="14"/>
  <c r="X125" i="14"/>
  <c r="W125" i="14"/>
  <c r="V125" i="14"/>
  <c r="U125" i="14"/>
  <c r="T125" i="14"/>
  <c r="S125" i="14"/>
  <c r="R125" i="14"/>
  <c r="Q125" i="14"/>
  <c r="P125" i="14"/>
  <c r="O125" i="14"/>
  <c r="N125" i="14"/>
  <c r="M125" i="14"/>
  <c r="K125" i="14"/>
  <c r="AE124" i="14"/>
  <c r="AA124" i="14"/>
  <c r="Z124" i="14"/>
  <c r="Y124" i="14"/>
  <c r="X124" i="14"/>
  <c r="W124" i="14"/>
  <c r="V124" i="14"/>
  <c r="U124" i="14"/>
  <c r="T124" i="14"/>
  <c r="S124" i="14"/>
  <c r="R124" i="14"/>
  <c r="Q124" i="14"/>
  <c r="P124" i="14"/>
  <c r="O124" i="14"/>
  <c r="N124" i="14"/>
  <c r="M124" i="14"/>
  <c r="K124" i="14"/>
  <c r="AE123" i="14"/>
  <c r="AA123" i="14"/>
  <c r="Z123" i="14"/>
  <c r="Y123" i="14"/>
  <c r="X123" i="14"/>
  <c r="W123" i="14"/>
  <c r="V123" i="14"/>
  <c r="U123" i="14"/>
  <c r="T123" i="14"/>
  <c r="S123" i="14"/>
  <c r="R123" i="14"/>
  <c r="Q123" i="14"/>
  <c r="P123" i="14"/>
  <c r="O123" i="14"/>
  <c r="N123" i="14"/>
  <c r="M123" i="14"/>
  <c r="K123" i="14"/>
  <c r="AE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K122" i="14"/>
  <c r="AE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K121" i="14"/>
  <c r="AE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K120" i="14"/>
  <c r="AE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K119" i="14"/>
  <c r="AE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K118" i="14"/>
  <c r="AE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K117" i="14"/>
  <c r="AE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K116" i="14"/>
  <c r="AE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K115" i="14"/>
  <c r="AE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K114" i="14"/>
  <c r="AE113" i="14"/>
  <c r="AA113" i="14"/>
  <c r="Z113" i="14"/>
  <c r="Y113" i="14"/>
  <c r="X113" i="14"/>
  <c r="W113" i="14"/>
  <c r="V113" i="14"/>
  <c r="U113" i="14"/>
  <c r="T113" i="14"/>
  <c r="S113" i="14"/>
  <c r="R113" i="14"/>
  <c r="Q113" i="14"/>
  <c r="P113" i="14"/>
  <c r="O113" i="14"/>
  <c r="N113" i="14"/>
  <c r="M113" i="14"/>
  <c r="K113" i="14"/>
  <c r="AE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K112" i="14"/>
  <c r="AE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K111" i="14"/>
  <c r="AE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K110" i="14"/>
  <c r="AE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K109" i="14"/>
  <c r="AE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K108" i="14"/>
  <c r="AE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K107" i="14"/>
  <c r="AE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K106" i="14"/>
  <c r="AE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K105" i="14"/>
  <c r="AE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K104" i="14"/>
  <c r="AE103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K103" i="14"/>
  <c r="AE102" i="14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K102" i="14"/>
  <c r="AE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K101" i="14"/>
  <c r="AE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K100" i="14"/>
  <c r="AE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K99" i="14"/>
  <c r="AE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K98" i="14"/>
  <c r="AE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K97" i="14"/>
  <c r="AE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K96" i="14"/>
  <c r="AE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K95" i="14"/>
  <c r="AE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K94" i="14"/>
  <c r="AE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K93" i="14"/>
  <c r="AE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K92" i="14"/>
  <c r="AE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K91" i="14"/>
  <c r="AE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K90" i="14"/>
  <c r="AE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K89" i="14"/>
  <c r="AE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K88" i="14"/>
  <c r="AE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K87" i="14"/>
  <c r="AE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K86" i="14"/>
  <c r="AE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K85" i="14"/>
  <c r="AE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K84" i="14"/>
  <c r="AE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K83" i="14"/>
  <c r="AE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K82" i="14"/>
  <c r="AE81" i="14"/>
  <c r="AA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K81" i="14"/>
  <c r="AE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K80" i="14"/>
  <c r="AE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K79" i="14"/>
  <c r="AE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K78" i="14"/>
  <c r="AE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K77" i="14"/>
  <c r="AE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K76" i="14"/>
  <c r="AE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K75" i="14"/>
  <c r="AE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K74" i="14"/>
  <c r="AE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K73" i="14"/>
  <c r="AE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K72" i="14"/>
  <c r="AE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K71" i="14"/>
  <c r="AE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K70" i="14"/>
  <c r="AE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K69" i="14"/>
  <c r="AE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K68" i="14"/>
  <c r="AE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K67" i="14"/>
  <c r="AE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K66" i="14"/>
  <c r="AE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K65" i="14"/>
  <c r="AE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K64" i="14"/>
  <c r="AE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K63" i="14"/>
  <c r="AE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K62" i="14"/>
  <c r="AE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K61" i="14"/>
  <c r="AE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K60" i="14"/>
  <c r="AE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K59" i="14"/>
  <c r="AE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K58" i="14"/>
  <c r="AE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K57" i="14"/>
  <c r="AE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K56" i="14"/>
  <c r="AE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K55" i="14"/>
  <c r="AE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K54" i="14"/>
  <c r="AE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K53" i="14"/>
  <c r="AE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K52" i="14"/>
  <c r="AE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K51" i="14"/>
  <c r="AE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K50" i="14"/>
  <c r="AE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K49" i="14"/>
  <c r="AE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K48" i="14"/>
  <c r="AE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K47" i="14"/>
  <c r="AE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K46" i="14"/>
  <c r="AE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K45" i="14"/>
  <c r="AE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K44" i="14"/>
  <c r="AE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K43" i="14"/>
  <c r="AE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K42" i="14"/>
  <c r="AE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K41" i="14"/>
  <c r="AE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K40" i="14"/>
  <c r="AE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K39" i="14"/>
  <c r="AE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K38" i="14"/>
  <c r="AE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K37" i="14"/>
  <c r="AE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K36" i="14"/>
  <c r="AE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K35" i="14"/>
  <c r="AE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K34" i="14"/>
  <c r="AE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K33" i="14"/>
  <c r="AE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K32" i="14"/>
  <c r="AE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K31" i="14"/>
  <c r="AE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K30" i="14"/>
  <c r="AE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K29" i="14"/>
  <c r="AE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K28" i="14"/>
  <c r="AE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K27" i="14"/>
  <c r="AE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K26" i="14"/>
  <c r="AE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K25" i="14"/>
  <c r="AE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K24" i="14"/>
  <c r="AE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K23" i="14"/>
  <c r="AE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K22" i="14"/>
  <c r="AE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K21" i="14"/>
  <c r="AF20" i="14"/>
  <c r="AE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K20" i="14"/>
  <c r="AF19" i="14"/>
  <c r="AE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K19" i="14"/>
  <c r="AF18" i="14"/>
  <c r="AE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K18" i="14"/>
  <c r="AF17" i="14"/>
  <c r="AE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K17" i="14"/>
  <c r="AF16" i="14"/>
  <c r="AE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K16" i="14"/>
  <c r="AF15" i="14"/>
  <c r="AE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K15" i="14"/>
  <c r="AF14" i="14"/>
  <c r="AE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K14" i="14"/>
  <c r="AF13" i="14"/>
  <c r="AE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K13" i="14"/>
  <c r="AF12" i="14"/>
  <c r="AE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K12" i="14"/>
  <c r="AF11" i="14"/>
  <c r="AE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K11" i="14"/>
  <c r="AF10" i="14"/>
  <c r="AE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K10" i="14"/>
  <c r="AF9" i="14"/>
  <c r="AE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K9" i="14"/>
  <c r="AF8" i="14"/>
  <c r="AE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K8" i="14"/>
  <c r="AF7" i="14"/>
  <c r="AE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K7" i="14"/>
  <c r="AF8" i="2"/>
  <c r="AF10" i="2"/>
  <c r="AF7" i="2"/>
  <c r="AE7" i="2"/>
  <c r="AE8" i="2"/>
  <c r="AE10" i="2"/>
  <c r="P10" i="2"/>
  <c r="P8" i="2"/>
  <c r="P7" i="2"/>
  <c r="O10" i="2"/>
  <c r="O8" i="2"/>
  <c r="O7" i="2"/>
  <c r="N10" i="2"/>
  <c r="N8" i="2"/>
  <c r="N7" i="2"/>
  <c r="M8" i="2"/>
  <c r="M10" i="2"/>
  <c r="Z8" i="2"/>
  <c r="Z10" i="2"/>
  <c r="Z7" i="2"/>
  <c r="AA7" i="2"/>
  <c r="AA8" i="2"/>
  <c r="AA10" i="2"/>
  <c r="W10" i="2"/>
  <c r="V10" i="2"/>
  <c r="U10" i="2"/>
  <c r="T10" i="2"/>
  <c r="S10" i="2"/>
  <c r="R10" i="2"/>
  <c r="Q10" i="2"/>
  <c r="W8" i="2"/>
  <c r="V8" i="2"/>
  <c r="U8" i="2"/>
  <c r="T8" i="2"/>
  <c r="S8" i="2"/>
  <c r="R8" i="2"/>
  <c r="Q8" i="2"/>
  <c r="W7" i="2"/>
  <c r="V7" i="2"/>
  <c r="U7" i="2"/>
  <c r="T7" i="2"/>
  <c r="S7" i="2"/>
  <c r="R7" i="2"/>
  <c r="Q7" i="2"/>
  <c r="X8" i="2"/>
  <c r="X10" i="2"/>
  <c r="X7" i="2"/>
  <c r="Y8" i="2"/>
  <c r="Y10" i="2"/>
  <c r="Y7" i="2"/>
  <c r="K7" i="2"/>
</calcChain>
</file>

<file path=xl/sharedStrings.xml><?xml version="1.0" encoding="utf-8"?>
<sst xmlns="http://schemas.openxmlformats.org/spreadsheetml/2006/main" count="883" uniqueCount="63">
  <si>
    <t>BUR 교체 : T1(중고), T4(중고)</t>
    <phoneticPr fontId="1" type="noConversion"/>
  </si>
  <si>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</si>
  <si>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</si>
  <si>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</si>
  <si>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</si>
  <si>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</si>
  <si>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</si>
  <si>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</si>
  <si>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</si>
  <si>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</si>
  <si>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</si>
  <si>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</si>
  <si>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</si>
  <si>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</si>
  <si>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장비 디스플레이에 "T4 OVER CURRENT" 시현</t>
    <phoneticPr fontId="1" type="noConversion"/>
  </si>
  <si>
    <t>시험 전 T1, T4 BUR 파손발견</t>
    <phoneticPr fontId="1" type="noConversion"/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</si>
  <si>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</si>
  <si>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</si>
  <si>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</si>
  <si>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</si>
  <si>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</si>
  <si>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가공시간(분단위 반올림)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</si>
  <si>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</si>
  <si>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</si>
  <si>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적용 가공물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</si>
  <si>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</si>
  <si>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</si>
  <si>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</si>
  <si>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</si>
  <si>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</si>
  <si>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</si>
  <si>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BUR 교체 → 시험진행</t>
  </si>
  <si>
    <t xml:space="preserve">BUR 교체 → 시험진행 </t>
  </si>
  <si>
    <t>RETRY 클릭 → 팝업닫힘 → 시험진행</t>
  </si>
  <si>
    <t>RETRY 클릭 → 팝업안닫힘 → 비정상UX흐름 판정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</si>
  <si>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</si>
  <si>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</si>
  <si>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</si>
  <si>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</si>
  <si>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</si>
  <si>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</si>
  <si>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</si>
  <si>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</si>
  <si>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 xml:space="preserve">조치: BUR 장착 → 시험진행 </t>
    <phoneticPr fontId="1" type="noConversion"/>
  </si>
  <si>
    <t>고정상수</t>
    <phoneticPr fontId="1" type="noConversion"/>
  </si>
  <si>
    <t>실험상수</t>
    <phoneticPr fontId="1" type="noConversion"/>
  </si>
  <si>
    <t>35000 RPM Current(min-max) and 스핀들 소음</t>
    <phoneticPr fontId="1" type="noConversion"/>
  </si>
  <si>
    <t>버교체/15가공</t>
    <phoneticPr fontId="1" type="noConversion"/>
  </si>
  <si>
    <t>권장 버교체 주기</t>
    <phoneticPr fontId="1" type="noConversion"/>
  </si>
  <si>
    <t>기대</t>
    <phoneticPr fontId="1" type="noConversion"/>
  </si>
  <si>
    <t>실험가정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</si>
  <si>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</si>
  <si>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</si>
  <si>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</si>
  <si>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</si>
  <si>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적용 BUR</t>
    <phoneticPr fontId="1" type="noConversion"/>
  </si>
  <si>
    <t>산출 결과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</si>
  <si>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</si>
  <si>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</si>
  <si>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</si>
  <si>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</si>
  <si>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19분</t>
    <phoneticPr fontId="1" type="noConversion"/>
  </si>
  <si>
    <t>21분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</si>
</sst>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2" borderId="16" applyNumberFormat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3" fillId="2" borderId="1" xfId="1" applyFont="1" applyFill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3" fillId="5" borderId="8" xfId="1" applyFont="1" applyFill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0" fillId="0" borderId="1" xfId="0" applyBorder="1">
      <alignment vertical="center"/>
    </xf>
    <xf numFmtId="0" fontId="3" fillId="0" borderId="14" xfId="1" applyFont="1" applyBorder="1">
      <alignment vertical="center"/>
    </xf>
    <xf numFmtId="0" fontId="8" fillId="2" borderId="16" xfId="2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3">
    <cellStyle name="계산" xfId="2" builtinId="22"/>
    <cellStyle name="설명 텍스트" xfId="1" builtinId="53"/>
    <cellStyle name="표준" xfId="0" builtinId="0"/>
  </cellStyles>
  <dxfs count="62"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13</v>
      </c>
    </row>
    <row r="5" spans="3:4" x14ac:dyDescent="0.45">
      <c r="D5" t="s">
        <v>8</v>
      </c>
    </row>
    <row r="6" spans="3:4" x14ac:dyDescent="0.45">
      <c r="D6" t="s">
        <v>7</v>
      </c>
    </row>
    <row r="8" spans="3:4" x14ac:dyDescent="0.45">
      <c r="D8" t="s">
        <v>9</v>
      </c>
    </row>
    <row r="9" spans="3:4" x14ac:dyDescent="0.45">
      <c r="D9" t="s">
        <v>7</v>
      </c>
    </row>
    <row r="10" spans="3:4" x14ac:dyDescent="0.45">
      <c r="D10" t="s">
        <v>1</v>
      </c>
    </row>
    <row r="11" spans="3:4" x14ac:dyDescent="0.45">
      <c r="D1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dimension ref="A1:AQ11"/>
  <sheetViews>
    <sheetView zoomScale="67" workbookViewId="0">
      <selection activeCell="A10" sqref="A10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</row>
    <row r="2" spans="1:43" x14ac:dyDescent="0.45">
      <c r="A2" s="40" t="s">
        <v>12</v>
      </c>
      <c r="B2" s="40" t="s">
        <v>55</v>
      </c>
      <c r="C2" s="40"/>
      <c r="D2" s="40"/>
      <c r="E2" s="40"/>
      <c r="F2" s="23"/>
      <c r="G2" s="41" t="s">
        <v>24</v>
      </c>
      <c r="H2" s="42"/>
      <c r="I2" s="42"/>
      <c r="J2" s="43"/>
      <c r="K2" s="50" t="s">
        <v>45</v>
      </c>
      <c r="L2" s="53" t="s">
        <v>36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53" t="s">
        <v>11</v>
      </c>
      <c r="AC2" s="55"/>
      <c r="AD2" s="61" t="s">
        <v>56</v>
      </c>
      <c r="AE2" s="62"/>
      <c r="AF2" s="62"/>
      <c r="AG2" s="62"/>
      <c r="AH2" s="63"/>
    </row>
    <row r="3" spans="1:43" x14ac:dyDescent="0.45">
      <c r="A3" s="40"/>
      <c r="B3" s="40"/>
      <c r="C3" s="40"/>
      <c r="D3" s="40"/>
      <c r="E3" s="40"/>
      <c r="F3" s="24"/>
      <c r="G3" s="44"/>
      <c r="H3" s="45"/>
      <c r="I3" s="45"/>
      <c r="J3" s="46"/>
      <c r="K3" s="51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9"/>
      <c r="AC3" s="60"/>
      <c r="AD3" s="64"/>
      <c r="AE3" s="65"/>
      <c r="AF3" s="65"/>
      <c r="AG3" s="65"/>
      <c r="AH3" s="66"/>
    </row>
    <row r="4" spans="1:43" x14ac:dyDescent="0.45">
      <c r="A4" s="40"/>
      <c r="B4" s="40"/>
      <c r="C4" s="40"/>
      <c r="D4" s="40"/>
      <c r="E4" s="40"/>
      <c r="F4" s="24"/>
      <c r="G4" s="44"/>
      <c r="H4" s="45"/>
      <c r="I4" s="45"/>
      <c r="J4" s="46"/>
      <c r="K4" s="51"/>
      <c r="L4" s="31"/>
      <c r="M4" s="34" t="s">
        <v>51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19" t="s">
        <v>52</v>
      </c>
      <c r="AA4" s="19" t="s">
        <v>53</v>
      </c>
      <c r="AB4" s="59"/>
      <c r="AC4" s="60"/>
      <c r="AD4" s="64"/>
      <c r="AE4" s="65"/>
      <c r="AF4" s="65"/>
      <c r="AG4" s="65"/>
      <c r="AH4" s="66"/>
    </row>
    <row r="5" spans="1:43" x14ac:dyDescent="0.45">
      <c r="A5" s="40"/>
      <c r="B5" s="40" t="s">
        <v>54</v>
      </c>
      <c r="C5" s="40"/>
      <c r="D5" s="40"/>
      <c r="E5" s="40"/>
      <c r="F5" s="25"/>
      <c r="G5" s="47"/>
      <c r="H5" s="48"/>
      <c r="I5" s="48"/>
      <c r="J5" s="49"/>
      <c r="K5" s="52"/>
      <c r="L5" s="30" t="s">
        <v>40</v>
      </c>
      <c r="M5" s="33" t="s">
        <v>40</v>
      </c>
      <c r="N5" s="34"/>
      <c r="O5" s="34"/>
      <c r="P5" s="35"/>
      <c r="Q5" s="33" t="s">
        <v>25</v>
      </c>
      <c r="R5" s="34"/>
      <c r="S5" s="34"/>
      <c r="T5" s="35"/>
      <c r="U5" s="36" t="s">
        <v>46</v>
      </c>
      <c r="V5" s="36"/>
      <c r="W5" s="36"/>
      <c r="X5" s="36"/>
      <c r="Y5" s="36"/>
      <c r="Z5" s="21"/>
      <c r="AA5" s="19"/>
      <c r="AB5" s="59"/>
      <c r="AC5" s="60"/>
      <c r="AD5" s="67"/>
      <c r="AE5" s="68"/>
      <c r="AF5" s="68"/>
      <c r="AG5" s="68"/>
      <c r="AH5" s="69"/>
    </row>
    <row r="6" spans="1:43" x14ac:dyDescent="0.45">
      <c r="A6" s="29" t="s">
        <v>37</v>
      </c>
      <c r="B6" s="32" t="s">
        <v>5</v>
      </c>
      <c r="C6" s="32" t="s">
        <v>16</v>
      </c>
      <c r="D6" s="32" t="s">
        <v>17</v>
      </c>
      <c r="E6" s="32" t="s">
        <v>6</v>
      </c>
      <c r="F6" s="29" t="s">
        <v>19</v>
      </c>
      <c r="G6" s="29" t="s">
        <v>28</v>
      </c>
      <c r="H6" s="29" t="s">
        <v>29</v>
      </c>
      <c r="I6" s="29" t="s">
        <v>38</v>
      </c>
      <c r="J6" s="29" t="s">
        <v>30</v>
      </c>
      <c r="K6" s="29" t="s">
        <v>39</v>
      </c>
      <c r="L6" s="32" t="s">
        <v>35</v>
      </c>
      <c r="M6" s="32" t="s">
        <v>5</v>
      </c>
      <c r="N6" s="32" t="s">
        <v>16</v>
      </c>
      <c r="O6" s="32" t="s">
        <v>17</v>
      </c>
      <c r="P6" s="32" t="s">
        <v>6</v>
      </c>
      <c r="Q6" s="32" t="s">
        <v>5</v>
      </c>
      <c r="R6" s="32" t="s">
        <v>16</v>
      </c>
      <c r="S6" s="32" t="s">
        <v>17</v>
      </c>
      <c r="T6" s="32" t="s">
        <v>6</v>
      </c>
      <c r="U6" s="32" t="s">
        <v>5</v>
      </c>
      <c r="V6" s="32" t="s">
        <v>16</v>
      </c>
      <c r="W6" s="32" t="s">
        <v>17</v>
      </c>
      <c r="X6" s="32" t="s">
        <v>6</v>
      </c>
      <c r="Y6" s="32" t="s">
        <v>59</v>
      </c>
      <c r="Z6" s="22" t="s">
        <v>57</v>
      </c>
      <c r="AA6" s="20" t="s">
        <v>58</v>
      </c>
      <c r="AB6" s="56"/>
      <c r="AC6" s="58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60</v>
      </c>
      <c r="C7" s="1" t="s">
        <v>20</v>
      </c>
      <c r="D7" s="1" t="s">
        <v>20</v>
      </c>
      <c r="E7" s="1" t="s">
        <v>60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상수!B$4,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0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0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0" si="2">IF(MOD($AD7,5)=0, "스핀들소음 :","-" )</f>
        <v>-</v>
      </c>
      <c r="Z7" s="11" t="str">
        <f t="shared" ref="Z7:Z10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62</v>
      </c>
      <c r="AH7" s="3"/>
    </row>
    <row r="8" spans="1:43" x14ac:dyDescent="0.45">
      <c r="A8" s="4">
        <v>45971</v>
      </c>
      <c r="B8" s="1" t="s">
        <v>60</v>
      </c>
      <c r="C8" s="1" t="s">
        <v>20</v>
      </c>
      <c r="D8" s="1" t="s">
        <v>20</v>
      </c>
      <c r="E8" s="1" t="s">
        <v>60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상수!B$4,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10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10" si="5">IF(AD8="","",
  IF(MOD($AD8,1)=0,
    "Dimensions: L W H",
    "-"
  )
)</f>
        <v>Dimensions: L W H</v>
      </c>
      <c r="AF8" s="9" t="str">
        <f t="shared" ref="AF8:AF10" si="6">IF(AG8="","",
  IF(MOD($AD8,1)=0,
    "완료",
    "-"
  )
)</f>
        <v>완료</v>
      </c>
      <c r="AG8" s="1" t="s">
        <v>62</v>
      </c>
      <c r="AH8" s="3"/>
    </row>
    <row r="9" spans="1:43" x14ac:dyDescent="0.45">
      <c r="A9" s="4">
        <v>45971</v>
      </c>
      <c r="B9" s="1" t="s">
        <v>60</v>
      </c>
      <c r="C9" s="1" t="s">
        <v>20</v>
      </c>
      <c r="D9" s="1" t="s">
        <v>20</v>
      </c>
      <c r="E9" s="1" t="s">
        <v>60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상수!B$4,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62</v>
      </c>
      <c r="AH9" s="3"/>
    </row>
    <row r="10" spans="1:43" x14ac:dyDescent="0.45">
      <c r="A10" s="4">
        <v>45971</v>
      </c>
      <c r="B10" s="1" t="s">
        <v>60</v>
      </c>
      <c r="C10" s="1" t="s">
        <v>20</v>
      </c>
      <c r="D10" s="1" t="s">
        <v>20</v>
      </c>
      <c r="E10" s="1" t="s">
        <v>60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상수!B$4,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si="4"/>
        <v>-</v>
      </c>
      <c r="AB10" s="1" t="s">
        <v>20</v>
      </c>
      <c r="AC10" s="2"/>
      <c r="AD10" s="12">
        <v>4</v>
      </c>
      <c r="AE10" s="11" t="str">
        <f t="shared" si="5"/>
        <v>Dimensions: L W H</v>
      </c>
      <c r="AF10" s="9" t="str">
        <f t="shared" si="6"/>
        <v>완료</v>
      </c>
      <c r="AG10" s="1" t="s">
        <v>62</v>
      </c>
      <c r="AH10" s="3"/>
    </row>
    <row r="11" spans="1:43" x14ac:dyDescent="0.45">
      <c r="A11" s="8" t="s">
        <v>22</v>
      </c>
      <c r="B11" s="8" t="s">
        <v>22</v>
      </c>
      <c r="C11" s="8" t="s">
        <v>22</v>
      </c>
      <c r="D11" s="8" t="s">
        <v>22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 t="s">
        <v>22</v>
      </c>
      <c r="N11" s="8" t="s">
        <v>22</v>
      </c>
      <c r="O11" s="8" t="s">
        <v>22</v>
      </c>
      <c r="P11" s="8" t="s">
        <v>22</v>
      </c>
      <c r="Q11" s="8" t="s">
        <v>22</v>
      </c>
      <c r="R11" s="8" t="s">
        <v>22</v>
      </c>
      <c r="S11" s="8" t="s">
        <v>22</v>
      </c>
      <c r="T11" s="8" t="s">
        <v>22</v>
      </c>
      <c r="U11" s="8" t="s">
        <v>22</v>
      </c>
      <c r="V11" s="8" t="s">
        <v>22</v>
      </c>
      <c r="W11" s="8" t="s">
        <v>22</v>
      </c>
      <c r="X11" s="8" t="s">
        <v>22</v>
      </c>
      <c r="Y11" s="8" t="s">
        <v>22</v>
      </c>
      <c r="Z11" s="8" t="s">
        <v>22</v>
      </c>
      <c r="AA11" s="8" t="s">
        <v>22</v>
      </c>
      <c r="AB11" s="8" t="s">
        <v>22</v>
      </c>
      <c r="AC11" s="8" t="s">
        <v>22</v>
      </c>
      <c r="AD11" s="8" t="s">
        <v>22</v>
      </c>
      <c r="AE11" s="8" t="s">
        <v>22</v>
      </c>
      <c r="AF11" s="8" t="s">
        <v>22</v>
      </c>
      <c r="AG11" s="8" t="s">
        <v>22</v>
      </c>
      <c r="AH11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10">
    <cfRule type="containsText" dxfId="61" priority="5" operator="containsText" text="완료">
      <formula>NOT(ISERROR(SEARCH("완료",AF7)))</formula>
    </cfRule>
    <cfRule type="containsText" dxfId="60" priority="6" operator="containsText" text="중단">
      <formula>NOT(ISERROR(SEARCH("중단",AF7)))</formula>
    </cfRule>
  </conditionalFormatting>
  <conditionalFormatting sqref="D7:D10 B7:B10">
    <cfRule type="containsText" dxfId="59" priority="3" operator="containsText" text="신품">
      <formula>NOT(ISERROR(SEARCH("신품",B7)))</formula>
    </cfRule>
    <cfRule type="containsText" dxfId="58" priority="4" operator="containsText" text="중고">
      <formula>NOT(ISERROR(SEARCH("중고",B7)))</formula>
    </cfRule>
  </conditionalFormatting>
  <conditionalFormatting sqref="E7:E10">
    <cfRule type="containsText" dxfId="57" priority="1" operator="containsText" text="신품">
      <formula>NOT(ISERROR(SEARCH("신품",E7)))</formula>
    </cfRule>
    <cfRule type="containsText" dxfId="56" priority="2" operator="containsText" text="중고">
      <formula>NOT(ISERROR(SEARCH("중고",E7)))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dimension ref="A1:AQ11"/>
  <sheetViews>
    <sheetView zoomScale="67" workbookViewId="0">
      <selection activeCell="A7" sqref="A7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</row>
    <row r="2" spans="1:43" x14ac:dyDescent="0.45">
      <c r="A2" s="40" t="s">
        <v>12</v>
      </c>
      <c r="B2" s="40" t="s">
        <v>55</v>
      </c>
      <c r="C2" s="40"/>
      <c r="D2" s="40"/>
      <c r="E2" s="40"/>
      <c r="F2" s="23"/>
      <c r="G2" s="41" t="s">
        <v>24</v>
      </c>
      <c r="H2" s="42"/>
      <c r="I2" s="42"/>
      <c r="J2" s="43"/>
      <c r="K2" s="50" t="s">
        <v>45</v>
      </c>
      <c r="L2" s="53" t="s">
        <v>36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53" t="s">
        <v>11</v>
      </c>
      <c r="AC2" s="55"/>
      <c r="AD2" s="61" t="s">
        <v>56</v>
      </c>
      <c r="AE2" s="62"/>
      <c r="AF2" s="62"/>
      <c r="AG2" s="62"/>
      <c r="AH2" s="63"/>
    </row>
    <row r="3" spans="1:43" x14ac:dyDescent="0.45">
      <c r="A3" s="40"/>
      <c r="B3" s="40"/>
      <c r="C3" s="40"/>
      <c r="D3" s="40"/>
      <c r="E3" s="40"/>
      <c r="F3" s="24"/>
      <c r="G3" s="44"/>
      <c r="H3" s="45"/>
      <c r="I3" s="45"/>
      <c r="J3" s="46"/>
      <c r="K3" s="51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9"/>
      <c r="AC3" s="60"/>
      <c r="AD3" s="64"/>
      <c r="AE3" s="65"/>
      <c r="AF3" s="65"/>
      <c r="AG3" s="65"/>
      <c r="AH3" s="66"/>
    </row>
    <row r="4" spans="1:43" x14ac:dyDescent="0.45">
      <c r="A4" s="40"/>
      <c r="B4" s="40"/>
      <c r="C4" s="40"/>
      <c r="D4" s="40"/>
      <c r="E4" s="40"/>
      <c r="F4" s="24"/>
      <c r="G4" s="44"/>
      <c r="H4" s="45"/>
      <c r="I4" s="45"/>
      <c r="J4" s="46"/>
      <c r="K4" s="51"/>
      <c r="L4" s="31"/>
      <c r="M4" s="34" t="s">
        <v>51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19" t="s">
        <v>52</v>
      </c>
      <c r="AA4" s="19" t="s">
        <v>53</v>
      </c>
      <c r="AB4" s="59"/>
      <c r="AC4" s="60"/>
      <c r="AD4" s="64"/>
      <c r="AE4" s="65"/>
      <c r="AF4" s="65"/>
      <c r="AG4" s="65"/>
      <c r="AH4" s="66"/>
    </row>
    <row r="5" spans="1:43" x14ac:dyDescent="0.45">
      <c r="A5" s="40"/>
      <c r="B5" s="40" t="s">
        <v>54</v>
      </c>
      <c r="C5" s="40"/>
      <c r="D5" s="40"/>
      <c r="E5" s="40"/>
      <c r="F5" s="25"/>
      <c r="G5" s="47"/>
      <c r="H5" s="48"/>
      <c r="I5" s="48"/>
      <c r="J5" s="49"/>
      <c r="K5" s="52"/>
      <c r="L5" s="30" t="s">
        <v>40</v>
      </c>
      <c r="M5" s="33" t="s">
        <v>40</v>
      </c>
      <c r="N5" s="34"/>
      <c r="O5" s="34"/>
      <c r="P5" s="35"/>
      <c r="Q5" s="33" t="s">
        <v>25</v>
      </c>
      <c r="R5" s="34"/>
      <c r="S5" s="34"/>
      <c r="T5" s="35"/>
      <c r="U5" s="36" t="s">
        <v>46</v>
      </c>
      <c r="V5" s="36"/>
      <c r="W5" s="36"/>
      <c r="X5" s="36"/>
      <c r="Y5" s="36"/>
      <c r="Z5" s="21"/>
      <c r="AA5" s="19"/>
      <c r="AB5" s="59"/>
      <c r="AC5" s="60"/>
      <c r="AD5" s="67"/>
      <c r="AE5" s="68"/>
      <c r="AF5" s="68"/>
      <c r="AG5" s="68"/>
      <c r="AH5" s="69"/>
    </row>
    <row r="6" spans="1:43" x14ac:dyDescent="0.45">
      <c r="A6" s="29" t="s">
        <v>37</v>
      </c>
      <c r="B6" s="32" t="s">
        <v>5</v>
      </c>
      <c r="C6" s="32" t="s">
        <v>16</v>
      </c>
      <c r="D6" s="32" t="s">
        <v>17</v>
      </c>
      <c r="E6" s="32" t="s">
        <v>6</v>
      </c>
      <c r="F6" s="29" t="s">
        <v>19</v>
      </c>
      <c r="G6" s="29" t="s">
        <v>28</v>
      </c>
      <c r="H6" s="29" t="s">
        <v>29</v>
      </c>
      <c r="I6" s="29" t="s">
        <v>38</v>
      </c>
      <c r="J6" s="29" t="s">
        <v>30</v>
      </c>
      <c r="K6" s="29" t="s">
        <v>39</v>
      </c>
      <c r="L6" s="32" t="s">
        <v>35</v>
      </c>
      <c r="M6" s="32" t="s">
        <v>5</v>
      </c>
      <c r="N6" s="32" t="s">
        <v>16</v>
      </c>
      <c r="O6" s="32" t="s">
        <v>17</v>
      </c>
      <c r="P6" s="32" t="s">
        <v>6</v>
      </c>
      <c r="Q6" s="32" t="s">
        <v>5</v>
      </c>
      <c r="R6" s="32" t="s">
        <v>16</v>
      </c>
      <c r="S6" s="32" t="s">
        <v>17</v>
      </c>
      <c r="T6" s="32" t="s">
        <v>6</v>
      </c>
      <c r="U6" s="32" t="s">
        <v>5</v>
      </c>
      <c r="V6" s="32" t="s">
        <v>16</v>
      </c>
      <c r="W6" s="32" t="s">
        <v>17</v>
      </c>
      <c r="X6" s="32" t="s">
        <v>6</v>
      </c>
      <c r="Y6" s="32" t="s">
        <v>59</v>
      </c>
      <c r="Z6" s="22" t="s">
        <v>57</v>
      </c>
      <c r="AA6" s="20" t="s">
        <v>58</v>
      </c>
      <c r="AB6" s="56"/>
      <c r="AC6" s="58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60</v>
      </c>
      <c r="C7" s="1" t="s">
        <v>20</v>
      </c>
      <c r="D7" s="1" t="s">
        <v>20</v>
      </c>
      <c r="E7" s="1" t="s">
        <v>60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상수!B$4,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0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0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0" si="2">IF(MOD($AD7,5)=0, "스핀들소음 :","-" )</f>
        <v>-</v>
      </c>
      <c r="Z7" s="11" t="str">
        <f t="shared" ref="Z7:Z10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62</v>
      </c>
      <c r="AH7" s="3"/>
    </row>
    <row r="8" spans="1:43" x14ac:dyDescent="0.45">
      <c r="A8" s="4">
        <v>45971</v>
      </c>
      <c r="B8" s="1" t="s">
        <v>60</v>
      </c>
      <c r="C8" s="1" t="s">
        <v>20</v>
      </c>
      <c r="D8" s="1" t="s">
        <v>20</v>
      </c>
      <c r="E8" s="1" t="s">
        <v>60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상수!B$4,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10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10" si="5">IF(AD8="","",
  IF(MOD($AD8,1)=0,
    "Dimensions: L W H",
    "-"
  )
)</f>
        <v>Dimensions: L W H</v>
      </c>
      <c r="AF8" s="9" t="str">
        <f t="shared" ref="AF8:AF10" si="6">IF(AG8="","",
  IF(MOD($AD8,1)=0,
    "완료",
    "-"
  )
)</f>
        <v>완료</v>
      </c>
      <c r="AG8" s="1" t="s">
        <v>62</v>
      </c>
      <c r="AH8" s="3"/>
    </row>
    <row r="9" spans="1:43" x14ac:dyDescent="0.45">
      <c r="A9" s="4">
        <v>45971</v>
      </c>
      <c r="B9" s="1" t="s">
        <v>60</v>
      </c>
      <c r="C9" s="1" t="s">
        <v>20</v>
      </c>
      <c r="D9" s="1" t="s">
        <v>20</v>
      </c>
      <c r="E9" s="1" t="s">
        <v>60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상수!B$4,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62</v>
      </c>
      <c r="AH9" s="3"/>
    </row>
    <row r="10" spans="1:43" x14ac:dyDescent="0.45">
      <c r="A10" s="4">
        <v>45971</v>
      </c>
      <c r="B10" s="1" t="s">
        <v>60</v>
      </c>
      <c r="C10" s="1" t="s">
        <v>20</v>
      </c>
      <c r="D10" s="1" t="s">
        <v>20</v>
      </c>
      <c r="E10" s="1" t="s">
        <v>60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상수!B$4,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si="4"/>
        <v>-</v>
      </c>
      <c r="AB10" s="1" t="s">
        <v>20</v>
      </c>
      <c r="AC10" s="2"/>
      <c r="AD10" s="12">
        <v>4</v>
      </c>
      <c r="AE10" s="11" t="str">
        <f t="shared" si="5"/>
        <v>Dimensions: L W H</v>
      </c>
      <c r="AF10" s="9" t="str">
        <f t="shared" si="6"/>
        <v>완료</v>
      </c>
      <c r="AG10" s="1" t="s">
        <v>62</v>
      </c>
      <c r="AH10" s="3"/>
    </row>
    <row r="11" spans="1:43" x14ac:dyDescent="0.45">
      <c r="A11" s="8" t="s">
        <v>22</v>
      </c>
      <c r="B11" s="8" t="s">
        <v>22</v>
      </c>
      <c r="C11" s="8" t="s">
        <v>22</v>
      </c>
      <c r="D11" s="8" t="s">
        <v>22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 t="s">
        <v>22</v>
      </c>
      <c r="N11" s="8" t="s">
        <v>22</v>
      </c>
      <c r="O11" s="8" t="s">
        <v>22</v>
      </c>
      <c r="P11" s="8" t="s">
        <v>22</v>
      </c>
      <c r="Q11" s="8" t="s">
        <v>22</v>
      </c>
      <c r="R11" s="8" t="s">
        <v>22</v>
      </c>
      <c r="S11" s="8" t="s">
        <v>22</v>
      </c>
      <c r="T11" s="8" t="s">
        <v>22</v>
      </c>
      <c r="U11" s="8" t="s">
        <v>22</v>
      </c>
      <c r="V11" s="8" t="s">
        <v>22</v>
      </c>
      <c r="W11" s="8" t="s">
        <v>22</v>
      </c>
      <c r="X11" s="8" t="s">
        <v>22</v>
      </c>
      <c r="Y11" s="8" t="s">
        <v>22</v>
      </c>
      <c r="Z11" s="8" t="s">
        <v>22</v>
      </c>
      <c r="AA11" s="8" t="s">
        <v>22</v>
      </c>
      <c r="AB11" s="8" t="s">
        <v>22</v>
      </c>
      <c r="AC11" s="8" t="s">
        <v>22</v>
      </c>
      <c r="AD11" s="8" t="s">
        <v>22</v>
      </c>
      <c r="AE11" s="8" t="s">
        <v>22</v>
      </c>
      <c r="AF11" s="8" t="s">
        <v>22</v>
      </c>
      <c r="AG11" s="8" t="s">
        <v>22</v>
      </c>
      <c r="AH11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10">
    <cfRule type="containsText" dxfId="55" priority="5" operator="containsText" text="완료">
      <formula>NOT(ISERROR(SEARCH("완료",AF7)))</formula>
    </cfRule>
    <cfRule type="containsText" dxfId="54" priority="6" operator="containsText" text="중단">
      <formula>NOT(ISERROR(SEARCH("중단",AF7)))</formula>
    </cfRule>
  </conditionalFormatting>
  <conditionalFormatting sqref="D7:D10 B7:B10">
    <cfRule type="containsText" dxfId="53" priority="3" operator="containsText" text="신품">
      <formula>NOT(ISERROR(SEARCH("신품",B7)))</formula>
    </cfRule>
    <cfRule type="containsText" dxfId="52" priority="4" operator="containsText" text="중고">
      <formula>NOT(ISERROR(SEARCH("중고",B7)))</formula>
    </cfRule>
  </conditionalFormatting>
  <conditionalFormatting sqref="E7:E10">
    <cfRule type="containsText" dxfId="51" priority="1" operator="containsText" text="신품">
      <formula>NOT(ISERROR(SEARCH("신품",E7)))</formula>
    </cfRule>
    <cfRule type="containsText" dxfId="50" priority="2" operator="containsText" text="중고">
      <formula>NOT(ISERROR(SEARCH("중고",E7)))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dimension ref="A1:AQ12"/>
  <sheetViews>
    <sheetView tabSelected="1" zoomScale="67" workbookViewId="0">
      <selection activeCell="A9" sqref="A9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</row>
    <row r="2" spans="1:43" x14ac:dyDescent="0.45">
      <c r="A2" s="40" t="s">
        <v>12</v>
      </c>
      <c r="B2" s="40" t="s">
        <v>55</v>
      </c>
      <c r="C2" s="40"/>
      <c r="D2" s="40"/>
      <c r="E2" s="40"/>
      <c r="F2" s="23"/>
      <c r="G2" s="41" t="s">
        <v>24</v>
      </c>
      <c r="H2" s="42"/>
      <c r="I2" s="42"/>
      <c r="J2" s="43"/>
      <c r="K2" s="50" t="s">
        <v>45</v>
      </c>
      <c r="L2" s="53" t="s">
        <v>36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53" t="s">
        <v>11</v>
      </c>
      <c r="AC2" s="55"/>
      <c r="AD2" s="61" t="s">
        <v>56</v>
      </c>
      <c r="AE2" s="62"/>
      <c r="AF2" s="62"/>
      <c r="AG2" s="62"/>
      <c r="AH2" s="63"/>
    </row>
    <row r="3" spans="1:43" x14ac:dyDescent="0.45">
      <c r="A3" s="40"/>
      <c r="B3" s="40"/>
      <c r="C3" s="40"/>
      <c r="D3" s="40"/>
      <c r="E3" s="40"/>
      <c r="F3" s="24"/>
      <c r="G3" s="44"/>
      <c r="H3" s="45"/>
      <c r="I3" s="45"/>
      <c r="J3" s="46"/>
      <c r="K3" s="51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9"/>
      <c r="AC3" s="60"/>
      <c r="AD3" s="64"/>
      <c r="AE3" s="65"/>
      <c r="AF3" s="65"/>
      <c r="AG3" s="65"/>
      <c r="AH3" s="66"/>
    </row>
    <row r="4" spans="1:43" x14ac:dyDescent="0.45">
      <c r="A4" s="40"/>
      <c r="B4" s="40"/>
      <c r="C4" s="40"/>
      <c r="D4" s="40"/>
      <c r="E4" s="40"/>
      <c r="F4" s="24"/>
      <c r="G4" s="44"/>
      <c r="H4" s="45"/>
      <c r="I4" s="45"/>
      <c r="J4" s="46"/>
      <c r="K4" s="51"/>
      <c r="L4" s="14"/>
      <c r="M4" s="34" t="s">
        <v>51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19" t="s">
        <v>52</v>
      </c>
      <c r="AA4" s="19" t="s">
        <v>53</v>
      </c>
      <c r="AB4" s="59"/>
      <c r="AC4" s="60"/>
      <c r="AD4" s="64"/>
      <c r="AE4" s="65"/>
      <c r="AF4" s="65"/>
      <c r="AG4" s="65"/>
      <c r="AH4" s="66"/>
    </row>
    <row r="5" spans="1:43" x14ac:dyDescent="0.45">
      <c r="A5" s="40"/>
      <c r="B5" s="40" t="s">
        <v>54</v>
      </c>
      <c r="C5" s="40"/>
      <c r="D5" s="40"/>
      <c r="E5" s="40"/>
      <c r="F5" s="25"/>
      <c r="G5" s="47"/>
      <c r="H5" s="48"/>
      <c r="I5" s="48"/>
      <c r="J5" s="49"/>
      <c r="K5" s="52"/>
      <c r="L5" s="16" t="s">
        <v>40</v>
      </c>
      <c r="M5" s="33" t="s">
        <v>40</v>
      </c>
      <c r="N5" s="34"/>
      <c r="O5" s="34"/>
      <c r="P5" s="35"/>
      <c r="Q5" s="33" t="s">
        <v>25</v>
      </c>
      <c r="R5" s="34"/>
      <c r="S5" s="34"/>
      <c r="T5" s="35"/>
      <c r="U5" s="36" t="s">
        <v>46</v>
      </c>
      <c r="V5" s="36"/>
      <c r="W5" s="36"/>
      <c r="X5" s="36"/>
      <c r="Y5" s="36"/>
      <c r="Z5" s="21"/>
      <c r="AA5" s="19"/>
      <c r="AB5" s="59"/>
      <c r="AC5" s="60"/>
      <c r="AD5" s="67"/>
      <c r="AE5" s="68"/>
      <c r="AF5" s="68"/>
      <c r="AG5" s="68"/>
      <c r="AH5" s="69"/>
    </row>
    <row r="6" spans="1:43" x14ac:dyDescent="0.45">
      <c r="A6" s="6" t="s">
        <v>37</v>
      </c>
      <c r="B6" s="15" t="s">
        <v>5</v>
      </c>
      <c r="C6" s="15" t="s">
        <v>16</v>
      </c>
      <c r="D6" s="15" t="s">
        <v>17</v>
      </c>
      <c r="E6" s="15" t="s">
        <v>6</v>
      </c>
      <c r="F6" s="6" t="s">
        <v>19</v>
      </c>
      <c r="G6" s="6" t="s">
        <v>28</v>
      </c>
      <c r="H6" s="6" t="s">
        <v>29</v>
      </c>
      <c r="I6" s="6" t="s">
        <v>38</v>
      </c>
      <c r="J6" s="6" t="s">
        <v>30</v>
      </c>
      <c r="K6" s="6" t="s">
        <v>39</v>
      </c>
      <c r="L6" s="15" t="s">
        <v>35</v>
      </c>
      <c r="M6" s="15" t="s">
        <v>5</v>
      </c>
      <c r="N6" s="15" t="s">
        <v>16</v>
      </c>
      <c r="O6" s="15" t="s">
        <v>17</v>
      </c>
      <c r="P6" s="15" t="s">
        <v>6</v>
      </c>
      <c r="Q6" s="15" t="s">
        <v>5</v>
      </c>
      <c r="R6" s="15" t="s">
        <v>16</v>
      </c>
      <c r="S6" s="15" t="s">
        <v>17</v>
      </c>
      <c r="T6" s="15" t="s">
        <v>6</v>
      </c>
      <c r="U6" s="15" t="s">
        <v>5</v>
      </c>
      <c r="V6" s="15" t="s">
        <v>16</v>
      </c>
      <c r="W6" s="15" t="s">
        <v>17</v>
      </c>
      <c r="X6" s="15" t="s">
        <v>6</v>
      </c>
      <c r="Y6" s="15" t="s">
        <v>59</v>
      </c>
      <c r="Z6" s="22" t="s">
        <v>57</v>
      </c>
      <c r="AA6" s="20" t="s">
        <v>58</v>
      </c>
      <c r="AB6" s="56"/>
      <c r="AC6" s="58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60</v>
      </c>
      <c r="C7" s="1" t="s">
        <v>20</v>
      </c>
      <c r="D7" s="1" t="s">
        <v>20</v>
      </c>
      <c r="E7" s="1" t="s">
        <v>60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상수!B$4,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1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1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1" si="2">IF(MOD($AD7,5)=0, "스핀들소음 :","-" )</f>
        <v>-</v>
      </c>
      <c r="Z7" s="11" t="str">
        <f t="shared" ref="Z7:Z11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62</v>
      </c>
      <c r="AH7" s="3"/>
    </row>
    <row r="8" spans="1:43" x14ac:dyDescent="0.45">
      <c r="A8" s="4">
        <v>45971</v>
      </c>
      <c r="B8" s="1" t="s">
        <v>60</v>
      </c>
      <c r="C8" s="1" t="s">
        <v>20</v>
      </c>
      <c r="D8" s="1" t="s">
        <v>20</v>
      </c>
      <c r="E8" s="1" t="s">
        <v>60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상수!B$4,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10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10" si="5">IF(AD8="","",
  IF(MOD($AD8,1)=0,
    "Dimensions: L W H",
    "-"
  )
)</f>
        <v>Dimensions: L W H</v>
      </c>
      <c r="AF8" s="9" t="str">
        <f t="shared" ref="AF8:AF10" si="6">IF(AG8="","",
  IF(MOD($AD8,1)=0,
    "완료",
    "-"
  )
)</f>
        <v>완료</v>
      </c>
      <c r="AG8" s="1" t="s">
        <v>61</v>
      </c>
      <c r="AH8" s="3"/>
    </row>
    <row r="9" spans="1:43" x14ac:dyDescent="0.45">
      <c r="A9" s="4">
        <v>45971</v>
      </c>
      <c r="B9" s="1" t="s">
        <v>60</v>
      </c>
      <c r="C9" s="1" t="s">
        <v>20</v>
      </c>
      <c r="D9" s="1" t="s">
        <v>20</v>
      </c>
      <c r="E9" s="1" t="s">
        <v>60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상수!B$4,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ref="AA9" si="7">IF($AD9="","",
  IF(MOD(AD9,160)=0,
    "TENSION (XL : / ZL : / XR : / ZR : / Y : )" &amp; CHAR(10) &amp;
    "필터교체",
    "-"
  )
)</f>
        <v>-</v>
      </c>
      <c r="AB9" s="1" t="s">
        <v>20</v>
      </c>
      <c r="AC9" s="2"/>
      <c r="AD9" s="12">
        <v>2</v>
      </c>
      <c r="AE9" s="11" t="str">
        <f t="shared" ref="AE9" si="8">IF(AD9="","",
  IF(MOD($AD9,1)=0,
    "Dimensions: L W H",
    "-"
  )
)</f>
        <v>Dimensions: L W H</v>
      </c>
      <c r="AF9" s="9" t="str">
        <f t="shared" ref="AF9" si="9">IF(AG9="","",
  IF(MOD($AD9,1)=0,
    "완료",
    "-"
  )
)</f>
        <v>완료</v>
      </c>
      <c r="AG9" s="1" t="s">
        <v>61</v>
      </c>
      <c r="AH9" s="3"/>
    </row>
    <row r="10" spans="1:43" x14ac:dyDescent="0.45">
      <c r="A10" s="4">
        <v>45971</v>
      </c>
      <c r="B10" s="1" t="s">
        <v>60</v>
      </c>
      <c r="C10" s="1" t="s">
        <v>20</v>
      </c>
      <c r="D10" s="1" t="s">
        <v>20</v>
      </c>
      <c r="E10" s="1" t="s">
        <v>60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상수!B$4,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si="4"/>
        <v>-</v>
      </c>
      <c r="AB10" s="1" t="s">
        <v>20</v>
      </c>
      <c r="AC10" s="2"/>
      <c r="AD10" s="12">
        <v>4</v>
      </c>
      <c r="AE10" s="11" t="str">
        <f t="shared" si="5"/>
        <v>Dimensions: L W H</v>
      </c>
      <c r="AF10" s="9" t="str">
        <f t="shared" si="6"/>
        <v>완료</v>
      </c>
      <c r="AG10" s="1" t="s">
        <v>61</v>
      </c>
      <c r="AH10" s="3"/>
    </row>
    <row r="11" spans="1:43" x14ac:dyDescent="0.45">
      <c r="A11" s="4">
        <v>45971</v>
      </c>
      <c r="B11" s="1" t="s">
        <v>60</v>
      </c>
      <c r="C11" s="1" t="s">
        <v>20</v>
      </c>
      <c r="D11" s="1" t="s">
        <v>20</v>
      </c>
      <c r="E11" s="1" t="s">
        <v>60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상수!B$4, "")</f>
        <v>2.2599999999999998</v>
      </c>
      <c r="L11" s="1" t="s">
        <v>20</v>
      </c>
      <c r="M11" s="11" t="str">
        <f>IF(MOD($AD11,5)=0, "스핀들유격: ","-" )</f>
        <v xml:space="preserve">스핀들유격: </v>
      </c>
      <c r="N11" s="11" t="str">
        <f t="shared" si="0"/>
        <v xml:space="preserve">스핀들유격: </v>
      </c>
      <c r="O11" s="11" t="str">
        <f t="shared" si="0"/>
        <v xml:space="preserve">스핀들유격: </v>
      </c>
      <c r="P11" s="11" t="str">
        <f t="shared" si="0"/>
        <v xml:space="preserve">스핀들유격: 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ref="AA11" si="10">IF($AD11="","",
  IF(MOD(AD11,160)=0,
    "TENSION (XL : / ZL : / XR : / ZR : / Y : )" &amp; CHAR(10) &amp;
    "필터교체",
    "-"
  )
)</f>
        <v>-</v>
      </c>
      <c r="AB11" s="1" t="s">
        <v>20</v>
      </c>
      <c r="AC11" s="2"/>
      <c r="AD11" s="12">
        <v>5</v>
      </c>
      <c r="AE11" s="11" t="str">
        <f t="shared" ref="AE11" si="11">IF(AD11="","",
  IF(MOD($AD11,1)=0,
    "Dimensions: L W H",
    "-"
  )
)</f>
        <v>Dimensions: L W H</v>
      </c>
      <c r="AF11" s="9" t="str">
        <f t="shared" ref="AF11" si="12">IF(AG11="","",
  IF(MOD($AD11,1)=0,
    "완료",
    "-"
  )
)</f>
        <v>완료</v>
      </c>
      <c r="AG11" s="1" t="s">
        <v>61</v>
      </c>
      <c r="AH11" s="3"/>
    </row>
    <row r="12" spans="1:43" x14ac:dyDescent="0.45">
      <c r="A12" s="8" t="s">
        <v>22</v>
      </c>
      <c r="B12" s="8" t="s">
        <v>22</v>
      </c>
      <c r="C12" s="8" t="s">
        <v>22</v>
      </c>
      <c r="D12" s="8" t="s">
        <v>22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 t="s">
        <v>22</v>
      </c>
      <c r="S12" s="8" t="s">
        <v>22</v>
      </c>
      <c r="T12" s="8" t="s">
        <v>22</v>
      </c>
      <c r="U12" s="8" t="s">
        <v>22</v>
      </c>
      <c r="V12" s="8" t="s">
        <v>22</v>
      </c>
      <c r="W12" s="8" t="s">
        <v>22</v>
      </c>
      <c r="X12" s="8" t="s">
        <v>22</v>
      </c>
      <c r="Y12" s="8" t="s">
        <v>22</v>
      </c>
      <c r="Z12" s="8" t="s">
        <v>22</v>
      </c>
      <c r="AA12" s="8" t="s">
        <v>22</v>
      </c>
      <c r="AB12" s="8" t="s">
        <v>22</v>
      </c>
      <c r="AC12" s="8" t="s">
        <v>22</v>
      </c>
      <c r="AD12" s="8" t="s">
        <v>22</v>
      </c>
      <c r="AE12" s="8" t="s">
        <v>22</v>
      </c>
      <c r="AF12" s="8" t="s">
        <v>22</v>
      </c>
      <c r="AG12" s="8" t="s">
        <v>22</v>
      </c>
      <c r="AH12" s="8" t="s">
        <v>22</v>
      </c>
    </row>
  </sheetData>
  <mergeCells count="13">
    <mergeCell ref="A1:AH1"/>
    <mergeCell ref="AD2:AH5"/>
    <mergeCell ref="U5:Y5"/>
    <mergeCell ref="M4:Y4"/>
    <mergeCell ref="B2:E4"/>
    <mergeCell ref="B5:E5"/>
    <mergeCell ref="K2:K5"/>
    <mergeCell ref="A2:A5"/>
    <mergeCell ref="G2:J5"/>
    <mergeCell ref="Q5:T5"/>
    <mergeCell ref="AB2:AC6"/>
    <mergeCell ref="M5:P5"/>
    <mergeCell ref="L2:AA3"/>
  </mergeCells>
  <phoneticPr fontId="1" type="noConversion"/>
  <conditionalFormatting sqref="AF7:AF11">
    <cfRule type="containsText" dxfId="49" priority="8" operator="containsText" text="완료">
      <formula>NOT(ISERROR(SEARCH("완료",AF7)))</formula>
    </cfRule>
    <cfRule type="containsText" dxfId="48" priority="9" operator="containsText" text="중단">
      <formula>NOT(ISERROR(SEARCH("중단",AF7)))</formula>
    </cfRule>
  </conditionalFormatting>
  <conditionalFormatting sqref="D7:D11 B7:B11">
    <cfRule type="containsText" dxfId="47" priority="5" operator="containsText" text="신품">
      <formula>NOT(ISERROR(SEARCH("신품",B7)))</formula>
    </cfRule>
    <cfRule type="containsText" dxfId="46" priority="7" operator="containsText" text="중고">
      <formula>NOT(ISERROR(SEARCH("중고",B7)))</formula>
    </cfRule>
  </conditionalFormatting>
  <conditionalFormatting sqref="E7:E11">
    <cfRule type="containsText" dxfId="45" priority="3" operator="containsText" text="신품">
      <formula>NOT(ISERROR(SEARCH("신품",E7)))</formula>
    </cfRule>
    <cfRule type="containsText" dxfId="44" priority="4" operator="containsText" text="중고">
      <formula>NOT(ISERROR(SEARCH("중고",E7)))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dimension ref="A1:AQ12"/>
  <sheetViews>
    <sheetView topLeftCell="AA1" zoomScale="67" workbookViewId="0">
      <selection activeCell="AD11" sqref="AD11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</row>
    <row r="2" spans="1:43" x14ac:dyDescent="0.45">
      <c r="A2" s="40" t="s">
        <v>12</v>
      </c>
      <c r="B2" s="40" t="s">
        <v>55</v>
      </c>
      <c r="C2" s="40"/>
      <c r="D2" s="40"/>
      <c r="E2" s="40"/>
      <c r="F2" s="23"/>
      <c r="G2" s="41" t="s">
        <v>24</v>
      </c>
      <c r="H2" s="42"/>
      <c r="I2" s="42"/>
      <c r="J2" s="43"/>
      <c r="K2" s="50" t="s">
        <v>45</v>
      </c>
      <c r="L2" s="53" t="s">
        <v>36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53" t="s">
        <v>11</v>
      </c>
      <c r="AC2" s="55"/>
      <c r="AD2" s="61" t="s">
        <v>56</v>
      </c>
      <c r="AE2" s="62"/>
      <c r="AF2" s="62"/>
      <c r="AG2" s="62"/>
      <c r="AH2" s="63"/>
    </row>
    <row r="3" spans="1:43" x14ac:dyDescent="0.45">
      <c r="A3" s="40"/>
      <c r="B3" s="40"/>
      <c r="C3" s="40"/>
      <c r="D3" s="40"/>
      <c r="E3" s="40"/>
      <c r="F3" s="24"/>
      <c r="G3" s="44"/>
      <c r="H3" s="45"/>
      <c r="I3" s="45"/>
      <c r="J3" s="46"/>
      <c r="K3" s="51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9"/>
      <c r="AC3" s="60"/>
      <c r="AD3" s="64"/>
      <c r="AE3" s="65"/>
      <c r="AF3" s="65"/>
      <c r="AG3" s="65"/>
      <c r="AH3" s="66"/>
    </row>
    <row r="4" spans="1:43" x14ac:dyDescent="0.45">
      <c r="A4" s="40"/>
      <c r="B4" s="40"/>
      <c r="C4" s="40"/>
      <c r="D4" s="40"/>
      <c r="E4" s="40"/>
      <c r="F4" s="24"/>
      <c r="G4" s="44"/>
      <c r="H4" s="45"/>
      <c r="I4" s="45"/>
      <c r="J4" s="46"/>
      <c r="K4" s="51"/>
      <c r="L4" s="31"/>
      <c r="M4" s="34" t="s">
        <v>51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19" t="s">
        <v>52</v>
      </c>
      <c r="AA4" s="19" t="s">
        <v>53</v>
      </c>
      <c r="AB4" s="59"/>
      <c r="AC4" s="60"/>
      <c r="AD4" s="64"/>
      <c r="AE4" s="65"/>
      <c r="AF4" s="65"/>
      <c r="AG4" s="65"/>
      <c r="AH4" s="66"/>
    </row>
    <row r="5" spans="1:43" x14ac:dyDescent="0.45">
      <c r="A5" s="40"/>
      <c r="B5" s="40" t="s">
        <v>54</v>
      </c>
      <c r="C5" s="40"/>
      <c r="D5" s="40"/>
      <c r="E5" s="40"/>
      <c r="F5" s="25"/>
      <c r="G5" s="47"/>
      <c r="H5" s="48"/>
      <c r="I5" s="48"/>
      <c r="J5" s="49"/>
      <c r="K5" s="52"/>
      <c r="L5" s="30" t="s">
        <v>40</v>
      </c>
      <c r="M5" s="33" t="s">
        <v>40</v>
      </c>
      <c r="N5" s="34"/>
      <c r="O5" s="34"/>
      <c r="P5" s="35"/>
      <c r="Q5" s="33" t="s">
        <v>25</v>
      </c>
      <c r="R5" s="34"/>
      <c r="S5" s="34"/>
      <c r="T5" s="35"/>
      <c r="U5" s="36" t="s">
        <v>46</v>
      </c>
      <c r="V5" s="36"/>
      <c r="W5" s="36"/>
      <c r="X5" s="36"/>
      <c r="Y5" s="36"/>
      <c r="Z5" s="21"/>
      <c r="AA5" s="19"/>
      <c r="AB5" s="59"/>
      <c r="AC5" s="60"/>
      <c r="AD5" s="67"/>
      <c r="AE5" s="68"/>
      <c r="AF5" s="68"/>
      <c r="AG5" s="68"/>
      <c r="AH5" s="69"/>
    </row>
    <row r="6" spans="1:43" x14ac:dyDescent="0.45">
      <c r="A6" s="29" t="s">
        <v>37</v>
      </c>
      <c r="B6" s="32" t="s">
        <v>5</v>
      </c>
      <c r="C6" s="32" t="s">
        <v>16</v>
      </c>
      <c r="D6" s="32" t="s">
        <v>17</v>
      </c>
      <c r="E6" s="32" t="s">
        <v>6</v>
      </c>
      <c r="F6" s="29" t="s">
        <v>19</v>
      </c>
      <c r="G6" s="29" t="s">
        <v>28</v>
      </c>
      <c r="H6" s="29" t="s">
        <v>29</v>
      </c>
      <c r="I6" s="29" t="s">
        <v>38</v>
      </c>
      <c r="J6" s="29" t="s">
        <v>30</v>
      </c>
      <c r="K6" s="29" t="s">
        <v>39</v>
      </c>
      <c r="L6" s="32" t="s">
        <v>35</v>
      </c>
      <c r="M6" s="32" t="s">
        <v>5</v>
      </c>
      <c r="N6" s="32" t="s">
        <v>16</v>
      </c>
      <c r="O6" s="32" t="s">
        <v>17</v>
      </c>
      <c r="P6" s="32" t="s">
        <v>6</v>
      </c>
      <c r="Q6" s="32" t="s">
        <v>5</v>
      </c>
      <c r="R6" s="32" t="s">
        <v>16</v>
      </c>
      <c r="S6" s="32" t="s">
        <v>17</v>
      </c>
      <c r="T6" s="32" t="s">
        <v>6</v>
      </c>
      <c r="U6" s="32" t="s">
        <v>5</v>
      </c>
      <c r="V6" s="32" t="s">
        <v>16</v>
      </c>
      <c r="W6" s="32" t="s">
        <v>17</v>
      </c>
      <c r="X6" s="32" t="s">
        <v>6</v>
      </c>
      <c r="Y6" s="32" t="s">
        <v>59</v>
      </c>
      <c r="Z6" s="22" t="s">
        <v>57</v>
      </c>
      <c r="AA6" s="20" t="s">
        <v>58</v>
      </c>
      <c r="AB6" s="56"/>
      <c r="AC6" s="58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60</v>
      </c>
      <c r="C7" s="1" t="s">
        <v>20</v>
      </c>
      <c r="D7" s="1" t="s">
        <v>20</v>
      </c>
      <c r="E7" s="1" t="s">
        <v>60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상수!B$4,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1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1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1" si="2">IF(MOD($AD7,5)=0, "스핀들소음 :","-" )</f>
        <v>-</v>
      </c>
      <c r="Z7" s="11" t="str">
        <f t="shared" ref="Z7:Z11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62</v>
      </c>
      <c r="AH7" s="3"/>
    </row>
    <row r="8" spans="1:43" x14ac:dyDescent="0.45">
      <c r="A8" s="4">
        <v>45971</v>
      </c>
      <c r="B8" s="1" t="s">
        <v>60</v>
      </c>
      <c r="C8" s="1" t="s">
        <v>20</v>
      </c>
      <c r="D8" s="1" t="s">
        <v>20</v>
      </c>
      <c r="E8" s="1" t="s">
        <v>60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상수!B$4,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11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11" si="5">IF(AD8="","",
  IF(MOD($AD8,1)=0,
    "Dimensions: L W H",
    "-"
  )
)</f>
        <v>Dimensions: L W H</v>
      </c>
      <c r="AF8" s="9" t="str">
        <f t="shared" ref="AF8:AF11" si="6">IF(AG8="","",
  IF(MOD($AD8,1)=0,
    "완료",
    "-"
  )
)</f>
        <v>완료</v>
      </c>
      <c r="AG8" s="1" t="s">
        <v>61</v>
      </c>
      <c r="AH8" s="3"/>
    </row>
    <row r="9" spans="1:43" x14ac:dyDescent="0.45">
      <c r="A9" s="4">
        <v>45971</v>
      </c>
      <c r="B9" s="1" t="s">
        <v>60</v>
      </c>
      <c r="C9" s="1" t="s">
        <v>20</v>
      </c>
      <c r="D9" s="1" t="s">
        <v>20</v>
      </c>
      <c r="E9" s="1" t="s">
        <v>60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상수!B$4,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61</v>
      </c>
      <c r="AH9" s="3"/>
    </row>
    <row r="10" spans="1:43" x14ac:dyDescent="0.45">
      <c r="A10" s="4">
        <v>45971</v>
      </c>
      <c r="B10" s="1" t="s">
        <v>60</v>
      </c>
      <c r="C10" s="1" t="s">
        <v>20</v>
      </c>
      <c r="D10" s="1" t="s">
        <v>20</v>
      </c>
      <c r="E10" s="1" t="s">
        <v>60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상수!B$4,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" si="7">IF($AD10="","",
  IF(MOD(AD10,160)=0,
    "TENSION (XL : / ZL : / XR : / ZR : / Y : )" &amp; CHAR(10) &amp;
    "필터교체",
    "-"
  )
)</f>
        <v>-</v>
      </c>
      <c r="AB10" s="1" t="s">
        <v>20</v>
      </c>
      <c r="AC10" s="2"/>
      <c r="AD10" s="12">
        <v>4</v>
      </c>
      <c r="AE10" s="11" t="str">
        <f t="shared" ref="AE10" si="8">IF(AD10="","",
  IF(MOD($AD10,1)=0,
    "Dimensions: L W H",
    "-"
  )
)</f>
        <v>Dimensions: L W H</v>
      </c>
      <c r="AF10" s="9" t="str">
        <f t="shared" ref="AF10" si="9">IF(AG10="","",
  IF(MOD($AD10,1)=0,
    "완료",
    "-"
  )
)</f>
        <v>완료</v>
      </c>
      <c r="AG10" s="1" t="s">
        <v>61</v>
      </c>
      <c r="AH10" s="3"/>
    </row>
    <row r="11" spans="1:43" x14ac:dyDescent="0.45">
      <c r="A11" s="4">
        <v>45971</v>
      </c>
      <c r="B11" s="1" t="s">
        <v>60</v>
      </c>
      <c r="C11" s="1" t="s">
        <v>20</v>
      </c>
      <c r="D11" s="1" t="s">
        <v>20</v>
      </c>
      <c r="E11" s="1" t="s">
        <v>60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상수!B$4, "")</f>
        <v>2.2599999999999998</v>
      </c>
      <c r="L11" s="1" t="s">
        <v>20</v>
      </c>
      <c r="M11" s="11" t="str">
        <f t="shared" si="0"/>
        <v xml:space="preserve">스핀들유격: </v>
      </c>
      <c r="N11" s="11" t="str">
        <f t="shared" si="0"/>
        <v xml:space="preserve">스핀들유격: </v>
      </c>
      <c r="O11" s="11" t="str">
        <f t="shared" si="0"/>
        <v xml:space="preserve">스핀들유격: </v>
      </c>
      <c r="P11" s="11" t="str">
        <f t="shared" si="0"/>
        <v xml:space="preserve">스핀들유격: 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4"/>
        <v>-</v>
      </c>
      <c r="AB11" s="1" t="s">
        <v>20</v>
      </c>
      <c r="AC11" s="2"/>
      <c r="AD11" s="12">
        <v>5</v>
      </c>
      <c r="AE11" s="11" t="str">
        <f t="shared" si="5"/>
        <v>Dimensions: L W H</v>
      </c>
      <c r="AF11" s="9" t="str">
        <f t="shared" si="6"/>
        <v>완료</v>
      </c>
      <c r="AG11" s="1" t="s">
        <v>61</v>
      </c>
      <c r="AH11" s="3"/>
    </row>
    <row r="12" spans="1:43" x14ac:dyDescent="0.45">
      <c r="A12" s="8" t="s">
        <v>22</v>
      </c>
      <c r="B12" s="8" t="s">
        <v>22</v>
      </c>
      <c r="C12" s="8" t="s">
        <v>22</v>
      </c>
      <c r="D12" s="8" t="s">
        <v>22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 t="s">
        <v>22</v>
      </c>
      <c r="S12" s="8" t="s">
        <v>22</v>
      </c>
      <c r="T12" s="8" t="s">
        <v>22</v>
      </c>
      <c r="U12" s="8" t="s">
        <v>22</v>
      </c>
      <c r="V12" s="8" t="s">
        <v>22</v>
      </c>
      <c r="W12" s="8" t="s">
        <v>22</v>
      </c>
      <c r="X12" s="8" t="s">
        <v>22</v>
      </c>
      <c r="Y12" s="8" t="s">
        <v>22</v>
      </c>
      <c r="Z12" s="8" t="s">
        <v>22</v>
      </c>
      <c r="AA12" s="8" t="s">
        <v>22</v>
      </c>
      <c r="AB12" s="8" t="s">
        <v>22</v>
      </c>
      <c r="AC12" s="8" t="s">
        <v>22</v>
      </c>
      <c r="AD12" s="8" t="s">
        <v>22</v>
      </c>
      <c r="AE12" s="8" t="s">
        <v>22</v>
      </c>
      <c r="AF12" s="8" t="s">
        <v>22</v>
      </c>
      <c r="AG12" s="8" t="s">
        <v>22</v>
      </c>
      <c r="AH12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 AF11">
    <cfRule type="containsText" dxfId="43" priority="11" operator="containsText" text="완료">
      <formula>NOT(ISERROR(SEARCH("완료",AF7)))</formula>
    </cfRule>
    <cfRule type="containsText" dxfId="42" priority="12" operator="containsText" text="중단">
      <formula>NOT(ISERROR(SEARCH("중단",AF7)))</formula>
    </cfRule>
  </conditionalFormatting>
  <conditionalFormatting sqref="D7:D9 B7:B9 B11 D11">
    <cfRule type="containsText" dxfId="41" priority="9" operator="containsText" text="신품">
      <formula>NOT(ISERROR(SEARCH("신품",B7)))</formula>
    </cfRule>
    <cfRule type="containsText" dxfId="40" priority="10" operator="containsText" text="중고">
      <formula>NOT(ISERROR(SEARCH("중고",B7)))</formula>
    </cfRule>
  </conditionalFormatting>
  <conditionalFormatting sqref="E7:E9 E11">
    <cfRule type="containsText" dxfId="39" priority="7" operator="containsText" text="신품">
      <formula>NOT(ISERROR(SEARCH("신품",E7)))</formula>
    </cfRule>
    <cfRule type="containsText" dxfId="38" priority="8" operator="containsText" text="중고">
      <formula>NOT(ISERROR(SEARCH("중고",E7)))</formula>
    </cfRule>
  </conditionalFormatting>
  <conditionalFormatting sqref="AF10">
    <cfRule type="containsText" dxfId="17" priority="5" operator="containsText" text="완료">
      <formula>NOT(ISERROR(SEARCH("완료",AF10)))</formula>
    </cfRule>
    <cfRule type="containsText" dxfId="16" priority="6" operator="containsText" text="중단">
      <formula>NOT(ISERROR(SEARCH("중단",AF10)))</formula>
    </cfRule>
  </conditionalFormatting>
  <conditionalFormatting sqref="D10 B10">
    <cfRule type="containsText" dxfId="15" priority="3" operator="containsText" text="신품">
      <formula>NOT(ISERROR(SEARCH("신품",B10)))</formula>
    </cfRule>
    <cfRule type="containsText" dxfId="14" priority="4" operator="containsText" text="중고">
      <formula>NOT(ISERROR(SEARCH("중고",B10)))</formula>
    </cfRule>
  </conditionalFormatting>
  <conditionalFormatting sqref="E10">
    <cfRule type="containsText" dxfId="13" priority="1" operator="containsText" text="신품">
      <formula>NOT(ISERROR(SEARCH("신품",E10)))</formula>
    </cfRule>
    <cfRule type="containsText" dxfId="12" priority="2" operator="containsText" text="중고">
      <formula>NOT(ISERROR(SEARCH("중고",E10)))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dimension ref="A1:AQ12"/>
  <sheetViews>
    <sheetView zoomScale="67" workbookViewId="0">
      <selection activeCell="A11" sqref="A11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</row>
    <row r="2" spans="1:43" x14ac:dyDescent="0.45">
      <c r="A2" s="40" t="s">
        <v>12</v>
      </c>
      <c r="B2" s="40" t="s">
        <v>55</v>
      </c>
      <c r="C2" s="40"/>
      <c r="D2" s="40"/>
      <c r="E2" s="40"/>
      <c r="F2" s="23"/>
      <c r="G2" s="41" t="s">
        <v>24</v>
      </c>
      <c r="H2" s="42"/>
      <c r="I2" s="42"/>
      <c r="J2" s="43"/>
      <c r="K2" s="50" t="s">
        <v>45</v>
      </c>
      <c r="L2" s="53" t="s">
        <v>36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53" t="s">
        <v>11</v>
      </c>
      <c r="AC2" s="55"/>
      <c r="AD2" s="61" t="s">
        <v>56</v>
      </c>
      <c r="AE2" s="62"/>
      <c r="AF2" s="62"/>
      <c r="AG2" s="62"/>
      <c r="AH2" s="63"/>
    </row>
    <row r="3" spans="1:43" x14ac:dyDescent="0.45">
      <c r="A3" s="40"/>
      <c r="B3" s="40"/>
      <c r="C3" s="40"/>
      <c r="D3" s="40"/>
      <c r="E3" s="40"/>
      <c r="F3" s="24"/>
      <c r="G3" s="44"/>
      <c r="H3" s="45"/>
      <c r="I3" s="45"/>
      <c r="J3" s="46"/>
      <c r="K3" s="51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9"/>
      <c r="AC3" s="60"/>
      <c r="AD3" s="64"/>
      <c r="AE3" s="65"/>
      <c r="AF3" s="65"/>
      <c r="AG3" s="65"/>
      <c r="AH3" s="66"/>
    </row>
    <row r="4" spans="1:43" x14ac:dyDescent="0.45">
      <c r="A4" s="40"/>
      <c r="B4" s="40"/>
      <c r="C4" s="40"/>
      <c r="D4" s="40"/>
      <c r="E4" s="40"/>
      <c r="F4" s="24"/>
      <c r="G4" s="44"/>
      <c r="H4" s="45"/>
      <c r="I4" s="45"/>
      <c r="J4" s="46"/>
      <c r="K4" s="51"/>
      <c r="L4" s="31"/>
      <c r="M4" s="34" t="s">
        <v>51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19" t="s">
        <v>52</v>
      </c>
      <c r="AA4" s="19" t="s">
        <v>53</v>
      </c>
      <c r="AB4" s="59"/>
      <c r="AC4" s="60"/>
      <c r="AD4" s="64"/>
      <c r="AE4" s="65"/>
      <c r="AF4" s="65"/>
      <c r="AG4" s="65"/>
      <c r="AH4" s="66"/>
    </row>
    <row r="5" spans="1:43" x14ac:dyDescent="0.45">
      <c r="A5" s="40"/>
      <c r="B5" s="40" t="s">
        <v>54</v>
      </c>
      <c r="C5" s="40"/>
      <c r="D5" s="40"/>
      <c r="E5" s="40"/>
      <c r="F5" s="25"/>
      <c r="G5" s="47"/>
      <c r="H5" s="48"/>
      <c r="I5" s="48"/>
      <c r="J5" s="49"/>
      <c r="K5" s="52"/>
      <c r="L5" s="30" t="s">
        <v>40</v>
      </c>
      <c r="M5" s="33" t="s">
        <v>40</v>
      </c>
      <c r="N5" s="34"/>
      <c r="O5" s="34"/>
      <c r="P5" s="35"/>
      <c r="Q5" s="33" t="s">
        <v>25</v>
      </c>
      <c r="R5" s="34"/>
      <c r="S5" s="34"/>
      <c r="T5" s="35"/>
      <c r="U5" s="36" t="s">
        <v>46</v>
      </c>
      <c r="V5" s="36"/>
      <c r="W5" s="36"/>
      <c r="X5" s="36"/>
      <c r="Y5" s="36"/>
      <c r="Z5" s="21"/>
      <c r="AA5" s="19"/>
      <c r="AB5" s="59"/>
      <c r="AC5" s="60"/>
      <c r="AD5" s="67"/>
      <c r="AE5" s="68"/>
      <c r="AF5" s="68"/>
      <c r="AG5" s="68"/>
      <c r="AH5" s="69"/>
    </row>
    <row r="6" spans="1:43" x14ac:dyDescent="0.45">
      <c r="A6" s="29" t="s">
        <v>37</v>
      </c>
      <c r="B6" s="32" t="s">
        <v>5</v>
      </c>
      <c r="C6" s="32" t="s">
        <v>16</v>
      </c>
      <c r="D6" s="32" t="s">
        <v>17</v>
      </c>
      <c r="E6" s="32" t="s">
        <v>6</v>
      </c>
      <c r="F6" s="29" t="s">
        <v>19</v>
      </c>
      <c r="G6" s="29" t="s">
        <v>28</v>
      </c>
      <c r="H6" s="29" t="s">
        <v>29</v>
      </c>
      <c r="I6" s="29" t="s">
        <v>38</v>
      </c>
      <c r="J6" s="29" t="s">
        <v>30</v>
      </c>
      <c r="K6" s="29" t="s">
        <v>39</v>
      </c>
      <c r="L6" s="32" t="s">
        <v>35</v>
      </c>
      <c r="M6" s="32" t="s">
        <v>5</v>
      </c>
      <c r="N6" s="32" t="s">
        <v>16</v>
      </c>
      <c r="O6" s="32" t="s">
        <v>17</v>
      </c>
      <c r="P6" s="32" t="s">
        <v>6</v>
      </c>
      <c r="Q6" s="32" t="s">
        <v>5</v>
      </c>
      <c r="R6" s="32" t="s">
        <v>16</v>
      </c>
      <c r="S6" s="32" t="s">
        <v>17</v>
      </c>
      <c r="T6" s="32" t="s">
        <v>6</v>
      </c>
      <c r="U6" s="32" t="s">
        <v>5</v>
      </c>
      <c r="V6" s="32" t="s">
        <v>16</v>
      </c>
      <c r="W6" s="32" t="s">
        <v>17</v>
      </c>
      <c r="X6" s="32" t="s">
        <v>6</v>
      </c>
      <c r="Y6" s="32" t="s">
        <v>59</v>
      </c>
      <c r="Z6" s="22" t="s">
        <v>57</v>
      </c>
      <c r="AA6" s="20" t="s">
        <v>58</v>
      </c>
      <c r="AB6" s="56"/>
      <c r="AC6" s="58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60</v>
      </c>
      <c r="C7" s="1" t="s">
        <v>20</v>
      </c>
      <c r="D7" s="1" t="s">
        <v>20</v>
      </c>
      <c r="E7" s="1" t="s">
        <v>60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상수!B$4,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1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1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1" si="2">IF(MOD($AD7,5)=0, "스핀들소음 :","-" )</f>
        <v>-</v>
      </c>
      <c r="Z7" s="11" t="str">
        <f t="shared" ref="Z7:Z11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62</v>
      </c>
      <c r="AH7" s="3"/>
    </row>
    <row r="8" spans="1:43" x14ac:dyDescent="0.45">
      <c r="A8" s="4">
        <v>45971</v>
      </c>
      <c r="B8" s="1" t="s">
        <v>60</v>
      </c>
      <c r="C8" s="1" t="s">
        <v>20</v>
      </c>
      <c r="D8" s="1" t="s">
        <v>20</v>
      </c>
      <c r="E8" s="1" t="s">
        <v>60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상수!B$4,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11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11" si="5">IF(AD8="","",
  IF(MOD($AD8,1)=0,
    "Dimensions: L W H",
    "-"
  )
)</f>
        <v>Dimensions: L W H</v>
      </c>
      <c r="AF8" s="9" t="str">
        <f t="shared" ref="AF8:AF11" si="6">IF(AG8="","",
  IF(MOD($AD8,1)=0,
    "완료",
    "-"
  )
)</f>
        <v>완료</v>
      </c>
      <c r="AG8" s="1" t="s">
        <v>61</v>
      </c>
      <c r="AH8" s="3"/>
    </row>
    <row r="9" spans="1:43" x14ac:dyDescent="0.45">
      <c r="A9" s="4">
        <v>45971</v>
      </c>
      <c r="B9" s="1" t="s">
        <v>60</v>
      </c>
      <c r="C9" s="1" t="s">
        <v>20</v>
      </c>
      <c r="D9" s="1" t="s">
        <v>20</v>
      </c>
      <c r="E9" s="1" t="s">
        <v>60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상수!B$4,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61</v>
      </c>
      <c r="AH9" s="3"/>
    </row>
    <row r="10" spans="1:43" x14ac:dyDescent="0.45">
      <c r="A10" s="4">
        <v>45971</v>
      </c>
      <c r="B10" s="1" t="s">
        <v>60</v>
      </c>
      <c r="C10" s="1" t="s">
        <v>20</v>
      </c>
      <c r="D10" s="1" t="s">
        <v>20</v>
      </c>
      <c r="E10" s="1" t="s">
        <v>60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상수!B$4,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" si="7">IF($AD10="","",
  IF(MOD(AD10,160)=0,
    "TENSION (XL : / ZL : / XR : / ZR : / Y : )" &amp; CHAR(10) &amp;
    "필터교체",
    "-"
  )
)</f>
        <v>-</v>
      </c>
      <c r="AB10" s="1" t="s">
        <v>20</v>
      </c>
      <c r="AC10" s="2"/>
      <c r="AD10" s="12">
        <v>4</v>
      </c>
      <c r="AE10" s="11" t="str">
        <f t="shared" ref="AE10" si="8">IF(AD10="","",
  IF(MOD($AD10,1)=0,
    "Dimensions: L W H",
    "-"
  )
)</f>
        <v>Dimensions: L W H</v>
      </c>
      <c r="AF10" s="9" t="str">
        <f t="shared" ref="AF10" si="9">IF(AG10="","",
  IF(MOD($AD10,1)=0,
    "완료",
    "-"
  )
)</f>
        <v>완료</v>
      </c>
      <c r="AG10" s="1" t="s">
        <v>61</v>
      </c>
      <c r="AH10" s="3"/>
    </row>
    <row r="11" spans="1:43" x14ac:dyDescent="0.45">
      <c r="A11" s="4">
        <v>45971</v>
      </c>
      <c r="B11" s="1" t="s">
        <v>60</v>
      </c>
      <c r="C11" s="1" t="s">
        <v>20</v>
      </c>
      <c r="D11" s="1" t="s">
        <v>20</v>
      </c>
      <c r="E11" s="1" t="s">
        <v>60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상수!B$4, "")</f>
        <v>2.2599999999999998</v>
      </c>
      <c r="L11" s="1" t="s">
        <v>20</v>
      </c>
      <c r="M11" s="11" t="str">
        <f t="shared" si="0"/>
        <v xml:space="preserve">스핀들유격: </v>
      </c>
      <c r="N11" s="11" t="str">
        <f t="shared" si="0"/>
        <v xml:space="preserve">스핀들유격: </v>
      </c>
      <c r="O11" s="11" t="str">
        <f t="shared" si="0"/>
        <v xml:space="preserve">스핀들유격: </v>
      </c>
      <c r="P11" s="11" t="str">
        <f t="shared" si="0"/>
        <v xml:space="preserve">스핀들유격: 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4"/>
        <v>-</v>
      </c>
      <c r="AB11" s="1" t="s">
        <v>20</v>
      </c>
      <c r="AC11" s="2"/>
      <c r="AD11" s="12">
        <v>5</v>
      </c>
      <c r="AE11" s="11" t="str">
        <f t="shared" si="5"/>
        <v>Dimensions: L W H</v>
      </c>
      <c r="AF11" s="9" t="str">
        <f t="shared" si="6"/>
        <v>완료</v>
      </c>
      <c r="AG11" s="1" t="s">
        <v>61</v>
      </c>
      <c r="AH11" s="3"/>
    </row>
    <row r="12" spans="1:43" x14ac:dyDescent="0.45">
      <c r="A12" s="8" t="s">
        <v>22</v>
      </c>
      <c r="B12" s="8" t="s">
        <v>22</v>
      </c>
      <c r="C12" s="8" t="s">
        <v>22</v>
      </c>
      <c r="D12" s="8" t="s">
        <v>22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 t="s">
        <v>22</v>
      </c>
      <c r="S12" s="8" t="s">
        <v>22</v>
      </c>
      <c r="T12" s="8" t="s">
        <v>22</v>
      </c>
      <c r="U12" s="8" t="s">
        <v>22</v>
      </c>
      <c r="V12" s="8" t="s">
        <v>22</v>
      </c>
      <c r="W12" s="8" t="s">
        <v>22</v>
      </c>
      <c r="X12" s="8" t="s">
        <v>22</v>
      </c>
      <c r="Y12" s="8" t="s">
        <v>22</v>
      </c>
      <c r="Z12" s="8" t="s">
        <v>22</v>
      </c>
      <c r="AA12" s="8" t="s">
        <v>22</v>
      </c>
      <c r="AB12" s="8" t="s">
        <v>22</v>
      </c>
      <c r="AC12" s="8" t="s">
        <v>22</v>
      </c>
      <c r="AD12" s="8" t="s">
        <v>22</v>
      </c>
      <c r="AE12" s="8" t="s">
        <v>22</v>
      </c>
      <c r="AF12" s="8" t="s">
        <v>22</v>
      </c>
      <c r="AG12" s="8" t="s">
        <v>22</v>
      </c>
      <c r="AH12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 AF11">
    <cfRule type="containsText" dxfId="37" priority="11" operator="containsText" text="완료">
      <formula>NOT(ISERROR(SEARCH("완료",AF7)))</formula>
    </cfRule>
    <cfRule type="containsText" dxfId="36" priority="12" operator="containsText" text="중단">
      <formula>NOT(ISERROR(SEARCH("중단",AF7)))</formula>
    </cfRule>
  </conditionalFormatting>
  <conditionalFormatting sqref="D7:D9 B7:B9 B11 D11">
    <cfRule type="containsText" dxfId="35" priority="9" operator="containsText" text="신품">
      <formula>NOT(ISERROR(SEARCH("신품",B7)))</formula>
    </cfRule>
    <cfRule type="containsText" dxfId="34" priority="10" operator="containsText" text="중고">
      <formula>NOT(ISERROR(SEARCH("중고",B7)))</formula>
    </cfRule>
  </conditionalFormatting>
  <conditionalFormatting sqref="E7:E9 E11">
    <cfRule type="containsText" dxfId="33" priority="7" operator="containsText" text="신품">
      <formula>NOT(ISERROR(SEARCH("신품",E7)))</formula>
    </cfRule>
    <cfRule type="containsText" dxfId="32" priority="8" operator="containsText" text="중고">
      <formula>NOT(ISERROR(SEARCH("중고",E7)))</formula>
    </cfRule>
  </conditionalFormatting>
  <conditionalFormatting sqref="AF10">
    <cfRule type="containsText" dxfId="5" priority="5" operator="containsText" text="완료">
      <formula>NOT(ISERROR(SEARCH("완료",AF10)))</formula>
    </cfRule>
    <cfRule type="containsText" dxfId="4" priority="6" operator="containsText" text="중단">
      <formula>NOT(ISERROR(SEARCH("중단",AF10)))</formula>
    </cfRule>
  </conditionalFormatting>
  <conditionalFormatting sqref="D10 B10">
    <cfRule type="containsText" dxfId="3" priority="3" operator="containsText" text="신품">
      <formula>NOT(ISERROR(SEARCH("신품",B10)))</formula>
    </cfRule>
    <cfRule type="containsText" dxfId="2" priority="4" operator="containsText" text="중고">
      <formula>NOT(ISERROR(SEARCH("중고",B10)))</formula>
    </cfRule>
  </conditionalFormatting>
  <conditionalFormatting sqref="E10">
    <cfRule type="containsText" dxfId="1" priority="1" operator="containsText" text="신품">
      <formula>NOT(ISERROR(SEARCH("신품",E10)))</formula>
    </cfRule>
    <cfRule type="containsText" dxfId="0" priority="2" operator="containsText" text="중고">
      <formula>NOT(ISERROR(SEARCH("중고",E10)))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dimension ref="A1:AQ12"/>
  <sheetViews>
    <sheetView topLeftCell="AC1" zoomScale="67" workbookViewId="0">
      <selection activeCell="AD11" sqref="AD11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</row>
    <row r="2" spans="1:43" x14ac:dyDescent="0.45">
      <c r="A2" s="40" t="s">
        <v>12</v>
      </c>
      <c r="B2" s="40" t="s">
        <v>55</v>
      </c>
      <c r="C2" s="40"/>
      <c r="D2" s="40"/>
      <c r="E2" s="40"/>
      <c r="F2" s="23"/>
      <c r="G2" s="41" t="s">
        <v>24</v>
      </c>
      <c r="H2" s="42"/>
      <c r="I2" s="42"/>
      <c r="J2" s="43"/>
      <c r="K2" s="50" t="s">
        <v>45</v>
      </c>
      <c r="L2" s="53" t="s">
        <v>36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53" t="s">
        <v>11</v>
      </c>
      <c r="AC2" s="55"/>
      <c r="AD2" s="61" t="s">
        <v>56</v>
      </c>
      <c r="AE2" s="62"/>
      <c r="AF2" s="62"/>
      <c r="AG2" s="62"/>
      <c r="AH2" s="63"/>
    </row>
    <row r="3" spans="1:43" x14ac:dyDescent="0.45">
      <c r="A3" s="40"/>
      <c r="B3" s="40"/>
      <c r="C3" s="40"/>
      <c r="D3" s="40"/>
      <c r="E3" s="40"/>
      <c r="F3" s="24"/>
      <c r="G3" s="44"/>
      <c r="H3" s="45"/>
      <c r="I3" s="45"/>
      <c r="J3" s="46"/>
      <c r="K3" s="51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9"/>
      <c r="AC3" s="60"/>
      <c r="AD3" s="64"/>
      <c r="AE3" s="65"/>
      <c r="AF3" s="65"/>
      <c r="AG3" s="65"/>
      <c r="AH3" s="66"/>
    </row>
    <row r="4" spans="1:43" x14ac:dyDescent="0.45">
      <c r="A4" s="40"/>
      <c r="B4" s="40"/>
      <c r="C4" s="40"/>
      <c r="D4" s="40"/>
      <c r="E4" s="40"/>
      <c r="F4" s="24"/>
      <c r="G4" s="44"/>
      <c r="H4" s="45"/>
      <c r="I4" s="45"/>
      <c r="J4" s="46"/>
      <c r="K4" s="51"/>
      <c r="L4" s="31"/>
      <c r="M4" s="34" t="s">
        <v>51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19" t="s">
        <v>52</v>
      </c>
      <c r="AA4" s="19" t="s">
        <v>53</v>
      </c>
      <c r="AB4" s="59"/>
      <c r="AC4" s="60"/>
      <c r="AD4" s="64"/>
      <c r="AE4" s="65"/>
      <c r="AF4" s="65"/>
      <c r="AG4" s="65"/>
      <c r="AH4" s="66"/>
    </row>
    <row r="5" spans="1:43" x14ac:dyDescent="0.45">
      <c r="A5" s="40"/>
      <c r="B5" s="40" t="s">
        <v>54</v>
      </c>
      <c r="C5" s="40"/>
      <c r="D5" s="40"/>
      <c r="E5" s="40"/>
      <c r="F5" s="25"/>
      <c r="G5" s="47"/>
      <c r="H5" s="48"/>
      <c r="I5" s="48"/>
      <c r="J5" s="49"/>
      <c r="K5" s="52"/>
      <c r="L5" s="30" t="s">
        <v>40</v>
      </c>
      <c r="M5" s="33" t="s">
        <v>40</v>
      </c>
      <c r="N5" s="34"/>
      <c r="O5" s="34"/>
      <c r="P5" s="35"/>
      <c r="Q5" s="33" t="s">
        <v>25</v>
      </c>
      <c r="R5" s="34"/>
      <c r="S5" s="34"/>
      <c r="T5" s="35"/>
      <c r="U5" s="36" t="s">
        <v>46</v>
      </c>
      <c r="V5" s="36"/>
      <c r="W5" s="36"/>
      <c r="X5" s="36"/>
      <c r="Y5" s="36"/>
      <c r="Z5" s="21"/>
      <c r="AA5" s="19"/>
      <c r="AB5" s="59"/>
      <c r="AC5" s="60"/>
      <c r="AD5" s="67"/>
      <c r="AE5" s="68"/>
      <c r="AF5" s="68"/>
      <c r="AG5" s="68"/>
      <c r="AH5" s="69"/>
    </row>
    <row r="6" spans="1:43" x14ac:dyDescent="0.45">
      <c r="A6" s="29" t="s">
        <v>37</v>
      </c>
      <c r="B6" s="32" t="s">
        <v>5</v>
      </c>
      <c r="C6" s="32" t="s">
        <v>16</v>
      </c>
      <c r="D6" s="32" t="s">
        <v>17</v>
      </c>
      <c r="E6" s="32" t="s">
        <v>6</v>
      </c>
      <c r="F6" s="29" t="s">
        <v>19</v>
      </c>
      <c r="G6" s="29" t="s">
        <v>28</v>
      </c>
      <c r="H6" s="29" t="s">
        <v>29</v>
      </c>
      <c r="I6" s="29" t="s">
        <v>38</v>
      </c>
      <c r="J6" s="29" t="s">
        <v>30</v>
      </c>
      <c r="K6" s="29" t="s">
        <v>39</v>
      </c>
      <c r="L6" s="32" t="s">
        <v>35</v>
      </c>
      <c r="M6" s="32" t="s">
        <v>5</v>
      </c>
      <c r="N6" s="32" t="s">
        <v>16</v>
      </c>
      <c r="O6" s="32" t="s">
        <v>17</v>
      </c>
      <c r="P6" s="32" t="s">
        <v>6</v>
      </c>
      <c r="Q6" s="32" t="s">
        <v>5</v>
      </c>
      <c r="R6" s="32" t="s">
        <v>16</v>
      </c>
      <c r="S6" s="32" t="s">
        <v>17</v>
      </c>
      <c r="T6" s="32" t="s">
        <v>6</v>
      </c>
      <c r="U6" s="32" t="s">
        <v>5</v>
      </c>
      <c r="V6" s="32" t="s">
        <v>16</v>
      </c>
      <c r="W6" s="32" t="s">
        <v>17</v>
      </c>
      <c r="X6" s="32" t="s">
        <v>6</v>
      </c>
      <c r="Y6" s="32" t="s">
        <v>59</v>
      </c>
      <c r="Z6" s="22" t="s">
        <v>57</v>
      </c>
      <c r="AA6" s="20" t="s">
        <v>58</v>
      </c>
      <c r="AB6" s="56"/>
      <c r="AC6" s="58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60</v>
      </c>
      <c r="C7" s="1" t="s">
        <v>20</v>
      </c>
      <c r="D7" s="1" t="s">
        <v>20</v>
      </c>
      <c r="E7" s="1" t="s">
        <v>60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상수!B$4,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1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1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1" si="2">IF(MOD($AD7,5)=0, "스핀들소음 :","-" )</f>
        <v>-</v>
      </c>
      <c r="Z7" s="11" t="str">
        <f t="shared" ref="Z7:Z11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62</v>
      </c>
      <c r="AH7" s="3"/>
    </row>
    <row r="8" spans="1:43" x14ac:dyDescent="0.45">
      <c r="A8" s="4">
        <v>45971</v>
      </c>
      <c r="B8" s="1" t="s">
        <v>60</v>
      </c>
      <c r="C8" s="1" t="s">
        <v>20</v>
      </c>
      <c r="D8" s="1" t="s">
        <v>20</v>
      </c>
      <c r="E8" s="1" t="s">
        <v>60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상수!B$4,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11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11" si="5">IF(AD8="","",
  IF(MOD($AD8,1)=0,
    "Dimensions: L W H",
    "-"
  )
)</f>
        <v>Dimensions: L W H</v>
      </c>
      <c r="AF8" s="9" t="str">
        <f t="shared" ref="AF8:AF11" si="6">IF(AG8="","",
  IF(MOD($AD8,1)=0,
    "완료",
    "-"
  )
)</f>
        <v>완료</v>
      </c>
      <c r="AG8" s="1" t="s">
        <v>61</v>
      </c>
      <c r="AH8" s="3"/>
    </row>
    <row r="9" spans="1:43" x14ac:dyDescent="0.45">
      <c r="A9" s="4">
        <v>45971</v>
      </c>
      <c r="B9" s="1" t="s">
        <v>60</v>
      </c>
      <c r="C9" s="1" t="s">
        <v>20</v>
      </c>
      <c r="D9" s="1" t="s">
        <v>20</v>
      </c>
      <c r="E9" s="1" t="s">
        <v>60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상수!B$4,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61</v>
      </c>
      <c r="AH9" s="3"/>
    </row>
    <row r="10" spans="1:43" x14ac:dyDescent="0.45">
      <c r="A10" s="4">
        <v>45971</v>
      </c>
      <c r="B10" s="1" t="s">
        <v>60</v>
      </c>
      <c r="C10" s="1" t="s">
        <v>20</v>
      </c>
      <c r="D10" s="1" t="s">
        <v>20</v>
      </c>
      <c r="E10" s="1" t="s">
        <v>60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상수!B$4,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" si="7">IF($AD10="","",
  IF(MOD(AD10,160)=0,
    "TENSION (XL : / ZL : / XR : / ZR : / Y : )" &amp; CHAR(10) &amp;
    "필터교체",
    "-"
  )
)</f>
        <v>-</v>
      </c>
      <c r="AB10" s="1" t="s">
        <v>20</v>
      </c>
      <c r="AC10" s="2"/>
      <c r="AD10" s="12">
        <v>4</v>
      </c>
      <c r="AE10" s="11" t="str">
        <f t="shared" ref="AE10" si="8">IF(AD10="","",
  IF(MOD($AD10,1)=0,
    "Dimensions: L W H",
    "-"
  )
)</f>
        <v>Dimensions: L W H</v>
      </c>
      <c r="AF10" s="9" t="str">
        <f t="shared" ref="AF10" si="9">IF(AG10="","",
  IF(MOD($AD10,1)=0,
    "완료",
    "-"
  )
)</f>
        <v>완료</v>
      </c>
      <c r="AG10" s="1" t="s">
        <v>61</v>
      </c>
      <c r="AH10" s="3"/>
    </row>
    <row r="11" spans="1:43" x14ac:dyDescent="0.45">
      <c r="A11" s="4">
        <v>45971</v>
      </c>
      <c r="B11" s="1" t="s">
        <v>60</v>
      </c>
      <c r="C11" s="1" t="s">
        <v>20</v>
      </c>
      <c r="D11" s="1" t="s">
        <v>20</v>
      </c>
      <c r="E11" s="1" t="s">
        <v>60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상수!B$4, "")</f>
        <v>2.2599999999999998</v>
      </c>
      <c r="L11" s="1" t="s">
        <v>20</v>
      </c>
      <c r="M11" s="11" t="str">
        <f t="shared" si="0"/>
        <v xml:space="preserve">스핀들유격: </v>
      </c>
      <c r="N11" s="11" t="str">
        <f t="shared" si="0"/>
        <v xml:space="preserve">스핀들유격: </v>
      </c>
      <c r="O11" s="11" t="str">
        <f t="shared" si="0"/>
        <v xml:space="preserve">스핀들유격: </v>
      </c>
      <c r="P11" s="11" t="str">
        <f t="shared" si="0"/>
        <v xml:space="preserve">스핀들유격: 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4"/>
        <v>-</v>
      </c>
      <c r="AB11" s="1" t="s">
        <v>20</v>
      </c>
      <c r="AC11" s="2"/>
      <c r="AD11" s="12">
        <v>5</v>
      </c>
      <c r="AE11" s="11" t="str">
        <f t="shared" si="5"/>
        <v>Dimensions: L W H</v>
      </c>
      <c r="AF11" s="9" t="str">
        <f t="shared" si="6"/>
        <v>완료</v>
      </c>
      <c r="AG11" s="1" t="s">
        <v>61</v>
      </c>
      <c r="AH11" s="3"/>
    </row>
    <row r="12" spans="1:43" x14ac:dyDescent="0.45">
      <c r="A12" s="8" t="s">
        <v>22</v>
      </c>
      <c r="B12" s="8" t="s">
        <v>22</v>
      </c>
      <c r="C12" s="8" t="s">
        <v>22</v>
      </c>
      <c r="D12" s="8" t="s">
        <v>22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 t="s">
        <v>22</v>
      </c>
      <c r="S12" s="8" t="s">
        <v>22</v>
      </c>
      <c r="T12" s="8" t="s">
        <v>22</v>
      </c>
      <c r="U12" s="8" t="s">
        <v>22</v>
      </c>
      <c r="V12" s="8" t="s">
        <v>22</v>
      </c>
      <c r="W12" s="8" t="s">
        <v>22</v>
      </c>
      <c r="X12" s="8" t="s">
        <v>22</v>
      </c>
      <c r="Y12" s="8" t="s">
        <v>22</v>
      </c>
      <c r="Z12" s="8" t="s">
        <v>22</v>
      </c>
      <c r="AA12" s="8" t="s">
        <v>22</v>
      </c>
      <c r="AB12" s="8" t="s">
        <v>22</v>
      </c>
      <c r="AC12" s="8" t="s">
        <v>22</v>
      </c>
      <c r="AD12" s="8" t="s">
        <v>22</v>
      </c>
      <c r="AE12" s="8" t="s">
        <v>22</v>
      </c>
      <c r="AF12" s="8" t="s">
        <v>22</v>
      </c>
      <c r="AG12" s="8" t="s">
        <v>22</v>
      </c>
      <c r="AH12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 AF11">
    <cfRule type="containsText" dxfId="31" priority="11" operator="containsText" text="완료">
      <formula>NOT(ISERROR(SEARCH("완료",AF7)))</formula>
    </cfRule>
    <cfRule type="containsText" dxfId="30" priority="12" operator="containsText" text="중단">
      <formula>NOT(ISERROR(SEARCH("중단",AF7)))</formula>
    </cfRule>
  </conditionalFormatting>
  <conditionalFormatting sqref="D7:D9 B7:B9 B11 D11">
    <cfRule type="containsText" dxfId="29" priority="9" operator="containsText" text="신품">
      <formula>NOT(ISERROR(SEARCH("신품",B7)))</formula>
    </cfRule>
    <cfRule type="containsText" dxfId="28" priority="10" operator="containsText" text="중고">
      <formula>NOT(ISERROR(SEARCH("중고",B7)))</formula>
    </cfRule>
  </conditionalFormatting>
  <conditionalFormatting sqref="E7:E9 E11">
    <cfRule type="containsText" dxfId="27" priority="7" operator="containsText" text="신품">
      <formula>NOT(ISERROR(SEARCH("신품",E7)))</formula>
    </cfRule>
    <cfRule type="containsText" dxfId="26" priority="8" operator="containsText" text="중고">
      <formula>NOT(ISERROR(SEARCH("중고",E7)))</formula>
    </cfRule>
  </conditionalFormatting>
  <conditionalFormatting sqref="AF10">
    <cfRule type="containsText" dxfId="11" priority="5" operator="containsText" text="완료">
      <formula>NOT(ISERROR(SEARCH("완료",AF10)))</formula>
    </cfRule>
    <cfRule type="containsText" dxfId="10" priority="6" operator="containsText" text="중단">
      <formula>NOT(ISERROR(SEARCH("중단",AF10)))</formula>
    </cfRule>
  </conditionalFormatting>
  <conditionalFormatting sqref="D10 B10">
    <cfRule type="containsText" dxfId="9" priority="3" operator="containsText" text="신품">
      <formula>NOT(ISERROR(SEARCH("신품",B10)))</formula>
    </cfRule>
    <cfRule type="containsText" dxfId="8" priority="4" operator="containsText" text="중고">
      <formula>NOT(ISERROR(SEARCH("중고",B10)))</formula>
    </cfRule>
  </conditionalFormatting>
  <conditionalFormatting sqref="E10">
    <cfRule type="containsText" dxfId="7" priority="1" operator="containsText" text="신품">
      <formula>NOT(ISERROR(SEARCH("신품",E10)))</formula>
    </cfRule>
    <cfRule type="containsText" dxfId="6" priority="2" operator="containsText" text="중고">
      <formula>NOT(ISERROR(SEARCH("중고",E10)))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dimension ref="A1:K6"/>
  <sheetViews>
    <sheetView workbookViewId="0">
      <selection activeCell="A33" sqref="A33"/>
    </sheetView>
  </sheetViews>
  <sheetFormatPr defaultRowHeight="17" x14ac:dyDescent="0.45"/>
  <cols>
    <col min="1" max="1" width="16.75" bestFit="1" customWidth="1"/>
    <col min="2" max="2" width="12.08203125" bestFit="1" customWidth="1"/>
  </cols>
  <sheetData>
    <row r="1" spans="1:11" x14ac:dyDescent="0.45">
      <c r="A1" s="70" t="s">
        <v>50</v>
      </c>
      <c r="B1" s="70"/>
      <c r="C1" s="70"/>
      <c r="D1" s="70"/>
      <c r="E1" s="70" t="s">
        <v>49</v>
      </c>
      <c r="F1" s="70"/>
      <c r="G1" s="70"/>
      <c r="H1" s="70"/>
      <c r="I1" s="70"/>
      <c r="J1" s="70"/>
      <c r="K1" s="70"/>
    </row>
    <row r="2" spans="1:11" x14ac:dyDescent="0.45">
      <c r="A2" s="70" t="s">
        <v>44</v>
      </c>
      <c r="B2" s="70"/>
      <c r="C2" s="70"/>
      <c r="D2" s="70"/>
      <c r="E2" s="70" t="s">
        <v>42</v>
      </c>
      <c r="F2" s="70"/>
      <c r="G2" s="70"/>
      <c r="H2" s="70"/>
      <c r="I2" s="70"/>
      <c r="J2" s="70"/>
      <c r="K2" s="70"/>
    </row>
    <row r="3" spans="1:11" x14ac:dyDescent="0.45">
      <c r="A3" s="27" t="s">
        <v>48</v>
      </c>
      <c r="B3" s="27" t="s">
        <v>39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45">
      <c r="A4" s="26" t="s">
        <v>47</v>
      </c>
      <c r="B4" s="28">
        <v>2.2599999999999998</v>
      </c>
      <c r="C4" s="26"/>
      <c r="D4" s="26"/>
    </row>
    <row r="6" spans="1:11" x14ac:dyDescent="0.45">
      <c r="A6" s="1"/>
    </row>
  </sheetData>
  <mergeCells count="4">
    <mergeCell ref="A2:D2"/>
    <mergeCell ref="A1:D1"/>
    <mergeCell ref="E1:K1"/>
    <mergeCell ref="E2:K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0ADC-AA61-4389-A602-A8591B6B7F1E}">
  <dimension ref="A1:AQ216"/>
  <sheetViews>
    <sheetView topLeftCell="Z1" zoomScale="67" workbookViewId="0">
      <selection activeCell="AG7" sqref="AG7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</row>
    <row r="2" spans="1:43" x14ac:dyDescent="0.45">
      <c r="A2" s="40" t="s">
        <v>12</v>
      </c>
      <c r="B2" s="40" t="s">
        <v>55</v>
      </c>
      <c r="C2" s="40"/>
      <c r="D2" s="40"/>
      <c r="E2" s="40"/>
      <c r="F2" s="23"/>
      <c r="G2" s="41" t="s">
        <v>24</v>
      </c>
      <c r="H2" s="42"/>
      <c r="I2" s="42"/>
      <c r="J2" s="43"/>
      <c r="K2" s="50" t="s">
        <v>45</v>
      </c>
      <c r="L2" s="53" t="s">
        <v>36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53" t="s">
        <v>11</v>
      </c>
      <c r="AC2" s="55"/>
      <c r="AD2" s="61" t="s">
        <v>56</v>
      </c>
      <c r="AE2" s="62"/>
      <c r="AF2" s="62"/>
      <c r="AG2" s="62"/>
      <c r="AH2" s="63"/>
    </row>
    <row r="3" spans="1:43" x14ac:dyDescent="0.45">
      <c r="A3" s="40"/>
      <c r="B3" s="40"/>
      <c r="C3" s="40"/>
      <c r="D3" s="40"/>
      <c r="E3" s="40"/>
      <c r="F3" s="24"/>
      <c r="G3" s="44"/>
      <c r="H3" s="45"/>
      <c r="I3" s="45"/>
      <c r="J3" s="46"/>
      <c r="K3" s="51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9"/>
      <c r="AC3" s="60"/>
      <c r="AD3" s="64"/>
      <c r="AE3" s="65"/>
      <c r="AF3" s="65"/>
      <c r="AG3" s="65"/>
      <c r="AH3" s="66"/>
    </row>
    <row r="4" spans="1:43" x14ac:dyDescent="0.45">
      <c r="A4" s="40"/>
      <c r="B4" s="40"/>
      <c r="C4" s="40"/>
      <c r="D4" s="40"/>
      <c r="E4" s="40"/>
      <c r="F4" s="24"/>
      <c r="G4" s="44"/>
      <c r="H4" s="45"/>
      <c r="I4" s="45"/>
      <c r="J4" s="46"/>
      <c r="K4" s="51"/>
      <c r="L4" s="31"/>
      <c r="M4" s="34" t="s">
        <v>51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5"/>
      <c r="Z4" s="19" t="s">
        <v>52</v>
      </c>
      <c r="AA4" s="19" t="s">
        <v>53</v>
      </c>
      <c r="AB4" s="59"/>
      <c r="AC4" s="60"/>
      <c r="AD4" s="64"/>
      <c r="AE4" s="65"/>
      <c r="AF4" s="65"/>
      <c r="AG4" s="65"/>
      <c r="AH4" s="66"/>
    </row>
    <row r="5" spans="1:43" x14ac:dyDescent="0.45">
      <c r="A5" s="40"/>
      <c r="B5" s="40" t="s">
        <v>54</v>
      </c>
      <c r="C5" s="40"/>
      <c r="D5" s="40"/>
      <c r="E5" s="40"/>
      <c r="F5" s="25"/>
      <c r="G5" s="47"/>
      <c r="H5" s="48"/>
      <c r="I5" s="48"/>
      <c r="J5" s="49"/>
      <c r="K5" s="52"/>
      <c r="L5" s="30" t="s">
        <v>40</v>
      </c>
      <c r="M5" s="33" t="s">
        <v>40</v>
      </c>
      <c r="N5" s="34"/>
      <c r="O5" s="34"/>
      <c r="P5" s="35"/>
      <c r="Q5" s="33" t="s">
        <v>25</v>
      </c>
      <c r="R5" s="34"/>
      <c r="S5" s="34"/>
      <c r="T5" s="35"/>
      <c r="U5" s="36" t="s">
        <v>46</v>
      </c>
      <c r="V5" s="36"/>
      <c r="W5" s="36"/>
      <c r="X5" s="36"/>
      <c r="Y5" s="36"/>
      <c r="Z5" s="21"/>
      <c r="AA5" s="19"/>
      <c r="AB5" s="59"/>
      <c r="AC5" s="60"/>
      <c r="AD5" s="67"/>
      <c r="AE5" s="68"/>
      <c r="AF5" s="68"/>
      <c r="AG5" s="68"/>
      <c r="AH5" s="69"/>
    </row>
    <row r="6" spans="1:43" x14ac:dyDescent="0.45">
      <c r="A6" s="29" t="s">
        <v>37</v>
      </c>
      <c r="B6" s="32" t="s">
        <v>5</v>
      </c>
      <c r="C6" s="32" t="s">
        <v>16</v>
      </c>
      <c r="D6" s="32" t="s">
        <v>17</v>
      </c>
      <c r="E6" s="32" t="s">
        <v>6</v>
      </c>
      <c r="F6" s="29" t="s">
        <v>19</v>
      </c>
      <c r="G6" s="29" t="s">
        <v>28</v>
      </c>
      <c r="H6" s="29" t="s">
        <v>29</v>
      </c>
      <c r="I6" s="29" t="s">
        <v>38</v>
      </c>
      <c r="J6" s="29" t="s">
        <v>30</v>
      </c>
      <c r="K6" s="29" t="s">
        <v>39</v>
      </c>
      <c r="L6" s="32" t="s">
        <v>35</v>
      </c>
      <c r="M6" s="32" t="s">
        <v>5</v>
      </c>
      <c r="N6" s="32" t="s">
        <v>16</v>
      </c>
      <c r="O6" s="32" t="s">
        <v>17</v>
      </c>
      <c r="P6" s="32" t="s">
        <v>6</v>
      </c>
      <c r="Q6" s="32" t="s">
        <v>5</v>
      </c>
      <c r="R6" s="32" t="s">
        <v>16</v>
      </c>
      <c r="S6" s="32" t="s">
        <v>17</v>
      </c>
      <c r="T6" s="32" t="s">
        <v>6</v>
      </c>
      <c r="U6" s="32" t="s">
        <v>5</v>
      </c>
      <c r="V6" s="32" t="s">
        <v>16</v>
      </c>
      <c r="W6" s="32" t="s">
        <v>17</v>
      </c>
      <c r="X6" s="32" t="s">
        <v>6</v>
      </c>
      <c r="Y6" s="32" t="s">
        <v>59</v>
      </c>
      <c r="Z6" s="22" t="s">
        <v>57</v>
      </c>
      <c r="AA6" s="20" t="s">
        <v>58</v>
      </c>
      <c r="AB6" s="56"/>
      <c r="AC6" s="58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>
        <v>0</v>
      </c>
      <c r="C7" s="1" t="s">
        <v>20</v>
      </c>
      <c r="D7" s="1" t="s">
        <v>20</v>
      </c>
      <c r="E7" s="1">
        <v>0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상수!B$4, "")</f>
        <v>2.2599999999999998</v>
      </c>
      <c r="L7" s="1" t="s">
        <v>20</v>
      </c>
      <c r="M7" s="11" t="str">
        <f t="shared" ref="M7:P26" si="0">IF(MOD($AD7,5)=0, "스핀들유격: ","-" )</f>
        <v>-</v>
      </c>
      <c r="N7" s="11" t="str">
        <f t="shared" si="0"/>
        <v>-</v>
      </c>
      <c r="O7" s="11" t="str">
        <f t="shared" si="0"/>
        <v>-</v>
      </c>
      <c r="P7" s="11" t="str">
        <f t="shared" si="0"/>
        <v>-</v>
      </c>
      <c r="Q7" s="11" t="str">
        <f t="shared" ref="Q7:X2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70" si="2">IF(MOD($AD7,5)=0, "스핀들소음 :","-" )</f>
        <v>-</v>
      </c>
      <c r="Z7" s="11" t="str">
        <f t="shared" ref="Z7:Z70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 t="s">
        <v>43</v>
      </c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62</v>
      </c>
      <c r="AH7" s="3"/>
    </row>
    <row r="8" spans="1:43" x14ac:dyDescent="0.45">
      <c r="A8" s="4"/>
      <c r="B8" s="1"/>
      <c r="C8" s="1"/>
      <c r="D8" s="1"/>
      <c r="E8" s="1"/>
      <c r="F8" s="1"/>
      <c r="G8" s="1"/>
      <c r="H8" s="1"/>
      <c r="I8" s="1"/>
      <c r="J8" s="1"/>
      <c r="K8" s="1" t="str">
        <f>IF(LEN(A8)&gt;0, 상수!B$4, "")</f>
        <v/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71" si="4">IF($AD8="","",
  IF(MOD(AD8,160)=0,
    "TENSION (XL : / ZL : / XR : / ZR : / Y : )" &amp; CHAR(10) &amp;
    "필터교체",
    "-"
  )
)</f>
        <v>-</v>
      </c>
      <c r="AB8" s="1" t="s">
        <v>20</v>
      </c>
      <c r="AC8" s="2" t="s">
        <v>31</v>
      </c>
      <c r="AD8" s="12">
        <v>2</v>
      </c>
      <c r="AE8" s="11" t="str">
        <f t="shared" ref="AE8:AE71" si="5">IF(AD8="","",
  IF(MOD($AD8,1)=0,
    "Dimensions: L W H",
    "-"
  )
)</f>
        <v>Dimensions: L W H</v>
      </c>
      <c r="AF8" s="9" t="str">
        <f t="shared" ref="AF8:AF20" si="6">IF(AG8="","",
  IF(MOD($AD8,1)=0,
    "완료",
    "-"
  )
)</f>
        <v>완료</v>
      </c>
      <c r="AG8" s="1" t="s">
        <v>61</v>
      </c>
      <c r="AH8" s="3"/>
    </row>
    <row r="9" spans="1:43" x14ac:dyDescent="0.45">
      <c r="A9" s="4"/>
      <c r="B9" s="1"/>
      <c r="C9" s="1"/>
      <c r="D9" s="1"/>
      <c r="E9" s="1"/>
      <c r="F9" s="1"/>
      <c r="G9" s="1"/>
      <c r="H9" s="1"/>
      <c r="I9" s="1"/>
      <c r="J9" s="1"/>
      <c r="K9" s="1" t="str">
        <f>IF(LEN(A9)&gt;0, 상수!B$4, "")</f>
        <v/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 t="s">
        <v>32</v>
      </c>
      <c r="AD9" s="12">
        <v>3</v>
      </c>
      <c r="AE9" s="11" t="str">
        <f t="shared" si="5"/>
        <v>Dimensions: L W H</v>
      </c>
      <c r="AF9" s="9" t="str">
        <f t="shared" si="6"/>
        <v>완료</v>
      </c>
      <c r="AG9" s="1" t="s">
        <v>61</v>
      </c>
      <c r="AH9" s="3"/>
    </row>
    <row r="10" spans="1:43" ht="17" customHeight="1" x14ac:dyDescent="0.45">
      <c r="A10" s="4"/>
      <c r="B10" s="1"/>
      <c r="C10" s="1"/>
      <c r="D10" s="1"/>
      <c r="E10" s="1"/>
      <c r="F10" s="17"/>
      <c r="G10" s="1"/>
      <c r="H10" s="1"/>
      <c r="I10" s="1"/>
      <c r="J10" s="1"/>
      <c r="K10" s="1" t="str">
        <f>IF(LEN(A10)&gt;0, 상수!B$4, "")</f>
        <v/>
      </c>
      <c r="L10" s="1" t="s">
        <v>20</v>
      </c>
      <c r="M10" s="11" t="str">
        <f t="shared" si="0"/>
        <v xml:space="preserve">스핀들유격: </v>
      </c>
      <c r="N10" s="11" t="str">
        <f t="shared" si="0"/>
        <v xml:space="preserve">스핀들유격: </v>
      </c>
      <c r="O10" s="11" t="str">
        <f t="shared" si="0"/>
        <v xml:space="preserve">스핀들유격: </v>
      </c>
      <c r="P10" s="11" t="str">
        <f t="shared" si="0"/>
        <v xml:space="preserve">스핀들유격: </v>
      </c>
      <c r="Q10" s="11" t="str">
        <f t="shared" si="1"/>
        <v>000-000 :</v>
      </c>
      <c r="R10" s="11" t="str">
        <f t="shared" si="1"/>
        <v>000-000 :</v>
      </c>
      <c r="S10" s="11" t="str">
        <f t="shared" si="1"/>
        <v>000-000 :</v>
      </c>
      <c r="T10" s="11" t="str">
        <f t="shared" si="1"/>
        <v>000-000 :</v>
      </c>
      <c r="U10" s="11" t="str">
        <f t="shared" si="1"/>
        <v>000-000 :</v>
      </c>
      <c r="V10" s="11" t="str">
        <f t="shared" si="1"/>
        <v>000-000 :</v>
      </c>
      <c r="W10" s="11" t="str">
        <f t="shared" si="1"/>
        <v>000-000 :</v>
      </c>
      <c r="X10" s="11" t="str">
        <f t="shared" si="1"/>
        <v>000-000 :</v>
      </c>
      <c r="Y10" s="11" t="str">
        <f t="shared" si="2"/>
        <v>스핀들소음 :</v>
      </c>
      <c r="Z10" s="11" t="str">
        <f t="shared" si="3"/>
        <v>필터세척 :
FLOW   (T1, T4 : / T2, T3 : / T4 : )</v>
      </c>
      <c r="AA10" s="11" t="str">
        <f t="shared" si="4"/>
        <v/>
      </c>
      <c r="AB10" s="1" t="s">
        <v>15</v>
      </c>
      <c r="AC10" s="1" t="s">
        <v>0</v>
      </c>
      <c r="AD10" s="12"/>
      <c r="AE10" s="11" t="str">
        <f t="shared" si="5"/>
        <v/>
      </c>
      <c r="AF10" s="9" t="str">
        <f t="shared" si="6"/>
        <v>완료</v>
      </c>
      <c r="AG10" s="1" t="s">
        <v>61</v>
      </c>
      <c r="AH10" s="3"/>
    </row>
    <row r="11" spans="1:43" ht="34" x14ac:dyDescent="0.45">
      <c r="A11" s="4"/>
      <c r="B11" s="1"/>
      <c r="C11" s="1"/>
      <c r="D11" s="1"/>
      <c r="E11" s="1"/>
      <c r="F11" s="17"/>
      <c r="G11" s="1"/>
      <c r="H11" s="1"/>
      <c r="I11" s="1"/>
      <c r="J11" s="1"/>
      <c r="K11" s="1" t="str">
        <f>IF(LEN(A11)&gt;0, 상수!B$4, "")</f>
        <v/>
      </c>
      <c r="L11" s="1" t="s">
        <v>20</v>
      </c>
      <c r="M11" s="11" t="str">
        <f t="shared" si="0"/>
        <v xml:space="preserve">스핀들유격: </v>
      </c>
      <c r="N11" s="11" t="str">
        <f t="shared" si="0"/>
        <v xml:space="preserve">스핀들유격: </v>
      </c>
      <c r="O11" s="11" t="str">
        <f t="shared" si="0"/>
        <v xml:space="preserve">스핀들유격: </v>
      </c>
      <c r="P11" s="11" t="str">
        <f t="shared" si="0"/>
        <v xml:space="preserve">스핀들유격: 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필터세척 :
FLOW   (T1, T4 : / T2, T3 : / T4 : )</v>
      </c>
      <c r="AA11" s="11" t="str">
        <f t="shared" si="4"/>
        <v/>
      </c>
      <c r="AB11" s="1" t="s">
        <v>20</v>
      </c>
      <c r="AC11" s="1" t="s">
        <v>20</v>
      </c>
      <c r="AD11" s="12"/>
      <c r="AE11" s="11" t="str">
        <f t="shared" si="5"/>
        <v/>
      </c>
      <c r="AF11" s="9" t="str">
        <f t="shared" si="6"/>
        <v/>
      </c>
      <c r="AG11" s="1"/>
      <c r="AH11" s="3"/>
    </row>
    <row r="12" spans="1:43" ht="34" x14ac:dyDescent="0.45">
      <c r="A12" s="4"/>
      <c r="B12" s="1"/>
      <c r="C12" s="1"/>
      <c r="D12" s="1"/>
      <c r="E12" s="1"/>
      <c r="F12" s="17"/>
      <c r="G12" s="1"/>
      <c r="H12" s="1"/>
      <c r="I12" s="1"/>
      <c r="J12" s="1"/>
      <c r="K12" s="1" t="str">
        <f>IF(LEN(A12)&gt;0, 상수!B$4, "")</f>
        <v/>
      </c>
      <c r="L12" s="1" t="s">
        <v>20</v>
      </c>
      <c r="M12" s="11" t="str">
        <f t="shared" si="0"/>
        <v xml:space="preserve">스핀들유격: </v>
      </c>
      <c r="N12" s="11" t="str">
        <f t="shared" si="0"/>
        <v xml:space="preserve">스핀들유격: </v>
      </c>
      <c r="O12" s="11" t="str">
        <f t="shared" si="0"/>
        <v xml:space="preserve">스핀들유격: </v>
      </c>
      <c r="P12" s="11" t="str">
        <f t="shared" si="0"/>
        <v xml:space="preserve">스핀들유격: </v>
      </c>
      <c r="Q12" s="11" t="str">
        <f t="shared" si="1"/>
        <v>000-000 :</v>
      </c>
      <c r="R12" s="11" t="str">
        <f t="shared" si="1"/>
        <v>000-000 :</v>
      </c>
      <c r="S12" s="11" t="str">
        <f t="shared" si="1"/>
        <v>000-000 :</v>
      </c>
      <c r="T12" s="11" t="str">
        <f t="shared" si="1"/>
        <v>000-000 :</v>
      </c>
      <c r="U12" s="11" t="str">
        <f t="shared" si="1"/>
        <v>000-000 :</v>
      </c>
      <c r="V12" s="11" t="str">
        <f t="shared" si="1"/>
        <v>000-000 :</v>
      </c>
      <c r="W12" s="11" t="str">
        <f t="shared" si="1"/>
        <v>000-000 :</v>
      </c>
      <c r="X12" s="11" t="str">
        <f t="shared" si="1"/>
        <v>000-000 :</v>
      </c>
      <c r="Y12" s="11" t="str">
        <f t="shared" si="2"/>
        <v>스핀들소음 :</v>
      </c>
      <c r="Z12" s="11" t="str">
        <f t="shared" si="3"/>
        <v>필터세척 :
FLOW   (T1, T4 : / T2, T3 : / T4 : )</v>
      </c>
      <c r="AA12" s="11" t="str">
        <f t="shared" si="4"/>
        <v/>
      </c>
      <c r="AB12" s="1" t="s">
        <v>20</v>
      </c>
      <c r="AC12" s="1" t="s">
        <v>20</v>
      </c>
      <c r="AD12" s="12"/>
      <c r="AE12" s="11" t="str">
        <f t="shared" si="5"/>
        <v/>
      </c>
      <c r="AF12" s="9" t="str">
        <f t="shared" si="6"/>
        <v/>
      </c>
      <c r="AG12" s="1"/>
      <c r="AH12" s="3"/>
    </row>
    <row r="13" spans="1:43" ht="34" x14ac:dyDescent="0.45">
      <c r="A13" s="4"/>
      <c r="B13" s="1"/>
      <c r="C13" s="1"/>
      <c r="D13" s="1"/>
      <c r="E13" s="1"/>
      <c r="F13" s="1"/>
      <c r="G13" s="1"/>
      <c r="H13" s="1"/>
      <c r="I13" s="1"/>
      <c r="J13" s="1"/>
      <c r="K13" s="1" t="str">
        <f>IF(LEN(A13)&gt;0, 상수!B$4, "")</f>
        <v/>
      </c>
      <c r="L13" s="1"/>
      <c r="M13" s="11" t="str">
        <f t="shared" si="0"/>
        <v xml:space="preserve">스핀들유격: </v>
      </c>
      <c r="N13" s="11" t="str">
        <f t="shared" si="0"/>
        <v xml:space="preserve">스핀들유격: </v>
      </c>
      <c r="O13" s="11" t="str">
        <f t="shared" si="0"/>
        <v xml:space="preserve">스핀들유격: </v>
      </c>
      <c r="P13" s="11" t="str">
        <f t="shared" si="0"/>
        <v xml:space="preserve">스핀들유격: </v>
      </c>
      <c r="Q13" s="11" t="str">
        <f t="shared" si="1"/>
        <v>000-000 :</v>
      </c>
      <c r="R13" s="11" t="str">
        <f t="shared" si="1"/>
        <v>000-000 :</v>
      </c>
      <c r="S13" s="11" t="str">
        <f t="shared" si="1"/>
        <v>000-000 :</v>
      </c>
      <c r="T13" s="11" t="str">
        <f t="shared" si="1"/>
        <v>000-000 :</v>
      </c>
      <c r="U13" s="11" t="str">
        <f t="shared" si="1"/>
        <v>000-000 :</v>
      </c>
      <c r="V13" s="11" t="str">
        <f t="shared" si="1"/>
        <v>000-000 :</v>
      </c>
      <c r="W13" s="11" t="str">
        <f t="shared" si="1"/>
        <v>000-000 :</v>
      </c>
      <c r="X13" s="11" t="str">
        <f t="shared" si="1"/>
        <v>000-000 :</v>
      </c>
      <c r="Y13" s="11" t="str">
        <f t="shared" si="2"/>
        <v>스핀들소음 :</v>
      </c>
      <c r="Z13" s="11" t="str">
        <f t="shared" si="3"/>
        <v>필터세척 :
FLOW   (T1, T4 : / T2, T3 : / T4 : )</v>
      </c>
      <c r="AA13" s="11" t="str">
        <f t="shared" si="4"/>
        <v/>
      </c>
      <c r="AB13" s="1" t="s">
        <v>20</v>
      </c>
      <c r="AC13" s="1" t="s">
        <v>20</v>
      </c>
      <c r="AD13" s="12"/>
      <c r="AE13" s="11" t="str">
        <f t="shared" si="5"/>
        <v/>
      </c>
      <c r="AF13" s="9" t="str">
        <f t="shared" si="6"/>
        <v/>
      </c>
      <c r="AG13" s="1"/>
      <c r="AH13" s="3"/>
    </row>
    <row r="14" spans="1:43" ht="34" x14ac:dyDescent="0.45">
      <c r="A14" s="4"/>
      <c r="B14" s="1"/>
      <c r="C14" s="18"/>
      <c r="D14" s="18"/>
      <c r="E14" s="18"/>
      <c r="F14" s="1"/>
      <c r="G14" s="1"/>
      <c r="H14" s="1"/>
      <c r="I14" s="1"/>
      <c r="J14" s="1"/>
      <c r="K14" s="1" t="str">
        <f>IF(LEN(A14)&gt;0, 상수!B$4, "")</f>
        <v/>
      </c>
      <c r="L14" s="1"/>
      <c r="M14" s="11" t="str">
        <f t="shared" si="0"/>
        <v xml:space="preserve">스핀들유격: </v>
      </c>
      <c r="N14" s="11" t="str">
        <f t="shared" si="0"/>
        <v xml:space="preserve">스핀들유격: </v>
      </c>
      <c r="O14" s="11" t="str">
        <f t="shared" si="0"/>
        <v xml:space="preserve">스핀들유격: </v>
      </c>
      <c r="P14" s="11" t="str">
        <f t="shared" si="0"/>
        <v xml:space="preserve">스핀들유격: </v>
      </c>
      <c r="Q14" s="11" t="str">
        <f t="shared" si="1"/>
        <v>000-000 :</v>
      </c>
      <c r="R14" s="11" t="str">
        <f t="shared" si="1"/>
        <v>000-000 :</v>
      </c>
      <c r="S14" s="11" t="str">
        <f t="shared" si="1"/>
        <v>000-000 :</v>
      </c>
      <c r="T14" s="11" t="str">
        <f t="shared" si="1"/>
        <v>000-000 :</v>
      </c>
      <c r="U14" s="11" t="str">
        <f t="shared" si="1"/>
        <v>000-000 :</v>
      </c>
      <c r="V14" s="11" t="str">
        <f t="shared" si="1"/>
        <v>000-000 :</v>
      </c>
      <c r="W14" s="11" t="str">
        <f t="shared" si="1"/>
        <v>000-000 :</v>
      </c>
      <c r="X14" s="11" t="str">
        <f t="shared" si="1"/>
        <v>000-000 :</v>
      </c>
      <c r="Y14" s="11" t="str">
        <f t="shared" si="2"/>
        <v>스핀들소음 :</v>
      </c>
      <c r="Z14" s="11" t="str">
        <f t="shared" si="3"/>
        <v>필터세척 :
FLOW   (T1, T4 : / T2, T3 : / T4 : )</v>
      </c>
      <c r="AA14" s="11" t="str">
        <f t="shared" si="4"/>
        <v/>
      </c>
      <c r="AB14" s="1" t="s">
        <v>20</v>
      </c>
      <c r="AC14" s="1" t="s">
        <v>20</v>
      </c>
      <c r="AD14" s="12"/>
      <c r="AE14" s="11" t="str">
        <f t="shared" si="5"/>
        <v/>
      </c>
      <c r="AF14" s="9" t="str">
        <f t="shared" si="6"/>
        <v/>
      </c>
      <c r="AG14" s="1"/>
      <c r="AH14" s="3"/>
    </row>
    <row r="15" spans="1:43" ht="34" x14ac:dyDescent="0.45">
      <c r="A15" s="4"/>
      <c r="B15" s="1"/>
      <c r="C15" s="18"/>
      <c r="D15" s="18"/>
      <c r="E15" s="18"/>
      <c r="F15" s="1"/>
      <c r="G15" s="1"/>
      <c r="H15" s="1"/>
      <c r="I15" s="1"/>
      <c r="J15" s="1"/>
      <c r="K15" s="1" t="str">
        <f>IF(LEN(A15)&gt;0, 상수!B$4, "")</f>
        <v/>
      </c>
      <c r="L15" s="1"/>
      <c r="M15" s="11" t="str">
        <f t="shared" si="0"/>
        <v xml:space="preserve">스핀들유격: </v>
      </c>
      <c r="N15" s="11" t="str">
        <f t="shared" si="0"/>
        <v xml:space="preserve">스핀들유격: </v>
      </c>
      <c r="O15" s="11" t="str">
        <f t="shared" si="0"/>
        <v xml:space="preserve">스핀들유격: </v>
      </c>
      <c r="P15" s="11" t="str">
        <f t="shared" si="0"/>
        <v xml:space="preserve">스핀들유격: </v>
      </c>
      <c r="Q15" s="11" t="str">
        <f t="shared" si="1"/>
        <v>000-000 :</v>
      </c>
      <c r="R15" s="11" t="str">
        <f t="shared" si="1"/>
        <v>000-000 :</v>
      </c>
      <c r="S15" s="11" t="str">
        <f t="shared" si="1"/>
        <v>000-000 :</v>
      </c>
      <c r="T15" s="11" t="str">
        <f t="shared" si="1"/>
        <v>000-000 :</v>
      </c>
      <c r="U15" s="11" t="str">
        <f t="shared" si="1"/>
        <v>000-000 :</v>
      </c>
      <c r="V15" s="11" t="str">
        <f t="shared" si="1"/>
        <v>000-000 :</v>
      </c>
      <c r="W15" s="11" t="str">
        <f t="shared" si="1"/>
        <v>000-000 :</v>
      </c>
      <c r="X15" s="11" t="str">
        <f t="shared" si="1"/>
        <v>000-000 :</v>
      </c>
      <c r="Y15" s="11" t="str">
        <f t="shared" si="2"/>
        <v>스핀들소음 :</v>
      </c>
      <c r="Z15" s="11" t="str">
        <f t="shared" si="3"/>
        <v>필터세척 :
FLOW   (T1, T4 : / T2, T3 : / T4 : )</v>
      </c>
      <c r="AA15" s="11" t="str">
        <f t="shared" si="4"/>
        <v/>
      </c>
      <c r="AB15" s="1" t="s">
        <v>20</v>
      </c>
      <c r="AC15" s="1" t="s">
        <v>20</v>
      </c>
      <c r="AD15" s="12"/>
      <c r="AE15" s="11" t="str">
        <f t="shared" si="5"/>
        <v/>
      </c>
      <c r="AF15" s="9" t="str">
        <f t="shared" si="6"/>
        <v/>
      </c>
      <c r="AG15" s="1"/>
      <c r="AH15" s="3"/>
    </row>
    <row r="16" spans="1:43" ht="34" x14ac:dyDescent="0.45">
      <c r="A16" s="4"/>
      <c r="B16" s="1"/>
      <c r="C16" s="18"/>
      <c r="D16" s="18"/>
      <c r="E16" s="18"/>
      <c r="F16" s="1"/>
      <c r="G16" s="1"/>
      <c r="H16" s="1"/>
      <c r="I16" s="1"/>
      <c r="J16" s="1"/>
      <c r="K16" s="1" t="str">
        <f>IF(LEN(A16)&gt;0, 상수!B$4, "")</f>
        <v/>
      </c>
      <c r="L16" s="1"/>
      <c r="M16" s="11" t="str">
        <f t="shared" si="0"/>
        <v xml:space="preserve">스핀들유격: </v>
      </c>
      <c r="N16" s="11" t="str">
        <f t="shared" si="0"/>
        <v xml:space="preserve">스핀들유격: </v>
      </c>
      <c r="O16" s="11" t="str">
        <f t="shared" si="0"/>
        <v xml:space="preserve">스핀들유격: </v>
      </c>
      <c r="P16" s="11" t="str">
        <f t="shared" si="0"/>
        <v xml:space="preserve">스핀들유격: </v>
      </c>
      <c r="Q16" s="11" t="str">
        <f t="shared" si="1"/>
        <v>000-000 :</v>
      </c>
      <c r="R16" s="11" t="str">
        <f t="shared" si="1"/>
        <v>000-000 :</v>
      </c>
      <c r="S16" s="11" t="str">
        <f t="shared" si="1"/>
        <v>000-000 :</v>
      </c>
      <c r="T16" s="11" t="str">
        <f t="shared" si="1"/>
        <v>000-000 :</v>
      </c>
      <c r="U16" s="11" t="str">
        <f t="shared" si="1"/>
        <v>000-000 :</v>
      </c>
      <c r="V16" s="11" t="str">
        <f t="shared" si="1"/>
        <v>000-000 :</v>
      </c>
      <c r="W16" s="11" t="str">
        <f t="shared" si="1"/>
        <v>000-000 :</v>
      </c>
      <c r="X16" s="11" t="str">
        <f t="shared" si="1"/>
        <v>000-000 :</v>
      </c>
      <c r="Y16" s="11" t="str">
        <f t="shared" si="2"/>
        <v>스핀들소음 :</v>
      </c>
      <c r="Z16" s="11" t="str">
        <f t="shared" si="3"/>
        <v>필터세척 :
FLOW   (T1, T4 : / T2, T3 : / T4 : )</v>
      </c>
      <c r="AA16" s="11" t="str">
        <f t="shared" si="4"/>
        <v/>
      </c>
      <c r="AB16" s="1" t="s">
        <v>20</v>
      </c>
      <c r="AC16" s="1" t="s">
        <v>20</v>
      </c>
      <c r="AD16" s="12"/>
      <c r="AE16" s="11" t="str">
        <f t="shared" si="5"/>
        <v/>
      </c>
      <c r="AF16" s="9" t="str">
        <f t="shared" si="6"/>
        <v/>
      </c>
      <c r="AG16" s="1"/>
      <c r="AH16" s="3"/>
    </row>
    <row r="17" spans="1:34" ht="34" x14ac:dyDescent="0.45">
      <c r="A17" s="4"/>
      <c r="B17" s="1"/>
      <c r="C17" s="18"/>
      <c r="D17" s="18"/>
      <c r="E17" s="18"/>
      <c r="F17" s="1"/>
      <c r="G17" s="1"/>
      <c r="H17" s="1"/>
      <c r="I17" s="1"/>
      <c r="J17" s="1"/>
      <c r="K17" s="1" t="str">
        <f>IF(LEN(A17)&gt;0, 상수!B$4, "")</f>
        <v/>
      </c>
      <c r="L17" s="1"/>
      <c r="M17" s="11" t="str">
        <f t="shared" si="0"/>
        <v xml:space="preserve">스핀들유격: </v>
      </c>
      <c r="N17" s="11" t="str">
        <f t="shared" si="0"/>
        <v xml:space="preserve">스핀들유격: </v>
      </c>
      <c r="O17" s="11" t="str">
        <f t="shared" si="0"/>
        <v xml:space="preserve">스핀들유격: </v>
      </c>
      <c r="P17" s="11" t="str">
        <f t="shared" si="0"/>
        <v xml:space="preserve">스핀들유격: </v>
      </c>
      <c r="Q17" s="11" t="str">
        <f t="shared" si="1"/>
        <v>000-000 :</v>
      </c>
      <c r="R17" s="11" t="str">
        <f t="shared" si="1"/>
        <v>000-000 :</v>
      </c>
      <c r="S17" s="11" t="str">
        <f t="shared" si="1"/>
        <v>000-000 :</v>
      </c>
      <c r="T17" s="11" t="str">
        <f t="shared" si="1"/>
        <v>000-000 :</v>
      </c>
      <c r="U17" s="11" t="str">
        <f t="shared" si="1"/>
        <v>000-000 :</v>
      </c>
      <c r="V17" s="11" t="str">
        <f t="shared" si="1"/>
        <v>000-000 :</v>
      </c>
      <c r="W17" s="11" t="str">
        <f t="shared" si="1"/>
        <v>000-000 :</v>
      </c>
      <c r="X17" s="11" t="str">
        <f t="shared" si="1"/>
        <v>000-000 :</v>
      </c>
      <c r="Y17" s="11" t="str">
        <f t="shared" si="2"/>
        <v>스핀들소음 :</v>
      </c>
      <c r="Z17" s="11" t="str">
        <f t="shared" si="3"/>
        <v>필터세척 :
FLOW   (T1, T4 : / T2, T3 : / T4 : )</v>
      </c>
      <c r="AA17" s="11" t="str">
        <f t="shared" si="4"/>
        <v/>
      </c>
      <c r="AB17" s="1" t="s">
        <v>20</v>
      </c>
      <c r="AC17" s="1" t="s">
        <v>20</v>
      </c>
      <c r="AD17" s="12"/>
      <c r="AE17" s="11" t="str">
        <f t="shared" si="5"/>
        <v/>
      </c>
      <c r="AF17" s="9" t="str">
        <f t="shared" si="6"/>
        <v/>
      </c>
      <c r="AG17" s="1"/>
      <c r="AH17" s="3"/>
    </row>
    <row r="18" spans="1:34" ht="34" x14ac:dyDescent="0.45">
      <c r="A18" s="4"/>
      <c r="B18" s="1"/>
      <c r="C18" s="18"/>
      <c r="D18" s="18"/>
      <c r="E18" s="18"/>
      <c r="F18" s="1"/>
      <c r="G18" s="1"/>
      <c r="H18" s="1"/>
      <c r="I18" s="1"/>
      <c r="J18" s="1"/>
      <c r="K18" s="1" t="str">
        <f>IF(LEN(A18)&gt;0, 상수!B$4, "")</f>
        <v/>
      </c>
      <c r="L18" s="1"/>
      <c r="M18" s="11" t="str">
        <f t="shared" si="0"/>
        <v xml:space="preserve">스핀들유격: </v>
      </c>
      <c r="N18" s="11" t="str">
        <f t="shared" si="0"/>
        <v xml:space="preserve">스핀들유격: </v>
      </c>
      <c r="O18" s="11" t="str">
        <f t="shared" si="0"/>
        <v xml:space="preserve">스핀들유격: </v>
      </c>
      <c r="P18" s="11" t="str">
        <f t="shared" si="0"/>
        <v xml:space="preserve">스핀들유격: </v>
      </c>
      <c r="Q18" s="11" t="str">
        <f t="shared" si="1"/>
        <v>000-000 :</v>
      </c>
      <c r="R18" s="11" t="str">
        <f t="shared" si="1"/>
        <v>000-000 :</v>
      </c>
      <c r="S18" s="11" t="str">
        <f t="shared" si="1"/>
        <v>000-000 :</v>
      </c>
      <c r="T18" s="11" t="str">
        <f t="shared" si="1"/>
        <v>000-000 :</v>
      </c>
      <c r="U18" s="11" t="str">
        <f t="shared" si="1"/>
        <v>000-000 :</v>
      </c>
      <c r="V18" s="11" t="str">
        <f t="shared" si="1"/>
        <v>000-000 :</v>
      </c>
      <c r="W18" s="11" t="str">
        <f t="shared" si="1"/>
        <v>000-000 :</v>
      </c>
      <c r="X18" s="11" t="str">
        <f t="shared" si="1"/>
        <v>000-000 :</v>
      </c>
      <c r="Y18" s="11" t="str">
        <f t="shared" si="2"/>
        <v>스핀들소음 :</v>
      </c>
      <c r="Z18" s="11" t="str">
        <f t="shared" si="3"/>
        <v>필터세척 :
FLOW   (T1, T4 : / T2, T3 : / T4 : )</v>
      </c>
      <c r="AA18" s="11" t="str">
        <f t="shared" si="4"/>
        <v/>
      </c>
      <c r="AB18" s="1" t="s">
        <v>20</v>
      </c>
      <c r="AC18" s="1" t="s">
        <v>20</v>
      </c>
      <c r="AD18" s="12"/>
      <c r="AE18" s="11" t="str">
        <f t="shared" si="5"/>
        <v/>
      </c>
      <c r="AF18" s="9" t="str">
        <f t="shared" si="6"/>
        <v/>
      </c>
      <c r="AG18" s="1"/>
      <c r="AH18" s="3"/>
    </row>
    <row r="19" spans="1:34" ht="34" x14ac:dyDescent="0.45">
      <c r="A19" s="4"/>
      <c r="B19" s="1"/>
      <c r="C19" s="18"/>
      <c r="D19" s="18"/>
      <c r="E19" s="18"/>
      <c r="F19" s="1"/>
      <c r="G19" s="1"/>
      <c r="H19" s="1"/>
      <c r="I19" s="1"/>
      <c r="J19" s="1"/>
      <c r="K19" s="1" t="str">
        <f>IF(LEN(A19)&gt;0, 상수!B$4, "")</f>
        <v/>
      </c>
      <c r="L19" s="1"/>
      <c r="M19" s="11" t="str">
        <f t="shared" si="0"/>
        <v xml:space="preserve">스핀들유격: </v>
      </c>
      <c r="N19" s="11" t="str">
        <f t="shared" si="0"/>
        <v xml:space="preserve">스핀들유격: </v>
      </c>
      <c r="O19" s="11" t="str">
        <f t="shared" si="0"/>
        <v xml:space="preserve">스핀들유격: </v>
      </c>
      <c r="P19" s="11" t="str">
        <f t="shared" si="0"/>
        <v xml:space="preserve">스핀들유격: </v>
      </c>
      <c r="Q19" s="11" t="str">
        <f t="shared" si="1"/>
        <v>000-000 :</v>
      </c>
      <c r="R19" s="11" t="str">
        <f t="shared" si="1"/>
        <v>000-000 :</v>
      </c>
      <c r="S19" s="11" t="str">
        <f t="shared" si="1"/>
        <v>000-000 :</v>
      </c>
      <c r="T19" s="11" t="str">
        <f t="shared" si="1"/>
        <v>000-000 :</v>
      </c>
      <c r="U19" s="11" t="str">
        <f t="shared" si="1"/>
        <v>000-000 :</v>
      </c>
      <c r="V19" s="11" t="str">
        <f t="shared" si="1"/>
        <v>000-000 :</v>
      </c>
      <c r="W19" s="11" t="str">
        <f t="shared" si="1"/>
        <v>000-000 :</v>
      </c>
      <c r="X19" s="11" t="str">
        <f t="shared" si="1"/>
        <v>000-000 :</v>
      </c>
      <c r="Y19" s="11" t="str">
        <f t="shared" si="2"/>
        <v>스핀들소음 :</v>
      </c>
      <c r="Z19" s="11" t="str">
        <f t="shared" si="3"/>
        <v>필터세척 :
FLOW   (T1, T4 : / T2, T3 : / T4 : )</v>
      </c>
      <c r="AA19" s="11" t="str">
        <f t="shared" si="4"/>
        <v/>
      </c>
      <c r="AB19" s="1" t="s">
        <v>14</v>
      </c>
      <c r="AC19" s="1" t="s">
        <v>33</v>
      </c>
      <c r="AD19" s="12"/>
      <c r="AE19" s="11" t="str">
        <f t="shared" si="5"/>
        <v/>
      </c>
      <c r="AF19" s="9" t="str">
        <f t="shared" si="6"/>
        <v/>
      </c>
      <c r="AG19" s="1"/>
      <c r="AH19" s="3"/>
    </row>
    <row r="20" spans="1:34" ht="34" x14ac:dyDescent="0.45">
      <c r="A20" s="4"/>
      <c r="B20" s="1"/>
      <c r="C20" s="18"/>
      <c r="D20" s="18"/>
      <c r="E20" s="18"/>
      <c r="F20" s="1"/>
      <c r="G20" s="1"/>
      <c r="H20" s="1"/>
      <c r="I20" s="1"/>
      <c r="J20" s="1"/>
      <c r="K20" s="1" t="str">
        <f>IF(LEN(A20)&gt;0, 상수!B$4, "")</f>
        <v/>
      </c>
      <c r="L20" s="1"/>
      <c r="M20" s="11" t="str">
        <f t="shared" si="0"/>
        <v xml:space="preserve">스핀들유격: </v>
      </c>
      <c r="N20" s="11" t="str">
        <f t="shared" si="0"/>
        <v xml:space="preserve">스핀들유격: </v>
      </c>
      <c r="O20" s="11" t="str">
        <f t="shared" si="0"/>
        <v xml:space="preserve">스핀들유격: </v>
      </c>
      <c r="P20" s="11" t="str">
        <f t="shared" si="0"/>
        <v xml:space="preserve">스핀들유격: </v>
      </c>
      <c r="Q20" s="11" t="str">
        <f t="shared" si="1"/>
        <v>000-000 :</v>
      </c>
      <c r="R20" s="11" t="str">
        <f t="shared" si="1"/>
        <v>000-000 :</v>
      </c>
      <c r="S20" s="11" t="str">
        <f t="shared" si="1"/>
        <v>000-000 :</v>
      </c>
      <c r="T20" s="11" t="str">
        <f t="shared" si="1"/>
        <v>000-000 :</v>
      </c>
      <c r="U20" s="11" t="str">
        <f t="shared" si="1"/>
        <v>000-000 :</v>
      </c>
      <c r="V20" s="11" t="str">
        <f t="shared" si="1"/>
        <v>000-000 :</v>
      </c>
      <c r="W20" s="11" t="str">
        <f t="shared" si="1"/>
        <v>000-000 :</v>
      </c>
      <c r="X20" s="11" t="str">
        <f t="shared" si="1"/>
        <v>000-000 :</v>
      </c>
      <c r="Y20" s="11" t="str">
        <f t="shared" si="2"/>
        <v>스핀들소음 :</v>
      </c>
      <c r="Z20" s="11" t="str">
        <f t="shared" si="3"/>
        <v>필터세척 :
FLOW   (T1, T4 : / T2, T3 : / T4 : )</v>
      </c>
      <c r="AA20" s="11" t="str">
        <f t="shared" si="4"/>
        <v/>
      </c>
      <c r="AB20" s="1" t="s">
        <v>14</v>
      </c>
      <c r="AC20" s="1" t="s">
        <v>34</v>
      </c>
      <c r="AD20" s="12"/>
      <c r="AE20" s="11" t="str">
        <f t="shared" si="5"/>
        <v/>
      </c>
      <c r="AF20" s="9" t="str">
        <f t="shared" si="6"/>
        <v/>
      </c>
      <c r="AG20" s="1"/>
      <c r="AH20" s="3"/>
    </row>
    <row r="21" spans="1:34" ht="34" x14ac:dyDescent="0.45">
      <c r="A21" s="4"/>
      <c r="B21" s="1"/>
      <c r="C21" s="1"/>
      <c r="D21" s="1"/>
      <c r="E21" s="1"/>
      <c r="F21" s="1"/>
      <c r="G21" s="1"/>
      <c r="H21" s="1"/>
      <c r="I21" s="1"/>
      <c r="J21" s="1"/>
      <c r="K21" s="1" t="str">
        <f>IF(LEN(A21)&gt;0, 상수!B$4, "")</f>
        <v/>
      </c>
      <c r="L21" s="1"/>
      <c r="M21" s="11" t="str">
        <f t="shared" si="0"/>
        <v xml:space="preserve">스핀들유격: </v>
      </c>
      <c r="N21" s="11" t="str">
        <f t="shared" si="0"/>
        <v xml:space="preserve">스핀들유격: </v>
      </c>
      <c r="O21" s="11" t="str">
        <f t="shared" si="0"/>
        <v xml:space="preserve">스핀들유격: </v>
      </c>
      <c r="P21" s="11" t="str">
        <f t="shared" si="0"/>
        <v xml:space="preserve">스핀들유격: </v>
      </c>
      <c r="Q21" s="11" t="str">
        <f t="shared" si="1"/>
        <v>000-000 :</v>
      </c>
      <c r="R21" s="11" t="str">
        <f t="shared" si="1"/>
        <v>000-000 :</v>
      </c>
      <c r="S21" s="11" t="str">
        <f t="shared" si="1"/>
        <v>000-000 :</v>
      </c>
      <c r="T21" s="11" t="str">
        <f t="shared" si="1"/>
        <v>000-000 :</v>
      </c>
      <c r="U21" s="11" t="str">
        <f t="shared" si="1"/>
        <v>000-000 :</v>
      </c>
      <c r="V21" s="11" t="str">
        <f t="shared" si="1"/>
        <v>000-000 :</v>
      </c>
      <c r="W21" s="11" t="str">
        <f t="shared" si="1"/>
        <v>000-000 :</v>
      </c>
      <c r="X21" s="11" t="str">
        <f t="shared" si="1"/>
        <v>000-000 :</v>
      </c>
      <c r="Y21" s="11" t="str">
        <f t="shared" si="2"/>
        <v>스핀들소음 :</v>
      </c>
      <c r="Z21" s="11" t="str">
        <f t="shared" si="3"/>
        <v>필터세척 :
FLOW   (T1, T4 : / T2, T3 : / T4 : )</v>
      </c>
      <c r="AA21" s="11" t="str">
        <f t="shared" si="4"/>
        <v/>
      </c>
      <c r="AB21" s="1"/>
      <c r="AC21" s="1"/>
      <c r="AD21" s="12"/>
      <c r="AE21" s="11" t="str">
        <f t="shared" si="5"/>
        <v/>
      </c>
      <c r="AF21" s="9"/>
      <c r="AG21" s="1"/>
      <c r="AH21" s="3"/>
    </row>
    <row r="22" spans="1:34" ht="34" x14ac:dyDescent="0.45">
      <c r="A22" s="4"/>
      <c r="B22" s="1"/>
      <c r="C22" s="1"/>
      <c r="D22" s="1"/>
      <c r="E22" s="1"/>
      <c r="F22" s="1"/>
      <c r="G22" s="1"/>
      <c r="H22" s="1"/>
      <c r="I22" s="1"/>
      <c r="J22" s="1"/>
      <c r="K22" s="1" t="str">
        <f>IF(LEN(A22)&gt;0, 상수!B$4, "")</f>
        <v/>
      </c>
      <c r="L22" s="1"/>
      <c r="M22" s="11" t="str">
        <f t="shared" si="0"/>
        <v xml:space="preserve">스핀들유격: </v>
      </c>
      <c r="N22" s="11" t="str">
        <f t="shared" si="0"/>
        <v xml:space="preserve">스핀들유격: </v>
      </c>
      <c r="O22" s="11" t="str">
        <f t="shared" si="0"/>
        <v xml:space="preserve">스핀들유격: </v>
      </c>
      <c r="P22" s="11" t="str">
        <f t="shared" si="0"/>
        <v xml:space="preserve">스핀들유격: </v>
      </c>
      <c r="Q22" s="11" t="str">
        <f t="shared" si="1"/>
        <v>000-000 :</v>
      </c>
      <c r="R22" s="11" t="str">
        <f t="shared" si="1"/>
        <v>000-000 :</v>
      </c>
      <c r="S22" s="11" t="str">
        <f t="shared" si="1"/>
        <v>000-000 :</v>
      </c>
      <c r="T22" s="11" t="str">
        <f t="shared" si="1"/>
        <v>000-000 :</v>
      </c>
      <c r="U22" s="11" t="str">
        <f t="shared" si="1"/>
        <v>000-000 :</v>
      </c>
      <c r="V22" s="11" t="str">
        <f t="shared" si="1"/>
        <v>000-000 :</v>
      </c>
      <c r="W22" s="11" t="str">
        <f t="shared" si="1"/>
        <v>000-000 :</v>
      </c>
      <c r="X22" s="11" t="str">
        <f t="shared" si="1"/>
        <v>000-000 :</v>
      </c>
      <c r="Y22" s="11" t="str">
        <f t="shared" si="2"/>
        <v>스핀들소음 :</v>
      </c>
      <c r="Z22" s="11" t="str">
        <f t="shared" si="3"/>
        <v>필터세척 :
FLOW   (T1, T4 : / T2, T3 : / T4 : )</v>
      </c>
      <c r="AA22" s="11" t="str">
        <f t="shared" si="4"/>
        <v/>
      </c>
      <c r="AB22" s="1"/>
      <c r="AC22" s="1"/>
      <c r="AD22" s="12"/>
      <c r="AE22" s="11" t="str">
        <f t="shared" si="5"/>
        <v/>
      </c>
      <c r="AF22" s="9"/>
      <c r="AG22" s="1"/>
      <c r="AH22" s="3"/>
    </row>
    <row r="23" spans="1:34" ht="34" x14ac:dyDescent="0.45">
      <c r="A23" s="4"/>
      <c r="C23" s="1"/>
      <c r="D23" s="1"/>
      <c r="E23" s="1"/>
      <c r="F23" s="1"/>
      <c r="G23" s="1"/>
      <c r="H23" s="1"/>
      <c r="I23" s="1"/>
      <c r="J23" s="1"/>
      <c r="K23" s="1" t="str">
        <f>IF(LEN(A23)&gt;0, 상수!B$4, "")</f>
        <v/>
      </c>
      <c r="L23" s="1"/>
      <c r="M23" s="11" t="str">
        <f t="shared" si="0"/>
        <v xml:space="preserve">스핀들유격: </v>
      </c>
      <c r="N23" s="11" t="str">
        <f t="shared" si="0"/>
        <v xml:space="preserve">스핀들유격: </v>
      </c>
      <c r="O23" s="11" t="str">
        <f t="shared" si="0"/>
        <v xml:space="preserve">스핀들유격: </v>
      </c>
      <c r="P23" s="11" t="str">
        <f t="shared" si="0"/>
        <v xml:space="preserve">스핀들유격: </v>
      </c>
      <c r="Q23" s="11" t="str">
        <f t="shared" ref="Q23:X38" si="7">IF(MOD($AD23,5)=0, "000-000 :","-" )</f>
        <v>000-000 :</v>
      </c>
      <c r="R23" s="11" t="str">
        <f t="shared" si="7"/>
        <v>000-000 :</v>
      </c>
      <c r="S23" s="11" t="str">
        <f t="shared" si="7"/>
        <v>000-000 :</v>
      </c>
      <c r="T23" s="11" t="str">
        <f t="shared" si="7"/>
        <v>000-000 :</v>
      </c>
      <c r="U23" s="11" t="str">
        <f t="shared" si="7"/>
        <v>000-000 :</v>
      </c>
      <c r="V23" s="11" t="str">
        <f t="shared" si="7"/>
        <v>000-000 :</v>
      </c>
      <c r="W23" s="11" t="str">
        <f t="shared" si="7"/>
        <v>000-000 :</v>
      </c>
      <c r="X23" s="11" t="str">
        <f t="shared" si="7"/>
        <v>000-000 :</v>
      </c>
      <c r="Y23" s="11" t="str">
        <f t="shared" si="2"/>
        <v>스핀들소음 :</v>
      </c>
      <c r="Z23" s="11" t="str">
        <f t="shared" si="3"/>
        <v>필터세척 :
FLOW   (T1, T4 : / T2, T3 : / T4 : )</v>
      </c>
      <c r="AA23" s="11" t="str">
        <f t="shared" si="4"/>
        <v/>
      </c>
      <c r="AB23" s="1"/>
      <c r="AC23" s="1"/>
      <c r="AD23" s="12"/>
      <c r="AE23" s="11" t="str">
        <f t="shared" si="5"/>
        <v/>
      </c>
      <c r="AF23" s="9"/>
      <c r="AG23" s="1"/>
      <c r="AH23" s="3"/>
    </row>
    <row r="24" spans="1:34" ht="34" x14ac:dyDescent="0.45">
      <c r="A24" s="4"/>
      <c r="B24" s="1"/>
      <c r="C24" s="1"/>
      <c r="D24" s="1"/>
      <c r="E24" s="1"/>
      <c r="F24" s="1"/>
      <c r="G24" s="1"/>
      <c r="H24" s="1"/>
      <c r="I24" s="1"/>
      <c r="J24" s="1"/>
      <c r="K24" s="1" t="str">
        <f>IF(LEN(A24)&gt;0, 상수!B$4, "")</f>
        <v/>
      </c>
      <c r="L24" s="1"/>
      <c r="M24" s="11" t="str">
        <f t="shared" si="0"/>
        <v xml:space="preserve">스핀들유격: </v>
      </c>
      <c r="N24" s="11" t="str">
        <f t="shared" si="0"/>
        <v xml:space="preserve">스핀들유격: </v>
      </c>
      <c r="O24" s="11" t="str">
        <f t="shared" si="0"/>
        <v xml:space="preserve">스핀들유격: </v>
      </c>
      <c r="P24" s="11" t="str">
        <f t="shared" si="0"/>
        <v xml:space="preserve">스핀들유격: </v>
      </c>
      <c r="Q24" s="11" t="str">
        <f t="shared" si="7"/>
        <v>000-000 :</v>
      </c>
      <c r="R24" s="11" t="str">
        <f t="shared" si="7"/>
        <v>000-000 :</v>
      </c>
      <c r="S24" s="11" t="str">
        <f t="shared" si="7"/>
        <v>000-000 :</v>
      </c>
      <c r="T24" s="11" t="str">
        <f t="shared" si="7"/>
        <v>000-000 :</v>
      </c>
      <c r="U24" s="11" t="str">
        <f t="shared" si="7"/>
        <v>000-000 :</v>
      </c>
      <c r="V24" s="11" t="str">
        <f t="shared" si="7"/>
        <v>000-000 :</v>
      </c>
      <c r="W24" s="11" t="str">
        <f t="shared" si="7"/>
        <v>000-000 :</v>
      </c>
      <c r="X24" s="11" t="str">
        <f t="shared" si="7"/>
        <v>000-000 :</v>
      </c>
      <c r="Y24" s="11" t="str">
        <f t="shared" si="2"/>
        <v>스핀들소음 :</v>
      </c>
      <c r="Z24" s="11" t="str">
        <f t="shared" si="3"/>
        <v>필터세척 :
FLOW   (T1, T4 : / T2, T3 : / T4 : )</v>
      </c>
      <c r="AA24" s="11" t="str">
        <f t="shared" si="4"/>
        <v/>
      </c>
      <c r="AB24" s="1"/>
      <c r="AC24" s="1"/>
      <c r="AD24" s="12"/>
      <c r="AE24" s="11" t="str">
        <f t="shared" si="5"/>
        <v/>
      </c>
      <c r="AF24" s="9"/>
      <c r="AG24" s="1"/>
      <c r="AH24" s="3"/>
    </row>
    <row r="25" spans="1:34" ht="34" x14ac:dyDescent="0.45">
      <c r="A25" s="4"/>
      <c r="B25" s="1"/>
      <c r="C25" s="1"/>
      <c r="D25" s="1"/>
      <c r="E25" s="1"/>
      <c r="F25" s="1"/>
      <c r="G25" s="1"/>
      <c r="H25" s="1"/>
      <c r="I25" s="1"/>
      <c r="J25" s="1"/>
      <c r="K25" s="1" t="str">
        <f>IF(LEN(A25)&gt;0, 상수!B$4, "")</f>
        <v/>
      </c>
      <c r="L25" s="1"/>
      <c r="M25" s="11" t="str">
        <f t="shared" si="0"/>
        <v xml:space="preserve">스핀들유격: </v>
      </c>
      <c r="N25" s="11" t="str">
        <f t="shared" si="0"/>
        <v xml:space="preserve">스핀들유격: </v>
      </c>
      <c r="O25" s="11" t="str">
        <f t="shared" si="0"/>
        <v xml:space="preserve">스핀들유격: </v>
      </c>
      <c r="P25" s="11" t="str">
        <f t="shared" si="0"/>
        <v xml:space="preserve">스핀들유격: </v>
      </c>
      <c r="Q25" s="11" t="str">
        <f t="shared" si="7"/>
        <v>000-000 :</v>
      </c>
      <c r="R25" s="11" t="str">
        <f t="shared" si="7"/>
        <v>000-000 :</v>
      </c>
      <c r="S25" s="11" t="str">
        <f t="shared" si="7"/>
        <v>000-000 :</v>
      </c>
      <c r="T25" s="11" t="str">
        <f t="shared" si="7"/>
        <v>000-000 :</v>
      </c>
      <c r="U25" s="11" t="str">
        <f t="shared" si="7"/>
        <v>000-000 :</v>
      </c>
      <c r="V25" s="11" t="str">
        <f t="shared" si="7"/>
        <v>000-000 :</v>
      </c>
      <c r="W25" s="11" t="str">
        <f t="shared" si="7"/>
        <v>000-000 :</v>
      </c>
      <c r="X25" s="11" t="str">
        <f t="shared" si="7"/>
        <v>000-000 :</v>
      </c>
      <c r="Y25" s="11" t="str">
        <f t="shared" si="2"/>
        <v>스핀들소음 :</v>
      </c>
      <c r="Z25" s="11" t="str">
        <f t="shared" si="3"/>
        <v>필터세척 :
FLOW   (T1, T4 : / T2, T3 : / T4 : )</v>
      </c>
      <c r="AA25" s="11" t="str">
        <f t="shared" si="4"/>
        <v/>
      </c>
      <c r="AB25" s="1"/>
      <c r="AC25" s="1"/>
      <c r="AD25" s="12"/>
      <c r="AE25" s="11" t="str">
        <f t="shared" si="5"/>
        <v/>
      </c>
      <c r="AF25" s="9"/>
      <c r="AG25" s="1"/>
      <c r="AH25" s="3"/>
    </row>
    <row r="26" spans="1:34" ht="34" x14ac:dyDescent="0.45">
      <c r="A26" s="4"/>
      <c r="B26" s="1"/>
      <c r="C26" s="1"/>
      <c r="D26" s="1"/>
      <c r="E26" s="1"/>
      <c r="F26" s="1"/>
      <c r="G26" s="1"/>
      <c r="H26" s="1"/>
      <c r="I26" s="1"/>
      <c r="J26" s="1"/>
      <c r="K26" s="1" t="str">
        <f>IF(LEN(A26)&gt;0, 상수!B$4, "")</f>
        <v/>
      </c>
      <c r="L26" s="1"/>
      <c r="M26" s="11" t="str">
        <f t="shared" si="0"/>
        <v xml:space="preserve">스핀들유격: </v>
      </c>
      <c r="N26" s="11" t="str">
        <f t="shared" si="0"/>
        <v xml:space="preserve">스핀들유격: </v>
      </c>
      <c r="O26" s="11" t="str">
        <f t="shared" si="0"/>
        <v xml:space="preserve">스핀들유격: </v>
      </c>
      <c r="P26" s="11" t="str">
        <f t="shared" si="0"/>
        <v xml:space="preserve">스핀들유격: </v>
      </c>
      <c r="Q26" s="11" t="str">
        <f t="shared" si="7"/>
        <v>000-000 :</v>
      </c>
      <c r="R26" s="11" t="str">
        <f t="shared" si="7"/>
        <v>000-000 :</v>
      </c>
      <c r="S26" s="11" t="str">
        <f t="shared" si="7"/>
        <v>000-000 :</v>
      </c>
      <c r="T26" s="11" t="str">
        <f t="shared" si="7"/>
        <v>000-000 :</v>
      </c>
      <c r="U26" s="11" t="str">
        <f t="shared" si="7"/>
        <v>000-000 :</v>
      </c>
      <c r="V26" s="11" t="str">
        <f t="shared" si="7"/>
        <v>000-000 :</v>
      </c>
      <c r="W26" s="11" t="str">
        <f t="shared" si="7"/>
        <v>000-000 :</v>
      </c>
      <c r="X26" s="11" t="str">
        <f t="shared" si="7"/>
        <v>000-000 :</v>
      </c>
      <c r="Y26" s="11" t="str">
        <f t="shared" si="2"/>
        <v>스핀들소음 :</v>
      </c>
      <c r="Z26" s="11" t="str">
        <f t="shared" si="3"/>
        <v>필터세척 :
FLOW   (T1, T4 : / T2, T3 : / T4 : )</v>
      </c>
      <c r="AA26" s="11" t="str">
        <f t="shared" si="4"/>
        <v/>
      </c>
      <c r="AB26" s="1"/>
      <c r="AC26" s="1"/>
      <c r="AD26" s="12"/>
      <c r="AE26" s="11" t="str">
        <f t="shared" si="5"/>
        <v/>
      </c>
      <c r="AF26" s="9"/>
      <c r="AG26" s="1"/>
      <c r="AH26" s="3"/>
    </row>
    <row r="27" spans="1:34" ht="34" x14ac:dyDescent="0.45">
      <c r="A27" s="4"/>
      <c r="B27" s="1"/>
      <c r="C27" s="1"/>
      <c r="D27" s="1"/>
      <c r="E27" s="1"/>
      <c r="F27" s="1"/>
      <c r="G27" s="1"/>
      <c r="H27" s="1"/>
      <c r="I27" s="1"/>
      <c r="J27" s="1"/>
      <c r="K27" s="1" t="str">
        <f>IF(LEN(A27)&gt;0, 상수!B$4, "")</f>
        <v/>
      </c>
      <c r="L27" s="1"/>
      <c r="M27" s="11" t="str">
        <f t="shared" ref="M27:P46" si="8">IF(MOD($AD27,5)=0, "스핀들유격: ","-" )</f>
        <v xml:space="preserve">스핀들유격: </v>
      </c>
      <c r="N27" s="11" t="str">
        <f t="shared" si="8"/>
        <v xml:space="preserve">스핀들유격: </v>
      </c>
      <c r="O27" s="11" t="str">
        <f t="shared" si="8"/>
        <v xml:space="preserve">스핀들유격: </v>
      </c>
      <c r="P27" s="11" t="str">
        <f t="shared" si="8"/>
        <v xml:space="preserve">스핀들유격: </v>
      </c>
      <c r="Q27" s="11" t="str">
        <f t="shared" si="7"/>
        <v>000-000 :</v>
      </c>
      <c r="R27" s="11" t="str">
        <f t="shared" si="7"/>
        <v>000-000 :</v>
      </c>
      <c r="S27" s="11" t="str">
        <f t="shared" si="7"/>
        <v>000-000 :</v>
      </c>
      <c r="T27" s="11" t="str">
        <f t="shared" si="7"/>
        <v>000-000 :</v>
      </c>
      <c r="U27" s="11" t="str">
        <f t="shared" si="7"/>
        <v>000-000 :</v>
      </c>
      <c r="V27" s="11" t="str">
        <f t="shared" si="7"/>
        <v>000-000 :</v>
      </c>
      <c r="W27" s="11" t="str">
        <f t="shared" si="7"/>
        <v>000-000 :</v>
      </c>
      <c r="X27" s="11" t="str">
        <f t="shared" si="7"/>
        <v>000-000 :</v>
      </c>
      <c r="Y27" s="11" t="str">
        <f t="shared" si="2"/>
        <v>스핀들소음 :</v>
      </c>
      <c r="Z27" s="11" t="str">
        <f t="shared" si="3"/>
        <v>필터세척 :
FLOW   (T1, T4 : / T2, T3 : / T4 : )</v>
      </c>
      <c r="AA27" s="11" t="str">
        <f t="shared" si="4"/>
        <v/>
      </c>
      <c r="AB27" s="1"/>
      <c r="AC27" s="1"/>
      <c r="AD27" s="12"/>
      <c r="AE27" s="11" t="str">
        <f t="shared" si="5"/>
        <v/>
      </c>
      <c r="AF27" s="9"/>
      <c r="AG27" s="1"/>
      <c r="AH27" s="3"/>
    </row>
    <row r="28" spans="1:34" ht="34" x14ac:dyDescent="0.45">
      <c r="A28" s="4"/>
      <c r="B28" s="1"/>
      <c r="C28" s="1"/>
      <c r="D28" s="1"/>
      <c r="E28" s="1"/>
      <c r="F28" s="1"/>
      <c r="G28" s="1"/>
      <c r="H28" s="1"/>
      <c r="I28" s="1"/>
      <c r="J28" s="1"/>
      <c r="K28" s="1" t="str">
        <f>IF(LEN(A28)&gt;0, 상수!B$4, "")</f>
        <v/>
      </c>
      <c r="L28" s="1"/>
      <c r="M28" s="11" t="str">
        <f t="shared" si="8"/>
        <v xml:space="preserve">스핀들유격: </v>
      </c>
      <c r="N28" s="11" t="str">
        <f t="shared" si="8"/>
        <v xml:space="preserve">스핀들유격: </v>
      </c>
      <c r="O28" s="11" t="str">
        <f t="shared" si="8"/>
        <v xml:space="preserve">스핀들유격: </v>
      </c>
      <c r="P28" s="11" t="str">
        <f t="shared" si="8"/>
        <v xml:space="preserve">스핀들유격: </v>
      </c>
      <c r="Q28" s="11" t="str">
        <f t="shared" si="7"/>
        <v>000-000 :</v>
      </c>
      <c r="R28" s="11" t="str">
        <f t="shared" si="7"/>
        <v>000-000 :</v>
      </c>
      <c r="S28" s="11" t="str">
        <f t="shared" si="7"/>
        <v>000-000 :</v>
      </c>
      <c r="T28" s="11" t="str">
        <f t="shared" si="7"/>
        <v>000-000 :</v>
      </c>
      <c r="U28" s="11" t="str">
        <f t="shared" si="7"/>
        <v>000-000 :</v>
      </c>
      <c r="V28" s="11" t="str">
        <f t="shared" si="7"/>
        <v>000-000 :</v>
      </c>
      <c r="W28" s="11" t="str">
        <f t="shared" si="7"/>
        <v>000-000 :</v>
      </c>
      <c r="X28" s="11" t="str">
        <f t="shared" si="7"/>
        <v>000-000 :</v>
      </c>
      <c r="Y28" s="11" t="str">
        <f t="shared" si="2"/>
        <v>스핀들소음 :</v>
      </c>
      <c r="Z28" s="11" t="str">
        <f t="shared" si="3"/>
        <v>필터세척 :
FLOW   (T1, T4 : / T2, T3 : / T4 : )</v>
      </c>
      <c r="AA28" s="11" t="str">
        <f t="shared" si="4"/>
        <v/>
      </c>
      <c r="AB28" s="1"/>
      <c r="AC28" s="1"/>
      <c r="AD28" s="12"/>
      <c r="AE28" s="11" t="str">
        <f t="shared" si="5"/>
        <v/>
      </c>
      <c r="AF28" s="9"/>
      <c r="AG28" s="1"/>
      <c r="AH28" s="3"/>
    </row>
    <row r="29" spans="1:34" ht="34" x14ac:dyDescent="0.45">
      <c r="A29" s="4"/>
      <c r="B29" s="1"/>
      <c r="C29" s="1"/>
      <c r="D29" s="1"/>
      <c r="E29" s="1"/>
      <c r="F29" s="1"/>
      <c r="G29" s="1"/>
      <c r="H29" s="1"/>
      <c r="I29" s="1"/>
      <c r="J29" s="1"/>
      <c r="K29" s="1" t="str">
        <f>IF(LEN(A29)&gt;0, 상수!B$4, "")</f>
        <v/>
      </c>
      <c r="L29" s="1"/>
      <c r="M29" s="11" t="str">
        <f t="shared" si="8"/>
        <v xml:space="preserve">스핀들유격: </v>
      </c>
      <c r="N29" s="11" t="str">
        <f t="shared" si="8"/>
        <v xml:space="preserve">스핀들유격: </v>
      </c>
      <c r="O29" s="11" t="str">
        <f t="shared" si="8"/>
        <v xml:space="preserve">스핀들유격: </v>
      </c>
      <c r="P29" s="11" t="str">
        <f t="shared" si="8"/>
        <v xml:space="preserve">스핀들유격: </v>
      </c>
      <c r="Q29" s="11" t="str">
        <f t="shared" si="7"/>
        <v>000-000 :</v>
      </c>
      <c r="R29" s="11" t="str">
        <f t="shared" si="7"/>
        <v>000-000 :</v>
      </c>
      <c r="S29" s="11" t="str">
        <f t="shared" si="7"/>
        <v>000-000 :</v>
      </c>
      <c r="T29" s="11" t="str">
        <f t="shared" si="7"/>
        <v>000-000 :</v>
      </c>
      <c r="U29" s="11" t="str">
        <f t="shared" si="7"/>
        <v>000-000 :</v>
      </c>
      <c r="V29" s="11" t="str">
        <f t="shared" si="7"/>
        <v>000-000 :</v>
      </c>
      <c r="W29" s="11" t="str">
        <f t="shared" si="7"/>
        <v>000-000 :</v>
      </c>
      <c r="X29" s="11" t="str">
        <f t="shared" si="7"/>
        <v>000-000 :</v>
      </c>
      <c r="Y29" s="11" t="str">
        <f t="shared" si="2"/>
        <v>스핀들소음 :</v>
      </c>
      <c r="Z29" s="11" t="str">
        <f t="shared" si="3"/>
        <v>필터세척 :
FLOW   (T1, T4 : / T2, T3 : / T4 : )</v>
      </c>
      <c r="AA29" s="11" t="str">
        <f t="shared" si="4"/>
        <v/>
      </c>
      <c r="AB29" s="1"/>
      <c r="AC29" s="1"/>
      <c r="AD29" s="12"/>
      <c r="AE29" s="11" t="str">
        <f t="shared" si="5"/>
        <v/>
      </c>
      <c r="AF29" s="9"/>
      <c r="AG29" s="1"/>
      <c r="AH29" s="3"/>
    </row>
    <row r="30" spans="1:34" ht="34" x14ac:dyDescent="0.45">
      <c r="A30" s="4"/>
      <c r="B30" s="1"/>
      <c r="C30" s="1"/>
      <c r="D30" s="1"/>
      <c r="E30" s="1"/>
      <c r="F30" s="1"/>
      <c r="G30" s="1"/>
      <c r="H30" s="1"/>
      <c r="I30" s="1"/>
      <c r="J30" s="1"/>
      <c r="K30" s="1" t="str">
        <f>IF(LEN(A30)&gt;0, 상수!B$4, "")</f>
        <v/>
      </c>
      <c r="L30" s="1"/>
      <c r="M30" s="11" t="str">
        <f t="shared" si="8"/>
        <v xml:space="preserve">스핀들유격: </v>
      </c>
      <c r="N30" s="11" t="str">
        <f t="shared" si="8"/>
        <v xml:space="preserve">스핀들유격: </v>
      </c>
      <c r="O30" s="11" t="str">
        <f t="shared" si="8"/>
        <v xml:space="preserve">스핀들유격: </v>
      </c>
      <c r="P30" s="11" t="str">
        <f t="shared" si="8"/>
        <v xml:space="preserve">스핀들유격: </v>
      </c>
      <c r="Q30" s="11" t="str">
        <f t="shared" si="7"/>
        <v>000-000 :</v>
      </c>
      <c r="R30" s="11" t="str">
        <f t="shared" si="7"/>
        <v>000-000 :</v>
      </c>
      <c r="S30" s="11" t="str">
        <f t="shared" si="7"/>
        <v>000-000 :</v>
      </c>
      <c r="T30" s="11" t="str">
        <f t="shared" si="7"/>
        <v>000-000 :</v>
      </c>
      <c r="U30" s="11" t="str">
        <f t="shared" si="7"/>
        <v>000-000 :</v>
      </c>
      <c r="V30" s="11" t="str">
        <f t="shared" si="7"/>
        <v>000-000 :</v>
      </c>
      <c r="W30" s="11" t="str">
        <f t="shared" si="7"/>
        <v>000-000 :</v>
      </c>
      <c r="X30" s="11" t="str">
        <f t="shared" si="7"/>
        <v>000-000 :</v>
      </c>
      <c r="Y30" s="11" t="str">
        <f t="shared" si="2"/>
        <v>스핀들소음 :</v>
      </c>
      <c r="Z30" s="11" t="str">
        <f t="shared" si="3"/>
        <v>필터세척 :
FLOW   (T1, T4 : / T2, T3 : / T4 : )</v>
      </c>
      <c r="AA30" s="11" t="str">
        <f t="shared" si="4"/>
        <v/>
      </c>
      <c r="AB30" s="1"/>
      <c r="AC30" s="1"/>
      <c r="AD30" s="12"/>
      <c r="AE30" s="11" t="str">
        <f t="shared" si="5"/>
        <v/>
      </c>
      <c r="AF30" s="9"/>
      <c r="AG30" s="1"/>
      <c r="AH30" s="3"/>
    </row>
    <row r="31" spans="1:34" ht="34" x14ac:dyDescent="0.45">
      <c r="A31" s="4"/>
      <c r="B31" s="1"/>
      <c r="C31" s="1"/>
      <c r="D31" s="1"/>
      <c r="E31" s="1"/>
      <c r="F31" s="1"/>
      <c r="G31" s="1"/>
      <c r="H31" s="1"/>
      <c r="I31" s="1"/>
      <c r="J31" s="1"/>
      <c r="K31" s="1" t="str">
        <f>IF(LEN(A31)&gt;0, 상수!B$4, "")</f>
        <v/>
      </c>
      <c r="L31" s="1"/>
      <c r="M31" s="11" t="str">
        <f t="shared" si="8"/>
        <v xml:space="preserve">스핀들유격: </v>
      </c>
      <c r="N31" s="11" t="str">
        <f t="shared" si="8"/>
        <v xml:space="preserve">스핀들유격: </v>
      </c>
      <c r="O31" s="11" t="str">
        <f t="shared" si="8"/>
        <v xml:space="preserve">스핀들유격: </v>
      </c>
      <c r="P31" s="11" t="str">
        <f t="shared" si="8"/>
        <v xml:space="preserve">스핀들유격: </v>
      </c>
      <c r="Q31" s="11" t="str">
        <f t="shared" si="7"/>
        <v>000-000 :</v>
      </c>
      <c r="R31" s="11" t="str">
        <f t="shared" si="7"/>
        <v>000-000 :</v>
      </c>
      <c r="S31" s="11" t="str">
        <f t="shared" si="7"/>
        <v>000-000 :</v>
      </c>
      <c r="T31" s="11" t="str">
        <f t="shared" si="7"/>
        <v>000-000 :</v>
      </c>
      <c r="U31" s="11" t="str">
        <f t="shared" si="7"/>
        <v>000-000 :</v>
      </c>
      <c r="V31" s="11" t="str">
        <f t="shared" si="7"/>
        <v>000-000 :</v>
      </c>
      <c r="W31" s="11" t="str">
        <f t="shared" si="7"/>
        <v>000-000 :</v>
      </c>
      <c r="X31" s="11" t="str">
        <f t="shared" si="7"/>
        <v>000-000 :</v>
      </c>
      <c r="Y31" s="11" t="str">
        <f t="shared" si="2"/>
        <v>스핀들소음 :</v>
      </c>
      <c r="Z31" s="11" t="str">
        <f t="shared" si="3"/>
        <v>필터세척 :
FLOW   (T1, T4 : / T2, T3 : / T4 : )</v>
      </c>
      <c r="AA31" s="11" t="str">
        <f t="shared" si="4"/>
        <v/>
      </c>
      <c r="AB31" s="1"/>
      <c r="AC31" s="1"/>
      <c r="AD31" s="12"/>
      <c r="AE31" s="11" t="str">
        <f t="shared" si="5"/>
        <v/>
      </c>
      <c r="AF31" s="9"/>
      <c r="AG31" s="1"/>
      <c r="AH31" s="3"/>
    </row>
    <row r="32" spans="1:34" ht="34" x14ac:dyDescent="0.45">
      <c r="A32" s="4"/>
      <c r="B32" s="1"/>
      <c r="C32" s="1"/>
      <c r="D32" s="1"/>
      <c r="E32" s="1"/>
      <c r="F32" s="1"/>
      <c r="G32" s="1"/>
      <c r="H32" s="1"/>
      <c r="I32" s="1"/>
      <c r="J32" s="1"/>
      <c r="K32" s="1" t="str">
        <f>IF(LEN(A32)&gt;0, 상수!B$4, "")</f>
        <v/>
      </c>
      <c r="L32" s="1"/>
      <c r="M32" s="11" t="str">
        <f t="shared" si="8"/>
        <v xml:space="preserve">스핀들유격: </v>
      </c>
      <c r="N32" s="11" t="str">
        <f t="shared" si="8"/>
        <v xml:space="preserve">스핀들유격: </v>
      </c>
      <c r="O32" s="11" t="str">
        <f t="shared" si="8"/>
        <v xml:space="preserve">스핀들유격: </v>
      </c>
      <c r="P32" s="11" t="str">
        <f t="shared" si="8"/>
        <v xml:space="preserve">스핀들유격: </v>
      </c>
      <c r="Q32" s="11" t="str">
        <f t="shared" si="7"/>
        <v>000-000 :</v>
      </c>
      <c r="R32" s="11" t="str">
        <f t="shared" si="7"/>
        <v>000-000 :</v>
      </c>
      <c r="S32" s="11" t="str">
        <f t="shared" si="7"/>
        <v>000-000 :</v>
      </c>
      <c r="T32" s="11" t="str">
        <f t="shared" si="7"/>
        <v>000-000 :</v>
      </c>
      <c r="U32" s="11" t="str">
        <f t="shared" si="7"/>
        <v>000-000 :</v>
      </c>
      <c r="V32" s="11" t="str">
        <f t="shared" si="7"/>
        <v>000-000 :</v>
      </c>
      <c r="W32" s="11" t="str">
        <f t="shared" si="7"/>
        <v>000-000 :</v>
      </c>
      <c r="X32" s="11" t="str">
        <f t="shared" si="7"/>
        <v>000-000 :</v>
      </c>
      <c r="Y32" s="11" t="str">
        <f t="shared" si="2"/>
        <v>스핀들소음 :</v>
      </c>
      <c r="Z32" s="11" t="str">
        <f t="shared" si="3"/>
        <v>필터세척 :
FLOW   (T1, T4 : / T2, T3 : / T4 : )</v>
      </c>
      <c r="AA32" s="11" t="str">
        <f t="shared" si="4"/>
        <v/>
      </c>
      <c r="AB32" s="1"/>
      <c r="AC32" s="1"/>
      <c r="AD32" s="12"/>
      <c r="AE32" s="11" t="str">
        <f t="shared" si="5"/>
        <v/>
      </c>
      <c r="AF32" s="9"/>
      <c r="AG32" s="1"/>
      <c r="AH32" s="3"/>
    </row>
    <row r="33" spans="1:34" ht="34" x14ac:dyDescent="0.45">
      <c r="A33" s="4"/>
      <c r="B33" s="1"/>
      <c r="C33" s="1"/>
      <c r="D33" s="1"/>
      <c r="E33" s="1"/>
      <c r="F33" s="1"/>
      <c r="G33" s="1"/>
      <c r="H33" s="1"/>
      <c r="I33" s="1"/>
      <c r="J33" s="1"/>
      <c r="K33" s="1" t="str">
        <f>IF(LEN(A33)&gt;0, 상수!B$4, "")</f>
        <v/>
      </c>
      <c r="L33" s="1"/>
      <c r="M33" s="11" t="str">
        <f t="shared" si="8"/>
        <v xml:space="preserve">스핀들유격: </v>
      </c>
      <c r="N33" s="11" t="str">
        <f t="shared" si="8"/>
        <v xml:space="preserve">스핀들유격: </v>
      </c>
      <c r="O33" s="11" t="str">
        <f t="shared" si="8"/>
        <v xml:space="preserve">스핀들유격: </v>
      </c>
      <c r="P33" s="11" t="str">
        <f t="shared" si="8"/>
        <v xml:space="preserve">스핀들유격: </v>
      </c>
      <c r="Q33" s="11" t="str">
        <f t="shared" si="7"/>
        <v>000-000 :</v>
      </c>
      <c r="R33" s="11" t="str">
        <f t="shared" si="7"/>
        <v>000-000 :</v>
      </c>
      <c r="S33" s="11" t="str">
        <f t="shared" si="7"/>
        <v>000-000 :</v>
      </c>
      <c r="T33" s="11" t="str">
        <f t="shared" si="7"/>
        <v>000-000 :</v>
      </c>
      <c r="U33" s="11" t="str">
        <f t="shared" si="7"/>
        <v>000-000 :</v>
      </c>
      <c r="V33" s="11" t="str">
        <f t="shared" si="7"/>
        <v>000-000 :</v>
      </c>
      <c r="W33" s="11" t="str">
        <f t="shared" si="7"/>
        <v>000-000 :</v>
      </c>
      <c r="X33" s="11" t="str">
        <f t="shared" si="7"/>
        <v>000-000 :</v>
      </c>
      <c r="Y33" s="11" t="str">
        <f t="shared" si="2"/>
        <v>스핀들소음 :</v>
      </c>
      <c r="Z33" s="11" t="str">
        <f t="shared" si="3"/>
        <v>필터세척 :
FLOW   (T1, T4 : / T2, T3 : / T4 : )</v>
      </c>
      <c r="AA33" s="11" t="str">
        <f t="shared" si="4"/>
        <v/>
      </c>
      <c r="AB33" s="1"/>
      <c r="AC33" s="1"/>
      <c r="AD33" s="12"/>
      <c r="AE33" s="11" t="str">
        <f t="shared" si="5"/>
        <v/>
      </c>
      <c r="AF33" s="9"/>
      <c r="AG33" s="1"/>
      <c r="AH33" s="3"/>
    </row>
    <row r="34" spans="1:34" ht="34" x14ac:dyDescent="0.45">
      <c r="A34" s="4"/>
      <c r="B34" s="1"/>
      <c r="C34" s="1"/>
      <c r="D34" s="1"/>
      <c r="E34" s="1"/>
      <c r="F34" s="1"/>
      <c r="G34" s="1"/>
      <c r="H34" s="1"/>
      <c r="I34" s="1"/>
      <c r="J34" s="1"/>
      <c r="K34" s="1" t="str">
        <f>IF(LEN(A34)&gt;0, 상수!B$4, "")</f>
        <v/>
      </c>
      <c r="L34" s="1"/>
      <c r="M34" s="11" t="str">
        <f t="shared" si="8"/>
        <v xml:space="preserve">스핀들유격: </v>
      </c>
      <c r="N34" s="11" t="str">
        <f t="shared" si="8"/>
        <v xml:space="preserve">스핀들유격: </v>
      </c>
      <c r="O34" s="11" t="str">
        <f t="shared" si="8"/>
        <v xml:space="preserve">스핀들유격: </v>
      </c>
      <c r="P34" s="11" t="str">
        <f t="shared" si="8"/>
        <v xml:space="preserve">스핀들유격: </v>
      </c>
      <c r="Q34" s="11" t="str">
        <f t="shared" si="7"/>
        <v>000-000 :</v>
      </c>
      <c r="R34" s="11" t="str">
        <f t="shared" si="7"/>
        <v>000-000 :</v>
      </c>
      <c r="S34" s="11" t="str">
        <f t="shared" si="7"/>
        <v>000-000 :</v>
      </c>
      <c r="T34" s="11" t="str">
        <f t="shared" si="7"/>
        <v>000-000 :</v>
      </c>
      <c r="U34" s="11" t="str">
        <f t="shared" si="7"/>
        <v>000-000 :</v>
      </c>
      <c r="V34" s="11" t="str">
        <f t="shared" si="7"/>
        <v>000-000 :</v>
      </c>
      <c r="W34" s="11" t="str">
        <f t="shared" si="7"/>
        <v>000-000 :</v>
      </c>
      <c r="X34" s="11" t="str">
        <f t="shared" si="7"/>
        <v>000-000 :</v>
      </c>
      <c r="Y34" s="11" t="str">
        <f t="shared" si="2"/>
        <v>스핀들소음 :</v>
      </c>
      <c r="Z34" s="11" t="str">
        <f t="shared" si="3"/>
        <v>필터세척 :
FLOW   (T1, T4 : / T2, T3 : / T4 : )</v>
      </c>
      <c r="AA34" s="11" t="str">
        <f t="shared" si="4"/>
        <v/>
      </c>
      <c r="AB34" s="1"/>
      <c r="AC34" s="1"/>
      <c r="AD34" s="12"/>
      <c r="AE34" s="11" t="str">
        <f t="shared" si="5"/>
        <v/>
      </c>
      <c r="AF34" s="9"/>
      <c r="AG34" s="1"/>
      <c r="AH34" s="3"/>
    </row>
    <row r="35" spans="1:34" ht="34" x14ac:dyDescent="0.45">
      <c r="A35" s="4"/>
      <c r="B35" s="1"/>
      <c r="C35" s="1"/>
      <c r="D35" s="1"/>
      <c r="E35" s="1"/>
      <c r="F35" s="1"/>
      <c r="G35" s="1"/>
      <c r="H35" s="1"/>
      <c r="I35" s="1"/>
      <c r="J35" s="1"/>
      <c r="K35" s="1" t="str">
        <f>IF(LEN(A35)&gt;0, 상수!B$4, "")</f>
        <v/>
      </c>
      <c r="L35" s="1"/>
      <c r="M35" s="11" t="str">
        <f t="shared" si="8"/>
        <v xml:space="preserve">스핀들유격: </v>
      </c>
      <c r="N35" s="11" t="str">
        <f t="shared" si="8"/>
        <v xml:space="preserve">스핀들유격: </v>
      </c>
      <c r="O35" s="11" t="str">
        <f t="shared" si="8"/>
        <v xml:space="preserve">스핀들유격: </v>
      </c>
      <c r="P35" s="11" t="str">
        <f t="shared" si="8"/>
        <v xml:space="preserve">스핀들유격: </v>
      </c>
      <c r="Q35" s="11" t="str">
        <f t="shared" si="7"/>
        <v>000-000 :</v>
      </c>
      <c r="R35" s="11" t="str">
        <f t="shared" si="7"/>
        <v>000-000 :</v>
      </c>
      <c r="S35" s="11" t="str">
        <f t="shared" si="7"/>
        <v>000-000 :</v>
      </c>
      <c r="T35" s="11" t="str">
        <f t="shared" si="7"/>
        <v>000-000 :</v>
      </c>
      <c r="U35" s="11" t="str">
        <f t="shared" si="7"/>
        <v>000-000 :</v>
      </c>
      <c r="V35" s="11" t="str">
        <f t="shared" si="7"/>
        <v>000-000 :</v>
      </c>
      <c r="W35" s="11" t="str">
        <f t="shared" si="7"/>
        <v>000-000 :</v>
      </c>
      <c r="X35" s="11" t="str">
        <f t="shared" si="7"/>
        <v>000-000 :</v>
      </c>
      <c r="Y35" s="11" t="str">
        <f t="shared" si="2"/>
        <v>스핀들소음 :</v>
      </c>
      <c r="Z35" s="11" t="str">
        <f t="shared" si="3"/>
        <v>필터세척 :
FLOW   (T1, T4 : / T2, T3 : / T4 : )</v>
      </c>
      <c r="AA35" s="11" t="str">
        <f t="shared" si="4"/>
        <v/>
      </c>
      <c r="AB35" s="1"/>
      <c r="AC35" s="1"/>
      <c r="AD35" s="12"/>
      <c r="AE35" s="11" t="str">
        <f t="shared" si="5"/>
        <v/>
      </c>
      <c r="AF35" s="9"/>
      <c r="AG35" s="1"/>
      <c r="AH35" s="3"/>
    </row>
    <row r="36" spans="1:34" ht="34" x14ac:dyDescent="0.45">
      <c r="A36" s="4"/>
      <c r="B36" s="1"/>
      <c r="C36" s="1"/>
      <c r="D36" s="1"/>
      <c r="E36" s="1"/>
      <c r="F36" s="1"/>
      <c r="G36" s="1"/>
      <c r="H36" s="1"/>
      <c r="I36" s="1"/>
      <c r="J36" s="1"/>
      <c r="K36" s="1" t="str">
        <f>IF(LEN(A36)&gt;0, 상수!B$4, "")</f>
        <v/>
      </c>
      <c r="L36" s="1"/>
      <c r="M36" s="11" t="str">
        <f t="shared" si="8"/>
        <v xml:space="preserve">스핀들유격: </v>
      </c>
      <c r="N36" s="11" t="str">
        <f t="shared" si="8"/>
        <v xml:space="preserve">스핀들유격: </v>
      </c>
      <c r="O36" s="11" t="str">
        <f t="shared" si="8"/>
        <v xml:space="preserve">스핀들유격: </v>
      </c>
      <c r="P36" s="11" t="str">
        <f t="shared" si="8"/>
        <v xml:space="preserve">스핀들유격: </v>
      </c>
      <c r="Q36" s="11" t="str">
        <f t="shared" si="7"/>
        <v>000-000 :</v>
      </c>
      <c r="R36" s="11" t="str">
        <f t="shared" si="7"/>
        <v>000-000 :</v>
      </c>
      <c r="S36" s="11" t="str">
        <f t="shared" si="7"/>
        <v>000-000 :</v>
      </c>
      <c r="T36" s="11" t="str">
        <f t="shared" si="7"/>
        <v>000-000 :</v>
      </c>
      <c r="U36" s="11" t="str">
        <f t="shared" si="7"/>
        <v>000-000 :</v>
      </c>
      <c r="V36" s="11" t="str">
        <f t="shared" si="7"/>
        <v>000-000 :</v>
      </c>
      <c r="W36" s="11" t="str">
        <f t="shared" si="7"/>
        <v>000-000 :</v>
      </c>
      <c r="X36" s="11" t="str">
        <f t="shared" si="7"/>
        <v>000-000 :</v>
      </c>
      <c r="Y36" s="11" t="str">
        <f t="shared" si="2"/>
        <v>스핀들소음 :</v>
      </c>
      <c r="Z36" s="11" t="str">
        <f t="shared" si="3"/>
        <v>필터세척 :
FLOW   (T1, T4 : / T2, T3 : / T4 : )</v>
      </c>
      <c r="AA36" s="11" t="str">
        <f t="shared" si="4"/>
        <v/>
      </c>
      <c r="AB36" s="1"/>
      <c r="AC36" s="1"/>
      <c r="AD36" s="12"/>
      <c r="AE36" s="11" t="str">
        <f t="shared" si="5"/>
        <v/>
      </c>
      <c r="AF36" s="9"/>
      <c r="AG36" s="1"/>
      <c r="AH36" s="3"/>
    </row>
    <row r="37" spans="1:34" ht="34" x14ac:dyDescent="0.45">
      <c r="A37" s="4"/>
      <c r="B37" s="1"/>
      <c r="C37" s="1"/>
      <c r="D37" s="1"/>
      <c r="E37" s="1"/>
      <c r="F37" s="1"/>
      <c r="G37" s="1"/>
      <c r="H37" s="1"/>
      <c r="I37" s="1"/>
      <c r="J37" s="1"/>
      <c r="K37" s="1" t="str">
        <f>IF(LEN(A37)&gt;0, 상수!B$4, "")</f>
        <v/>
      </c>
      <c r="L37" s="1"/>
      <c r="M37" s="11" t="str">
        <f t="shared" si="8"/>
        <v xml:space="preserve">스핀들유격: </v>
      </c>
      <c r="N37" s="11" t="str">
        <f t="shared" si="8"/>
        <v xml:space="preserve">스핀들유격: </v>
      </c>
      <c r="O37" s="11" t="str">
        <f t="shared" si="8"/>
        <v xml:space="preserve">스핀들유격: </v>
      </c>
      <c r="P37" s="11" t="str">
        <f t="shared" si="8"/>
        <v xml:space="preserve">스핀들유격: </v>
      </c>
      <c r="Q37" s="11" t="str">
        <f t="shared" si="7"/>
        <v>000-000 :</v>
      </c>
      <c r="R37" s="11" t="str">
        <f t="shared" si="7"/>
        <v>000-000 :</v>
      </c>
      <c r="S37" s="11" t="str">
        <f t="shared" si="7"/>
        <v>000-000 :</v>
      </c>
      <c r="T37" s="11" t="str">
        <f t="shared" si="7"/>
        <v>000-000 :</v>
      </c>
      <c r="U37" s="11" t="str">
        <f t="shared" si="7"/>
        <v>000-000 :</v>
      </c>
      <c r="V37" s="11" t="str">
        <f t="shared" si="7"/>
        <v>000-000 :</v>
      </c>
      <c r="W37" s="11" t="str">
        <f t="shared" si="7"/>
        <v>000-000 :</v>
      </c>
      <c r="X37" s="11" t="str">
        <f t="shared" si="7"/>
        <v>000-000 :</v>
      </c>
      <c r="Y37" s="11" t="str">
        <f t="shared" si="2"/>
        <v>스핀들소음 :</v>
      </c>
      <c r="Z37" s="11" t="str">
        <f t="shared" si="3"/>
        <v>필터세척 :
FLOW   (T1, T4 : / T2, T3 : / T4 : )</v>
      </c>
      <c r="AA37" s="11" t="str">
        <f t="shared" si="4"/>
        <v/>
      </c>
      <c r="AB37" s="1"/>
      <c r="AC37" s="1"/>
      <c r="AD37" s="12"/>
      <c r="AE37" s="11" t="str">
        <f t="shared" si="5"/>
        <v/>
      </c>
      <c r="AF37" s="9"/>
      <c r="AG37" s="1"/>
      <c r="AH37" s="3"/>
    </row>
    <row r="38" spans="1:34" ht="34" x14ac:dyDescent="0.45">
      <c r="A38" s="4"/>
      <c r="B38" s="1"/>
      <c r="C38" s="1"/>
      <c r="D38" s="1"/>
      <c r="E38" s="1"/>
      <c r="F38" s="1"/>
      <c r="G38" s="1"/>
      <c r="H38" s="1"/>
      <c r="I38" s="1"/>
      <c r="J38" s="1"/>
      <c r="K38" s="1" t="str">
        <f>IF(LEN(A38)&gt;0, 상수!B$4, "")</f>
        <v/>
      </c>
      <c r="L38" s="1"/>
      <c r="M38" s="11" t="str">
        <f t="shared" si="8"/>
        <v xml:space="preserve">스핀들유격: </v>
      </c>
      <c r="N38" s="11" t="str">
        <f t="shared" si="8"/>
        <v xml:space="preserve">스핀들유격: </v>
      </c>
      <c r="O38" s="11" t="str">
        <f t="shared" si="8"/>
        <v xml:space="preserve">스핀들유격: </v>
      </c>
      <c r="P38" s="11" t="str">
        <f t="shared" si="8"/>
        <v xml:space="preserve">스핀들유격: </v>
      </c>
      <c r="Q38" s="11" t="str">
        <f t="shared" si="7"/>
        <v>000-000 :</v>
      </c>
      <c r="R38" s="11" t="str">
        <f t="shared" si="7"/>
        <v>000-000 :</v>
      </c>
      <c r="S38" s="11" t="str">
        <f t="shared" si="7"/>
        <v>000-000 :</v>
      </c>
      <c r="T38" s="11" t="str">
        <f t="shared" si="7"/>
        <v>000-000 :</v>
      </c>
      <c r="U38" s="11" t="str">
        <f t="shared" si="7"/>
        <v>000-000 :</v>
      </c>
      <c r="V38" s="11" t="str">
        <f t="shared" si="7"/>
        <v>000-000 :</v>
      </c>
      <c r="W38" s="11" t="str">
        <f t="shared" si="7"/>
        <v>000-000 :</v>
      </c>
      <c r="X38" s="11" t="str">
        <f t="shared" si="7"/>
        <v>000-000 :</v>
      </c>
      <c r="Y38" s="11" t="str">
        <f t="shared" si="2"/>
        <v>스핀들소음 :</v>
      </c>
      <c r="Z38" s="11" t="str">
        <f t="shared" si="3"/>
        <v>필터세척 :
FLOW   (T1, T4 : / T2, T3 : / T4 : )</v>
      </c>
      <c r="AA38" s="11" t="str">
        <f t="shared" si="4"/>
        <v/>
      </c>
      <c r="AB38" s="1"/>
      <c r="AC38" s="1"/>
      <c r="AD38" s="12"/>
      <c r="AE38" s="11" t="str">
        <f t="shared" si="5"/>
        <v/>
      </c>
      <c r="AF38" s="9"/>
      <c r="AG38" s="1"/>
      <c r="AH38" s="3"/>
    </row>
    <row r="39" spans="1:34" ht="34" x14ac:dyDescent="0.45">
      <c r="A39" s="4"/>
      <c r="B39" s="1"/>
      <c r="C39" s="1"/>
      <c r="D39" s="1"/>
      <c r="E39" s="1"/>
      <c r="F39" s="1"/>
      <c r="G39" s="1"/>
      <c r="H39" s="1"/>
      <c r="I39" s="1"/>
      <c r="J39" s="1"/>
      <c r="K39" s="1" t="str">
        <f>IF(LEN(A39)&gt;0, 상수!B$4, "")</f>
        <v/>
      </c>
      <c r="L39" s="1"/>
      <c r="M39" s="11" t="str">
        <f t="shared" si="8"/>
        <v xml:space="preserve">스핀들유격: </v>
      </c>
      <c r="N39" s="11" t="str">
        <f t="shared" si="8"/>
        <v xml:space="preserve">스핀들유격: </v>
      </c>
      <c r="O39" s="11" t="str">
        <f t="shared" si="8"/>
        <v xml:space="preserve">스핀들유격: </v>
      </c>
      <c r="P39" s="11" t="str">
        <f t="shared" si="8"/>
        <v xml:space="preserve">스핀들유격: </v>
      </c>
      <c r="Q39" s="11" t="str">
        <f t="shared" ref="Q39:X54" si="9">IF(MOD($AD39,5)=0, "000-000 :","-" )</f>
        <v>000-000 :</v>
      </c>
      <c r="R39" s="11" t="str">
        <f t="shared" si="9"/>
        <v>000-000 :</v>
      </c>
      <c r="S39" s="11" t="str">
        <f t="shared" si="9"/>
        <v>000-000 :</v>
      </c>
      <c r="T39" s="11" t="str">
        <f t="shared" si="9"/>
        <v>000-000 :</v>
      </c>
      <c r="U39" s="11" t="str">
        <f t="shared" si="9"/>
        <v>000-000 :</v>
      </c>
      <c r="V39" s="11" t="str">
        <f t="shared" si="9"/>
        <v>000-000 :</v>
      </c>
      <c r="W39" s="11" t="str">
        <f t="shared" si="9"/>
        <v>000-000 :</v>
      </c>
      <c r="X39" s="11" t="str">
        <f t="shared" si="9"/>
        <v>000-000 :</v>
      </c>
      <c r="Y39" s="11" t="str">
        <f t="shared" si="2"/>
        <v>스핀들소음 :</v>
      </c>
      <c r="Z39" s="11" t="str">
        <f t="shared" si="3"/>
        <v>필터세척 :
FLOW   (T1, T4 : / T2, T3 : / T4 : )</v>
      </c>
      <c r="AA39" s="11" t="str">
        <f t="shared" si="4"/>
        <v/>
      </c>
      <c r="AB39" s="1"/>
      <c r="AC39" s="1"/>
      <c r="AD39" s="12"/>
      <c r="AE39" s="11" t="str">
        <f t="shared" si="5"/>
        <v/>
      </c>
      <c r="AF39" s="9"/>
      <c r="AG39" s="1"/>
      <c r="AH39" s="3"/>
    </row>
    <row r="40" spans="1:34" ht="34" x14ac:dyDescent="0.45">
      <c r="A40" s="4"/>
      <c r="B40" s="1"/>
      <c r="C40" s="1"/>
      <c r="D40" s="1"/>
      <c r="E40" s="1"/>
      <c r="F40" s="1"/>
      <c r="G40" s="1"/>
      <c r="H40" s="1"/>
      <c r="I40" s="1"/>
      <c r="J40" s="1"/>
      <c r="K40" s="1" t="str">
        <f>IF(LEN(A40)&gt;0, 상수!B$4, "")</f>
        <v/>
      </c>
      <c r="L40" s="1"/>
      <c r="M40" s="11" t="str">
        <f t="shared" si="8"/>
        <v xml:space="preserve">스핀들유격: </v>
      </c>
      <c r="N40" s="11" t="str">
        <f t="shared" si="8"/>
        <v xml:space="preserve">스핀들유격: </v>
      </c>
      <c r="O40" s="11" t="str">
        <f t="shared" si="8"/>
        <v xml:space="preserve">스핀들유격: </v>
      </c>
      <c r="P40" s="11" t="str">
        <f t="shared" si="8"/>
        <v xml:space="preserve">스핀들유격: </v>
      </c>
      <c r="Q40" s="11" t="str">
        <f t="shared" si="9"/>
        <v>000-000 :</v>
      </c>
      <c r="R40" s="11" t="str">
        <f t="shared" si="9"/>
        <v>000-000 :</v>
      </c>
      <c r="S40" s="11" t="str">
        <f t="shared" si="9"/>
        <v>000-000 :</v>
      </c>
      <c r="T40" s="11" t="str">
        <f t="shared" si="9"/>
        <v>000-000 :</v>
      </c>
      <c r="U40" s="11" t="str">
        <f t="shared" si="9"/>
        <v>000-000 :</v>
      </c>
      <c r="V40" s="11" t="str">
        <f t="shared" si="9"/>
        <v>000-000 :</v>
      </c>
      <c r="W40" s="11" t="str">
        <f t="shared" si="9"/>
        <v>000-000 :</v>
      </c>
      <c r="X40" s="11" t="str">
        <f t="shared" si="9"/>
        <v>000-000 :</v>
      </c>
      <c r="Y40" s="11" t="str">
        <f t="shared" si="2"/>
        <v>스핀들소음 :</v>
      </c>
      <c r="Z40" s="11" t="str">
        <f t="shared" si="3"/>
        <v>필터세척 :
FLOW   (T1, T4 : / T2, T3 : / T4 : )</v>
      </c>
      <c r="AA40" s="11" t="str">
        <f t="shared" si="4"/>
        <v/>
      </c>
      <c r="AB40" s="1"/>
      <c r="AC40" s="1"/>
      <c r="AD40" s="12"/>
      <c r="AE40" s="11" t="str">
        <f t="shared" si="5"/>
        <v/>
      </c>
      <c r="AF40" s="9"/>
      <c r="AG40" s="1"/>
      <c r="AH40" s="3"/>
    </row>
    <row r="41" spans="1:34" ht="34" x14ac:dyDescent="0.45">
      <c r="A41" s="4"/>
      <c r="B41" s="1"/>
      <c r="C41" s="1"/>
      <c r="D41" s="1"/>
      <c r="E41" s="1"/>
      <c r="F41" s="1"/>
      <c r="G41" s="1"/>
      <c r="H41" s="1"/>
      <c r="I41" s="1"/>
      <c r="J41" s="1"/>
      <c r="K41" s="1" t="str">
        <f>IF(LEN(A41)&gt;0, 상수!B$4, "")</f>
        <v/>
      </c>
      <c r="L41" s="1"/>
      <c r="M41" s="11" t="str">
        <f t="shared" si="8"/>
        <v xml:space="preserve">스핀들유격: </v>
      </c>
      <c r="N41" s="11" t="str">
        <f t="shared" si="8"/>
        <v xml:space="preserve">스핀들유격: </v>
      </c>
      <c r="O41" s="11" t="str">
        <f t="shared" si="8"/>
        <v xml:space="preserve">스핀들유격: </v>
      </c>
      <c r="P41" s="11" t="str">
        <f t="shared" si="8"/>
        <v xml:space="preserve">스핀들유격: </v>
      </c>
      <c r="Q41" s="11" t="str">
        <f t="shared" si="9"/>
        <v>000-000 :</v>
      </c>
      <c r="R41" s="11" t="str">
        <f t="shared" si="9"/>
        <v>000-000 :</v>
      </c>
      <c r="S41" s="11" t="str">
        <f t="shared" si="9"/>
        <v>000-000 :</v>
      </c>
      <c r="T41" s="11" t="str">
        <f t="shared" si="9"/>
        <v>000-000 :</v>
      </c>
      <c r="U41" s="11" t="str">
        <f t="shared" si="9"/>
        <v>000-000 :</v>
      </c>
      <c r="V41" s="11" t="str">
        <f t="shared" si="9"/>
        <v>000-000 :</v>
      </c>
      <c r="W41" s="11" t="str">
        <f t="shared" si="9"/>
        <v>000-000 :</v>
      </c>
      <c r="X41" s="11" t="str">
        <f t="shared" si="9"/>
        <v>000-000 :</v>
      </c>
      <c r="Y41" s="11" t="str">
        <f t="shared" si="2"/>
        <v>스핀들소음 :</v>
      </c>
      <c r="Z41" s="11" t="str">
        <f t="shared" si="3"/>
        <v>필터세척 :
FLOW   (T1, T4 : / T2, T3 : / T4 : )</v>
      </c>
      <c r="AA41" s="11" t="str">
        <f t="shared" si="4"/>
        <v/>
      </c>
      <c r="AB41" s="1"/>
      <c r="AC41" s="1"/>
      <c r="AD41" s="12"/>
      <c r="AE41" s="11" t="str">
        <f t="shared" si="5"/>
        <v/>
      </c>
      <c r="AF41" s="9"/>
      <c r="AG41" s="1"/>
      <c r="AH41" s="3"/>
    </row>
    <row r="42" spans="1:34" ht="34" x14ac:dyDescent="0.45">
      <c r="A42" s="4"/>
      <c r="B42" s="1"/>
      <c r="C42" s="1"/>
      <c r="D42" s="1"/>
      <c r="E42" s="1"/>
      <c r="F42" s="1"/>
      <c r="G42" s="1"/>
      <c r="H42" s="1"/>
      <c r="I42" s="1"/>
      <c r="J42" s="1"/>
      <c r="K42" s="1" t="str">
        <f>IF(LEN(A42)&gt;0, 상수!B$4, "")</f>
        <v/>
      </c>
      <c r="L42" s="1"/>
      <c r="M42" s="11" t="str">
        <f t="shared" si="8"/>
        <v xml:space="preserve">스핀들유격: </v>
      </c>
      <c r="N42" s="11" t="str">
        <f t="shared" si="8"/>
        <v xml:space="preserve">스핀들유격: </v>
      </c>
      <c r="O42" s="11" t="str">
        <f t="shared" si="8"/>
        <v xml:space="preserve">스핀들유격: </v>
      </c>
      <c r="P42" s="11" t="str">
        <f t="shared" si="8"/>
        <v xml:space="preserve">스핀들유격: </v>
      </c>
      <c r="Q42" s="11" t="str">
        <f t="shared" si="9"/>
        <v>000-000 :</v>
      </c>
      <c r="R42" s="11" t="str">
        <f t="shared" si="9"/>
        <v>000-000 :</v>
      </c>
      <c r="S42" s="11" t="str">
        <f t="shared" si="9"/>
        <v>000-000 :</v>
      </c>
      <c r="T42" s="11" t="str">
        <f t="shared" si="9"/>
        <v>000-000 :</v>
      </c>
      <c r="U42" s="11" t="str">
        <f t="shared" si="9"/>
        <v>000-000 :</v>
      </c>
      <c r="V42" s="11" t="str">
        <f t="shared" si="9"/>
        <v>000-000 :</v>
      </c>
      <c r="W42" s="11" t="str">
        <f t="shared" si="9"/>
        <v>000-000 :</v>
      </c>
      <c r="X42" s="11" t="str">
        <f t="shared" si="9"/>
        <v>000-000 :</v>
      </c>
      <c r="Y42" s="11" t="str">
        <f t="shared" si="2"/>
        <v>스핀들소음 :</v>
      </c>
      <c r="Z42" s="11" t="str">
        <f t="shared" si="3"/>
        <v>필터세척 :
FLOW   (T1, T4 : / T2, T3 : / T4 : )</v>
      </c>
      <c r="AA42" s="11" t="str">
        <f t="shared" si="4"/>
        <v/>
      </c>
      <c r="AB42" s="1"/>
      <c r="AC42" s="1"/>
      <c r="AD42" s="12"/>
      <c r="AE42" s="11" t="str">
        <f t="shared" si="5"/>
        <v/>
      </c>
      <c r="AF42" s="9"/>
      <c r="AG42" s="1"/>
      <c r="AH42" s="3"/>
    </row>
    <row r="43" spans="1:34" ht="34" x14ac:dyDescent="0.45">
      <c r="A43" s="4"/>
      <c r="B43" s="1"/>
      <c r="C43" s="1"/>
      <c r="D43" s="1"/>
      <c r="E43" s="1"/>
      <c r="F43" s="1"/>
      <c r="G43" s="1"/>
      <c r="H43" s="1"/>
      <c r="I43" s="1"/>
      <c r="J43" s="1"/>
      <c r="K43" s="1" t="str">
        <f>IF(LEN(A43)&gt;0, 상수!B$4, "")</f>
        <v/>
      </c>
      <c r="L43" s="1"/>
      <c r="M43" s="11" t="str">
        <f t="shared" si="8"/>
        <v xml:space="preserve">스핀들유격: </v>
      </c>
      <c r="N43" s="11" t="str">
        <f t="shared" si="8"/>
        <v xml:space="preserve">스핀들유격: </v>
      </c>
      <c r="O43" s="11" t="str">
        <f t="shared" si="8"/>
        <v xml:space="preserve">스핀들유격: </v>
      </c>
      <c r="P43" s="11" t="str">
        <f t="shared" si="8"/>
        <v xml:space="preserve">스핀들유격: </v>
      </c>
      <c r="Q43" s="11" t="str">
        <f t="shared" si="9"/>
        <v>000-000 :</v>
      </c>
      <c r="R43" s="11" t="str">
        <f t="shared" si="9"/>
        <v>000-000 :</v>
      </c>
      <c r="S43" s="11" t="str">
        <f t="shared" si="9"/>
        <v>000-000 :</v>
      </c>
      <c r="T43" s="11" t="str">
        <f t="shared" si="9"/>
        <v>000-000 :</v>
      </c>
      <c r="U43" s="11" t="str">
        <f t="shared" si="9"/>
        <v>000-000 :</v>
      </c>
      <c r="V43" s="11" t="str">
        <f t="shared" si="9"/>
        <v>000-000 :</v>
      </c>
      <c r="W43" s="11" t="str">
        <f t="shared" si="9"/>
        <v>000-000 :</v>
      </c>
      <c r="X43" s="11" t="str">
        <f t="shared" si="9"/>
        <v>000-000 :</v>
      </c>
      <c r="Y43" s="11" t="str">
        <f t="shared" si="2"/>
        <v>스핀들소음 :</v>
      </c>
      <c r="Z43" s="11" t="str">
        <f t="shared" si="3"/>
        <v>필터세척 :
FLOW   (T1, T4 : / T2, T3 : / T4 : )</v>
      </c>
      <c r="AA43" s="11" t="str">
        <f t="shared" si="4"/>
        <v/>
      </c>
      <c r="AB43" s="1"/>
      <c r="AC43" s="1"/>
      <c r="AD43" s="12"/>
      <c r="AE43" s="11" t="str">
        <f t="shared" si="5"/>
        <v/>
      </c>
      <c r="AF43" s="9"/>
      <c r="AG43" s="1"/>
      <c r="AH43" s="3"/>
    </row>
    <row r="44" spans="1:34" ht="34" x14ac:dyDescent="0.45">
      <c r="A44" s="4"/>
      <c r="B44" s="1"/>
      <c r="C44" s="1"/>
      <c r="D44" s="1"/>
      <c r="E44" s="1"/>
      <c r="F44" s="1"/>
      <c r="G44" s="1"/>
      <c r="H44" s="1"/>
      <c r="I44" s="1"/>
      <c r="J44" s="1"/>
      <c r="K44" s="1" t="str">
        <f>IF(LEN(A44)&gt;0, 상수!B$4, "")</f>
        <v/>
      </c>
      <c r="L44" s="1"/>
      <c r="M44" s="11" t="str">
        <f t="shared" si="8"/>
        <v xml:space="preserve">스핀들유격: </v>
      </c>
      <c r="N44" s="11" t="str">
        <f t="shared" si="8"/>
        <v xml:space="preserve">스핀들유격: </v>
      </c>
      <c r="O44" s="11" t="str">
        <f t="shared" si="8"/>
        <v xml:space="preserve">스핀들유격: </v>
      </c>
      <c r="P44" s="11" t="str">
        <f t="shared" si="8"/>
        <v xml:space="preserve">스핀들유격: </v>
      </c>
      <c r="Q44" s="11" t="str">
        <f t="shared" si="9"/>
        <v>000-000 :</v>
      </c>
      <c r="R44" s="11" t="str">
        <f t="shared" si="9"/>
        <v>000-000 :</v>
      </c>
      <c r="S44" s="11" t="str">
        <f t="shared" si="9"/>
        <v>000-000 :</v>
      </c>
      <c r="T44" s="11" t="str">
        <f t="shared" si="9"/>
        <v>000-000 :</v>
      </c>
      <c r="U44" s="11" t="str">
        <f t="shared" si="9"/>
        <v>000-000 :</v>
      </c>
      <c r="V44" s="11" t="str">
        <f t="shared" si="9"/>
        <v>000-000 :</v>
      </c>
      <c r="W44" s="11" t="str">
        <f t="shared" si="9"/>
        <v>000-000 :</v>
      </c>
      <c r="X44" s="11" t="str">
        <f t="shared" si="9"/>
        <v>000-000 :</v>
      </c>
      <c r="Y44" s="11" t="str">
        <f t="shared" si="2"/>
        <v>스핀들소음 :</v>
      </c>
      <c r="Z44" s="11" t="str">
        <f t="shared" si="3"/>
        <v>필터세척 :
FLOW   (T1, T4 : / T2, T3 : / T4 : )</v>
      </c>
      <c r="AA44" s="11" t="str">
        <f t="shared" si="4"/>
        <v/>
      </c>
      <c r="AB44" s="1"/>
      <c r="AC44" s="1"/>
      <c r="AD44" s="12"/>
      <c r="AE44" s="11" t="str">
        <f t="shared" si="5"/>
        <v/>
      </c>
      <c r="AF44" s="9"/>
      <c r="AG44" s="1"/>
      <c r="AH44" s="3"/>
    </row>
    <row r="45" spans="1:34" ht="34" x14ac:dyDescent="0.45">
      <c r="A45" s="4"/>
      <c r="B45" s="1"/>
      <c r="C45" s="1"/>
      <c r="D45" s="1"/>
      <c r="E45" s="1"/>
      <c r="F45" s="1"/>
      <c r="G45" s="1"/>
      <c r="H45" s="1"/>
      <c r="I45" s="1"/>
      <c r="J45" s="1"/>
      <c r="K45" s="1" t="str">
        <f>IF(LEN(A45)&gt;0, 상수!B$4, "")</f>
        <v/>
      </c>
      <c r="L45" s="1"/>
      <c r="M45" s="11" t="str">
        <f t="shared" si="8"/>
        <v xml:space="preserve">스핀들유격: </v>
      </c>
      <c r="N45" s="11" t="str">
        <f t="shared" si="8"/>
        <v xml:space="preserve">스핀들유격: </v>
      </c>
      <c r="O45" s="11" t="str">
        <f t="shared" si="8"/>
        <v xml:space="preserve">스핀들유격: </v>
      </c>
      <c r="P45" s="11" t="str">
        <f t="shared" si="8"/>
        <v xml:space="preserve">스핀들유격: </v>
      </c>
      <c r="Q45" s="11" t="str">
        <f t="shared" si="9"/>
        <v>000-000 :</v>
      </c>
      <c r="R45" s="11" t="str">
        <f t="shared" si="9"/>
        <v>000-000 :</v>
      </c>
      <c r="S45" s="11" t="str">
        <f t="shared" si="9"/>
        <v>000-000 :</v>
      </c>
      <c r="T45" s="11" t="str">
        <f t="shared" si="9"/>
        <v>000-000 :</v>
      </c>
      <c r="U45" s="11" t="str">
        <f t="shared" si="9"/>
        <v>000-000 :</v>
      </c>
      <c r="V45" s="11" t="str">
        <f t="shared" si="9"/>
        <v>000-000 :</v>
      </c>
      <c r="W45" s="11" t="str">
        <f t="shared" si="9"/>
        <v>000-000 :</v>
      </c>
      <c r="X45" s="11" t="str">
        <f t="shared" si="9"/>
        <v>000-000 :</v>
      </c>
      <c r="Y45" s="11" t="str">
        <f t="shared" si="2"/>
        <v>스핀들소음 :</v>
      </c>
      <c r="Z45" s="11" t="str">
        <f t="shared" si="3"/>
        <v>필터세척 :
FLOW   (T1, T4 : / T2, T3 : / T4 : )</v>
      </c>
      <c r="AA45" s="11" t="str">
        <f t="shared" si="4"/>
        <v/>
      </c>
      <c r="AB45" s="1"/>
      <c r="AC45" s="1"/>
      <c r="AD45" s="12"/>
      <c r="AE45" s="11" t="str">
        <f t="shared" si="5"/>
        <v/>
      </c>
      <c r="AF45" s="9"/>
      <c r="AG45" s="1"/>
      <c r="AH45" s="3"/>
    </row>
    <row r="46" spans="1:34" ht="17" customHeight="1" x14ac:dyDescent="0.45">
      <c r="A46" s="4"/>
      <c r="B46" s="1"/>
      <c r="C46" s="1"/>
      <c r="D46" s="1"/>
      <c r="E46" s="1"/>
      <c r="F46" s="1"/>
      <c r="G46" s="1"/>
      <c r="H46" s="1"/>
      <c r="I46" s="1"/>
      <c r="J46" s="1"/>
      <c r="K46" s="1" t="str">
        <f>IF(LEN(A46)&gt;0, 상수!B$4, "")</f>
        <v/>
      </c>
      <c r="L46" s="1"/>
      <c r="M46" s="11" t="str">
        <f t="shared" si="8"/>
        <v xml:space="preserve">스핀들유격: </v>
      </c>
      <c r="N46" s="11" t="str">
        <f t="shared" si="8"/>
        <v xml:space="preserve">스핀들유격: </v>
      </c>
      <c r="O46" s="11" t="str">
        <f t="shared" si="8"/>
        <v xml:space="preserve">스핀들유격: </v>
      </c>
      <c r="P46" s="11" t="str">
        <f t="shared" si="8"/>
        <v xml:space="preserve">스핀들유격: </v>
      </c>
      <c r="Q46" s="11" t="str">
        <f t="shared" si="9"/>
        <v>000-000 :</v>
      </c>
      <c r="R46" s="11" t="str">
        <f t="shared" si="9"/>
        <v>000-000 :</v>
      </c>
      <c r="S46" s="11" t="str">
        <f t="shared" si="9"/>
        <v>000-000 :</v>
      </c>
      <c r="T46" s="11" t="str">
        <f t="shared" si="9"/>
        <v>000-000 :</v>
      </c>
      <c r="U46" s="11" t="str">
        <f t="shared" si="9"/>
        <v>000-000 :</v>
      </c>
      <c r="V46" s="11" t="str">
        <f t="shared" si="9"/>
        <v>000-000 :</v>
      </c>
      <c r="W46" s="11" t="str">
        <f t="shared" si="9"/>
        <v>000-000 :</v>
      </c>
      <c r="X46" s="11" t="str">
        <f t="shared" si="9"/>
        <v>000-000 :</v>
      </c>
      <c r="Y46" s="11" t="str">
        <f t="shared" si="2"/>
        <v>스핀들소음 :</v>
      </c>
      <c r="Z46" s="11" t="str">
        <f t="shared" si="3"/>
        <v>필터세척 :
FLOW   (T1, T4 : / T2, T3 : / T4 : )</v>
      </c>
      <c r="AA46" s="11" t="str">
        <f t="shared" si="4"/>
        <v/>
      </c>
      <c r="AB46" s="1"/>
      <c r="AC46" s="1"/>
      <c r="AD46" s="12"/>
      <c r="AE46" s="11" t="str">
        <f t="shared" si="5"/>
        <v/>
      </c>
      <c r="AF46" s="9"/>
      <c r="AG46" s="1"/>
      <c r="AH46" s="3"/>
    </row>
    <row r="47" spans="1:34" ht="34" x14ac:dyDescent="0.45">
      <c r="A47" s="4"/>
      <c r="B47" s="1"/>
      <c r="C47" s="1"/>
      <c r="D47" s="1"/>
      <c r="E47" s="1"/>
      <c r="F47" s="1"/>
      <c r="G47" s="1"/>
      <c r="H47" s="1"/>
      <c r="I47" s="1"/>
      <c r="J47" s="1"/>
      <c r="K47" s="1" t="str">
        <f>IF(LEN(A47)&gt;0, 상수!B$4, "")</f>
        <v/>
      </c>
      <c r="L47" s="1"/>
      <c r="M47" s="11" t="str">
        <f t="shared" ref="M47:P66" si="10">IF(MOD($AD47,5)=0, "스핀들유격: ","-" )</f>
        <v xml:space="preserve">스핀들유격: </v>
      </c>
      <c r="N47" s="11" t="str">
        <f t="shared" si="10"/>
        <v xml:space="preserve">스핀들유격: </v>
      </c>
      <c r="O47" s="11" t="str">
        <f t="shared" si="10"/>
        <v xml:space="preserve">스핀들유격: </v>
      </c>
      <c r="P47" s="11" t="str">
        <f t="shared" si="10"/>
        <v xml:space="preserve">스핀들유격: </v>
      </c>
      <c r="Q47" s="11" t="str">
        <f t="shared" si="9"/>
        <v>000-000 :</v>
      </c>
      <c r="R47" s="11" t="str">
        <f t="shared" si="9"/>
        <v>000-000 :</v>
      </c>
      <c r="S47" s="11" t="str">
        <f t="shared" si="9"/>
        <v>000-000 :</v>
      </c>
      <c r="T47" s="11" t="str">
        <f t="shared" si="9"/>
        <v>000-000 :</v>
      </c>
      <c r="U47" s="11" t="str">
        <f t="shared" si="9"/>
        <v>000-000 :</v>
      </c>
      <c r="V47" s="11" t="str">
        <f t="shared" si="9"/>
        <v>000-000 :</v>
      </c>
      <c r="W47" s="11" t="str">
        <f t="shared" si="9"/>
        <v>000-000 :</v>
      </c>
      <c r="X47" s="11" t="str">
        <f t="shared" si="9"/>
        <v>000-000 :</v>
      </c>
      <c r="Y47" s="11" t="str">
        <f t="shared" si="2"/>
        <v>스핀들소음 :</v>
      </c>
      <c r="Z47" s="11" t="str">
        <f t="shared" si="3"/>
        <v>필터세척 :
FLOW   (T1, T4 : / T2, T3 : / T4 : )</v>
      </c>
      <c r="AA47" s="11" t="str">
        <f t="shared" si="4"/>
        <v/>
      </c>
      <c r="AB47" s="1"/>
      <c r="AC47" s="1"/>
      <c r="AD47" s="12"/>
      <c r="AE47" s="11" t="str">
        <f t="shared" si="5"/>
        <v/>
      </c>
      <c r="AF47" s="9"/>
      <c r="AG47" s="1"/>
      <c r="AH47" s="3"/>
    </row>
    <row r="48" spans="1:34" ht="34" x14ac:dyDescent="0.45">
      <c r="A48" s="4"/>
      <c r="B48" s="1"/>
      <c r="C48" s="1"/>
      <c r="D48" s="1"/>
      <c r="E48" s="1"/>
      <c r="F48" s="1"/>
      <c r="G48" s="1"/>
      <c r="H48" s="1"/>
      <c r="I48" s="1"/>
      <c r="J48" s="1"/>
      <c r="K48" s="1" t="str">
        <f>IF(LEN(A48)&gt;0, 상수!B$4, "")</f>
        <v/>
      </c>
      <c r="L48" s="1"/>
      <c r="M48" s="11" t="str">
        <f t="shared" si="10"/>
        <v xml:space="preserve">스핀들유격: </v>
      </c>
      <c r="N48" s="11" t="str">
        <f t="shared" si="10"/>
        <v xml:space="preserve">스핀들유격: </v>
      </c>
      <c r="O48" s="11" t="str">
        <f t="shared" si="10"/>
        <v xml:space="preserve">스핀들유격: </v>
      </c>
      <c r="P48" s="11" t="str">
        <f t="shared" si="10"/>
        <v xml:space="preserve">스핀들유격: </v>
      </c>
      <c r="Q48" s="11" t="str">
        <f t="shared" si="9"/>
        <v>000-000 :</v>
      </c>
      <c r="R48" s="11" t="str">
        <f t="shared" si="9"/>
        <v>000-000 :</v>
      </c>
      <c r="S48" s="11" t="str">
        <f t="shared" si="9"/>
        <v>000-000 :</v>
      </c>
      <c r="T48" s="11" t="str">
        <f t="shared" si="9"/>
        <v>000-000 :</v>
      </c>
      <c r="U48" s="11" t="str">
        <f t="shared" si="9"/>
        <v>000-000 :</v>
      </c>
      <c r="V48" s="11" t="str">
        <f t="shared" si="9"/>
        <v>000-000 :</v>
      </c>
      <c r="W48" s="11" t="str">
        <f t="shared" si="9"/>
        <v>000-000 :</v>
      </c>
      <c r="X48" s="11" t="str">
        <f t="shared" si="9"/>
        <v>000-000 :</v>
      </c>
      <c r="Y48" s="11" t="str">
        <f t="shared" si="2"/>
        <v>스핀들소음 :</v>
      </c>
      <c r="Z48" s="11" t="str">
        <f t="shared" si="3"/>
        <v>필터세척 :
FLOW   (T1, T4 : / T2, T3 : / T4 : )</v>
      </c>
      <c r="AA48" s="11" t="str">
        <f t="shared" si="4"/>
        <v/>
      </c>
      <c r="AB48" s="1"/>
      <c r="AC48" s="1"/>
      <c r="AD48" s="12"/>
      <c r="AE48" s="11" t="str">
        <f t="shared" si="5"/>
        <v/>
      </c>
      <c r="AF48" s="9"/>
      <c r="AG48" s="1"/>
      <c r="AH48" s="3"/>
    </row>
    <row r="49" spans="1:34" ht="34" x14ac:dyDescent="0.45">
      <c r="A49" s="4"/>
      <c r="B49" s="1"/>
      <c r="C49" s="1"/>
      <c r="D49" s="1"/>
      <c r="E49" s="1"/>
      <c r="F49" s="1"/>
      <c r="G49" s="1"/>
      <c r="H49" s="1"/>
      <c r="I49" s="1"/>
      <c r="J49" s="1"/>
      <c r="K49" s="1" t="str">
        <f>IF(LEN(A49)&gt;0, 상수!B$4, "")</f>
        <v/>
      </c>
      <c r="L49" s="1"/>
      <c r="M49" s="11" t="str">
        <f t="shared" si="10"/>
        <v xml:space="preserve">스핀들유격: </v>
      </c>
      <c r="N49" s="11" t="str">
        <f t="shared" si="10"/>
        <v xml:space="preserve">스핀들유격: </v>
      </c>
      <c r="O49" s="11" t="str">
        <f t="shared" si="10"/>
        <v xml:space="preserve">스핀들유격: </v>
      </c>
      <c r="P49" s="11" t="str">
        <f t="shared" si="10"/>
        <v xml:space="preserve">스핀들유격: </v>
      </c>
      <c r="Q49" s="11" t="str">
        <f t="shared" si="9"/>
        <v>000-000 :</v>
      </c>
      <c r="R49" s="11" t="str">
        <f t="shared" si="9"/>
        <v>000-000 :</v>
      </c>
      <c r="S49" s="11" t="str">
        <f t="shared" si="9"/>
        <v>000-000 :</v>
      </c>
      <c r="T49" s="11" t="str">
        <f t="shared" si="9"/>
        <v>000-000 :</v>
      </c>
      <c r="U49" s="11" t="str">
        <f t="shared" si="9"/>
        <v>000-000 :</v>
      </c>
      <c r="V49" s="11" t="str">
        <f t="shared" si="9"/>
        <v>000-000 :</v>
      </c>
      <c r="W49" s="11" t="str">
        <f t="shared" si="9"/>
        <v>000-000 :</v>
      </c>
      <c r="X49" s="11" t="str">
        <f t="shared" si="9"/>
        <v>000-000 :</v>
      </c>
      <c r="Y49" s="11" t="str">
        <f t="shared" si="2"/>
        <v>스핀들소음 :</v>
      </c>
      <c r="Z49" s="11" t="str">
        <f t="shared" si="3"/>
        <v>필터세척 :
FLOW   (T1, T4 : / T2, T3 : / T4 : )</v>
      </c>
      <c r="AA49" s="11" t="str">
        <f t="shared" si="4"/>
        <v/>
      </c>
      <c r="AB49" s="1"/>
      <c r="AC49" s="1"/>
      <c r="AD49" s="12"/>
      <c r="AE49" s="11" t="str">
        <f t="shared" si="5"/>
        <v/>
      </c>
      <c r="AF49" s="9"/>
      <c r="AG49" s="1"/>
      <c r="AH49" s="3"/>
    </row>
    <row r="50" spans="1:34" ht="34" x14ac:dyDescent="0.45">
      <c r="A50" s="4"/>
      <c r="B50" s="1"/>
      <c r="C50" s="1"/>
      <c r="D50" s="1"/>
      <c r="E50" s="1"/>
      <c r="F50" s="1"/>
      <c r="G50" s="1"/>
      <c r="H50" s="1"/>
      <c r="I50" s="1"/>
      <c r="J50" s="1"/>
      <c r="K50" s="1" t="str">
        <f>IF(LEN(A50)&gt;0, 상수!B$4, "")</f>
        <v/>
      </c>
      <c r="L50" s="1"/>
      <c r="M50" s="11" t="str">
        <f t="shared" si="10"/>
        <v xml:space="preserve">스핀들유격: </v>
      </c>
      <c r="N50" s="11" t="str">
        <f t="shared" si="10"/>
        <v xml:space="preserve">스핀들유격: </v>
      </c>
      <c r="O50" s="11" t="str">
        <f t="shared" si="10"/>
        <v xml:space="preserve">스핀들유격: </v>
      </c>
      <c r="P50" s="11" t="str">
        <f t="shared" si="10"/>
        <v xml:space="preserve">스핀들유격: </v>
      </c>
      <c r="Q50" s="11" t="str">
        <f t="shared" si="9"/>
        <v>000-000 :</v>
      </c>
      <c r="R50" s="11" t="str">
        <f t="shared" si="9"/>
        <v>000-000 :</v>
      </c>
      <c r="S50" s="11" t="str">
        <f t="shared" si="9"/>
        <v>000-000 :</v>
      </c>
      <c r="T50" s="11" t="str">
        <f t="shared" si="9"/>
        <v>000-000 :</v>
      </c>
      <c r="U50" s="11" t="str">
        <f t="shared" si="9"/>
        <v>000-000 :</v>
      </c>
      <c r="V50" s="11" t="str">
        <f t="shared" si="9"/>
        <v>000-000 :</v>
      </c>
      <c r="W50" s="11" t="str">
        <f t="shared" si="9"/>
        <v>000-000 :</v>
      </c>
      <c r="X50" s="11" t="str">
        <f t="shared" si="9"/>
        <v>000-000 :</v>
      </c>
      <c r="Y50" s="11" t="str">
        <f t="shared" si="2"/>
        <v>스핀들소음 :</v>
      </c>
      <c r="Z50" s="11" t="str">
        <f t="shared" si="3"/>
        <v>필터세척 :
FLOW   (T1, T4 : / T2, T3 : / T4 : )</v>
      </c>
      <c r="AA50" s="11" t="str">
        <f t="shared" si="4"/>
        <v/>
      </c>
      <c r="AB50" s="1"/>
      <c r="AC50" s="1"/>
      <c r="AD50" s="12"/>
      <c r="AE50" s="11" t="str">
        <f t="shared" si="5"/>
        <v/>
      </c>
      <c r="AF50" s="9"/>
      <c r="AG50" s="1"/>
      <c r="AH50" s="3"/>
    </row>
    <row r="51" spans="1:34" ht="34" x14ac:dyDescent="0.45">
      <c r="A51" s="4"/>
      <c r="B51" s="1"/>
      <c r="C51" s="1"/>
      <c r="D51" s="1"/>
      <c r="E51" s="1"/>
      <c r="F51" s="1"/>
      <c r="G51" s="1"/>
      <c r="H51" s="1"/>
      <c r="I51" s="1"/>
      <c r="J51" s="1"/>
      <c r="K51" s="1" t="str">
        <f>IF(LEN(A51)&gt;0, 상수!B$4, "")</f>
        <v/>
      </c>
      <c r="L51" s="1"/>
      <c r="M51" s="11" t="str">
        <f t="shared" si="10"/>
        <v xml:space="preserve">스핀들유격: </v>
      </c>
      <c r="N51" s="11" t="str">
        <f t="shared" si="10"/>
        <v xml:space="preserve">스핀들유격: </v>
      </c>
      <c r="O51" s="11" t="str">
        <f t="shared" si="10"/>
        <v xml:space="preserve">스핀들유격: </v>
      </c>
      <c r="P51" s="11" t="str">
        <f t="shared" si="10"/>
        <v xml:space="preserve">스핀들유격: </v>
      </c>
      <c r="Q51" s="11" t="str">
        <f t="shared" si="9"/>
        <v>000-000 :</v>
      </c>
      <c r="R51" s="11" t="str">
        <f t="shared" si="9"/>
        <v>000-000 :</v>
      </c>
      <c r="S51" s="11" t="str">
        <f t="shared" si="9"/>
        <v>000-000 :</v>
      </c>
      <c r="T51" s="11" t="str">
        <f t="shared" si="9"/>
        <v>000-000 :</v>
      </c>
      <c r="U51" s="11" t="str">
        <f t="shared" si="9"/>
        <v>000-000 :</v>
      </c>
      <c r="V51" s="11" t="str">
        <f t="shared" si="9"/>
        <v>000-000 :</v>
      </c>
      <c r="W51" s="11" t="str">
        <f t="shared" si="9"/>
        <v>000-000 :</v>
      </c>
      <c r="X51" s="11" t="str">
        <f t="shared" si="9"/>
        <v>000-000 :</v>
      </c>
      <c r="Y51" s="11" t="str">
        <f t="shared" si="2"/>
        <v>스핀들소음 :</v>
      </c>
      <c r="Z51" s="11" t="str">
        <f t="shared" si="3"/>
        <v>필터세척 :
FLOW   (T1, T4 : / T2, T3 : / T4 : )</v>
      </c>
      <c r="AA51" s="11" t="str">
        <f t="shared" si="4"/>
        <v/>
      </c>
      <c r="AB51" s="1"/>
      <c r="AC51" s="1"/>
      <c r="AD51" s="12"/>
      <c r="AE51" s="11" t="str">
        <f t="shared" si="5"/>
        <v/>
      </c>
      <c r="AF51" s="9"/>
      <c r="AG51" s="1"/>
      <c r="AH51" s="3"/>
    </row>
    <row r="52" spans="1:34" ht="34" x14ac:dyDescent="0.45">
      <c r="A52" s="4"/>
      <c r="B52" s="1"/>
      <c r="C52" s="1"/>
      <c r="D52" s="1"/>
      <c r="E52" s="1"/>
      <c r="F52" s="1"/>
      <c r="G52" s="1"/>
      <c r="H52" s="1"/>
      <c r="I52" s="1"/>
      <c r="J52" s="1"/>
      <c r="K52" s="1" t="str">
        <f>IF(LEN(A52)&gt;0, 상수!B$4, "")</f>
        <v/>
      </c>
      <c r="L52" s="1"/>
      <c r="M52" s="11" t="str">
        <f t="shared" si="10"/>
        <v xml:space="preserve">스핀들유격: </v>
      </c>
      <c r="N52" s="11" t="str">
        <f t="shared" si="10"/>
        <v xml:space="preserve">스핀들유격: </v>
      </c>
      <c r="O52" s="11" t="str">
        <f t="shared" si="10"/>
        <v xml:space="preserve">스핀들유격: </v>
      </c>
      <c r="P52" s="11" t="str">
        <f t="shared" si="10"/>
        <v xml:space="preserve">스핀들유격: </v>
      </c>
      <c r="Q52" s="11" t="str">
        <f t="shared" si="9"/>
        <v>000-000 :</v>
      </c>
      <c r="R52" s="11" t="str">
        <f t="shared" si="9"/>
        <v>000-000 :</v>
      </c>
      <c r="S52" s="11" t="str">
        <f t="shared" si="9"/>
        <v>000-000 :</v>
      </c>
      <c r="T52" s="11" t="str">
        <f t="shared" si="9"/>
        <v>000-000 :</v>
      </c>
      <c r="U52" s="11" t="str">
        <f t="shared" si="9"/>
        <v>000-000 :</v>
      </c>
      <c r="V52" s="11" t="str">
        <f t="shared" si="9"/>
        <v>000-000 :</v>
      </c>
      <c r="W52" s="11" t="str">
        <f t="shared" si="9"/>
        <v>000-000 :</v>
      </c>
      <c r="X52" s="11" t="str">
        <f t="shared" si="9"/>
        <v>000-000 :</v>
      </c>
      <c r="Y52" s="11" t="str">
        <f t="shared" si="2"/>
        <v>스핀들소음 :</v>
      </c>
      <c r="Z52" s="11" t="str">
        <f t="shared" si="3"/>
        <v>필터세척 :
FLOW   (T1, T4 : / T2, T3 : / T4 : )</v>
      </c>
      <c r="AA52" s="11" t="str">
        <f t="shared" si="4"/>
        <v/>
      </c>
      <c r="AB52" s="1"/>
      <c r="AC52" s="1"/>
      <c r="AD52" s="12"/>
      <c r="AE52" s="11" t="str">
        <f t="shared" si="5"/>
        <v/>
      </c>
      <c r="AF52" s="9"/>
      <c r="AG52" s="1"/>
      <c r="AH52" s="3"/>
    </row>
    <row r="53" spans="1:34" ht="34" x14ac:dyDescent="0.45">
      <c r="A53" s="4"/>
      <c r="B53" s="1"/>
      <c r="C53" s="1"/>
      <c r="D53" s="1"/>
      <c r="E53" s="1"/>
      <c r="F53" s="1"/>
      <c r="G53" s="1"/>
      <c r="H53" s="1"/>
      <c r="I53" s="1"/>
      <c r="J53" s="1"/>
      <c r="K53" s="1" t="str">
        <f>IF(LEN(A53)&gt;0, 상수!B$4, "")</f>
        <v/>
      </c>
      <c r="L53" s="1"/>
      <c r="M53" s="11" t="str">
        <f t="shared" si="10"/>
        <v xml:space="preserve">스핀들유격: </v>
      </c>
      <c r="N53" s="11" t="str">
        <f t="shared" si="10"/>
        <v xml:space="preserve">스핀들유격: </v>
      </c>
      <c r="O53" s="11" t="str">
        <f t="shared" si="10"/>
        <v xml:space="preserve">스핀들유격: </v>
      </c>
      <c r="P53" s="11" t="str">
        <f t="shared" si="10"/>
        <v xml:space="preserve">스핀들유격: </v>
      </c>
      <c r="Q53" s="11" t="str">
        <f t="shared" si="9"/>
        <v>000-000 :</v>
      </c>
      <c r="R53" s="11" t="str">
        <f t="shared" si="9"/>
        <v>000-000 :</v>
      </c>
      <c r="S53" s="11" t="str">
        <f t="shared" si="9"/>
        <v>000-000 :</v>
      </c>
      <c r="T53" s="11" t="str">
        <f t="shared" si="9"/>
        <v>000-000 :</v>
      </c>
      <c r="U53" s="11" t="str">
        <f t="shared" si="9"/>
        <v>000-000 :</v>
      </c>
      <c r="V53" s="11" t="str">
        <f t="shared" si="9"/>
        <v>000-000 :</v>
      </c>
      <c r="W53" s="11" t="str">
        <f t="shared" si="9"/>
        <v>000-000 :</v>
      </c>
      <c r="X53" s="11" t="str">
        <f t="shared" si="9"/>
        <v>000-000 :</v>
      </c>
      <c r="Y53" s="11" t="str">
        <f t="shared" si="2"/>
        <v>스핀들소음 :</v>
      </c>
      <c r="Z53" s="11" t="str">
        <f t="shared" si="3"/>
        <v>필터세척 :
FLOW   (T1, T4 : / T2, T3 : / T4 : )</v>
      </c>
      <c r="AA53" s="11" t="str">
        <f t="shared" si="4"/>
        <v/>
      </c>
      <c r="AB53" s="1"/>
      <c r="AC53" s="1"/>
      <c r="AD53" s="12"/>
      <c r="AE53" s="11" t="str">
        <f t="shared" si="5"/>
        <v/>
      </c>
      <c r="AF53" s="9"/>
      <c r="AG53" s="1"/>
      <c r="AH53" s="3"/>
    </row>
    <row r="54" spans="1:34" ht="34" x14ac:dyDescent="0.45">
      <c r="A54" s="4"/>
      <c r="B54" s="1"/>
      <c r="C54" s="1"/>
      <c r="D54" s="1"/>
      <c r="E54" s="1"/>
      <c r="F54" s="1"/>
      <c r="G54" s="1"/>
      <c r="H54" s="1"/>
      <c r="I54" s="1"/>
      <c r="J54" s="1"/>
      <c r="K54" s="1" t="str">
        <f>IF(LEN(A54)&gt;0, 상수!B$4, "")</f>
        <v/>
      </c>
      <c r="L54" s="1"/>
      <c r="M54" s="11" t="str">
        <f t="shared" si="10"/>
        <v xml:space="preserve">스핀들유격: </v>
      </c>
      <c r="N54" s="11" t="str">
        <f t="shared" si="10"/>
        <v xml:space="preserve">스핀들유격: </v>
      </c>
      <c r="O54" s="11" t="str">
        <f t="shared" si="10"/>
        <v xml:space="preserve">스핀들유격: </v>
      </c>
      <c r="P54" s="11" t="str">
        <f t="shared" si="10"/>
        <v xml:space="preserve">스핀들유격: </v>
      </c>
      <c r="Q54" s="11" t="str">
        <f t="shared" si="9"/>
        <v>000-000 :</v>
      </c>
      <c r="R54" s="11" t="str">
        <f t="shared" si="9"/>
        <v>000-000 :</v>
      </c>
      <c r="S54" s="11" t="str">
        <f t="shared" si="9"/>
        <v>000-000 :</v>
      </c>
      <c r="T54" s="11" t="str">
        <f t="shared" si="9"/>
        <v>000-000 :</v>
      </c>
      <c r="U54" s="11" t="str">
        <f t="shared" si="9"/>
        <v>000-000 :</v>
      </c>
      <c r="V54" s="11" t="str">
        <f t="shared" si="9"/>
        <v>000-000 :</v>
      </c>
      <c r="W54" s="11" t="str">
        <f t="shared" si="9"/>
        <v>000-000 :</v>
      </c>
      <c r="X54" s="11" t="str">
        <f t="shared" si="9"/>
        <v>000-000 :</v>
      </c>
      <c r="Y54" s="11" t="str">
        <f t="shared" si="2"/>
        <v>스핀들소음 :</v>
      </c>
      <c r="Z54" s="11" t="str">
        <f t="shared" si="3"/>
        <v>필터세척 :
FLOW   (T1, T4 : / T2, T3 : / T4 : )</v>
      </c>
      <c r="AA54" s="11" t="str">
        <f t="shared" si="4"/>
        <v/>
      </c>
      <c r="AB54" s="1"/>
      <c r="AC54" s="1"/>
      <c r="AD54" s="12"/>
      <c r="AE54" s="11" t="str">
        <f t="shared" si="5"/>
        <v/>
      </c>
      <c r="AF54" s="9"/>
      <c r="AG54" s="1"/>
      <c r="AH54" s="3"/>
    </row>
    <row r="55" spans="1:34" ht="34" x14ac:dyDescent="0.45">
      <c r="A55" s="4"/>
      <c r="B55" s="1"/>
      <c r="C55" s="1"/>
      <c r="D55" s="1"/>
      <c r="E55" s="1"/>
      <c r="F55" s="1"/>
      <c r="G55" s="1"/>
      <c r="H55" s="1"/>
      <c r="I55" s="1"/>
      <c r="J55" s="1"/>
      <c r="K55" s="1" t="str">
        <f>IF(LEN(A55)&gt;0, 상수!B$4, "")</f>
        <v/>
      </c>
      <c r="L55" s="1"/>
      <c r="M55" s="11" t="str">
        <f t="shared" si="10"/>
        <v xml:space="preserve">스핀들유격: </v>
      </c>
      <c r="N55" s="11" t="str">
        <f t="shared" si="10"/>
        <v xml:space="preserve">스핀들유격: </v>
      </c>
      <c r="O55" s="11" t="str">
        <f t="shared" si="10"/>
        <v xml:space="preserve">스핀들유격: </v>
      </c>
      <c r="P55" s="11" t="str">
        <f t="shared" si="10"/>
        <v xml:space="preserve">스핀들유격: </v>
      </c>
      <c r="Q55" s="11" t="str">
        <f t="shared" ref="Q55:X70" si="11">IF(MOD($AD55,5)=0, "000-000 :","-" )</f>
        <v>000-000 :</v>
      </c>
      <c r="R55" s="11" t="str">
        <f t="shared" si="11"/>
        <v>000-000 :</v>
      </c>
      <c r="S55" s="11" t="str">
        <f t="shared" si="11"/>
        <v>000-000 :</v>
      </c>
      <c r="T55" s="11" t="str">
        <f t="shared" si="11"/>
        <v>000-000 :</v>
      </c>
      <c r="U55" s="11" t="str">
        <f t="shared" si="11"/>
        <v>000-000 :</v>
      </c>
      <c r="V55" s="11" t="str">
        <f t="shared" si="11"/>
        <v>000-000 :</v>
      </c>
      <c r="W55" s="11" t="str">
        <f t="shared" si="11"/>
        <v>000-000 :</v>
      </c>
      <c r="X55" s="11" t="str">
        <f t="shared" si="11"/>
        <v>000-000 :</v>
      </c>
      <c r="Y55" s="11" t="str">
        <f t="shared" si="2"/>
        <v>스핀들소음 :</v>
      </c>
      <c r="Z55" s="11" t="str">
        <f t="shared" si="3"/>
        <v>필터세척 :
FLOW   (T1, T4 : / T2, T3 : / T4 : )</v>
      </c>
      <c r="AA55" s="11" t="str">
        <f t="shared" si="4"/>
        <v/>
      </c>
      <c r="AB55" s="1"/>
      <c r="AC55" s="1"/>
      <c r="AD55" s="12"/>
      <c r="AE55" s="11" t="str">
        <f t="shared" si="5"/>
        <v/>
      </c>
      <c r="AF55" s="9"/>
      <c r="AG55" s="1"/>
      <c r="AH55" s="3"/>
    </row>
    <row r="56" spans="1:34" ht="34" x14ac:dyDescent="0.45">
      <c r="A56" s="4"/>
      <c r="B56" s="1"/>
      <c r="C56" s="1"/>
      <c r="D56" s="1"/>
      <c r="E56" s="1"/>
      <c r="F56" s="1"/>
      <c r="G56" s="1"/>
      <c r="H56" s="1"/>
      <c r="I56" s="1"/>
      <c r="J56" s="1"/>
      <c r="K56" s="1" t="str">
        <f>IF(LEN(A56)&gt;0, 상수!B$4, "")</f>
        <v/>
      </c>
      <c r="L56" s="1"/>
      <c r="M56" s="11" t="str">
        <f t="shared" si="10"/>
        <v xml:space="preserve">스핀들유격: </v>
      </c>
      <c r="N56" s="11" t="str">
        <f t="shared" si="10"/>
        <v xml:space="preserve">스핀들유격: </v>
      </c>
      <c r="O56" s="11" t="str">
        <f t="shared" si="10"/>
        <v xml:space="preserve">스핀들유격: </v>
      </c>
      <c r="P56" s="11" t="str">
        <f t="shared" si="10"/>
        <v xml:space="preserve">스핀들유격: </v>
      </c>
      <c r="Q56" s="11" t="str">
        <f t="shared" si="11"/>
        <v>000-000 :</v>
      </c>
      <c r="R56" s="11" t="str">
        <f t="shared" si="11"/>
        <v>000-000 :</v>
      </c>
      <c r="S56" s="11" t="str">
        <f t="shared" si="11"/>
        <v>000-000 :</v>
      </c>
      <c r="T56" s="11" t="str">
        <f t="shared" si="11"/>
        <v>000-000 :</v>
      </c>
      <c r="U56" s="11" t="str">
        <f t="shared" si="11"/>
        <v>000-000 :</v>
      </c>
      <c r="V56" s="11" t="str">
        <f t="shared" si="11"/>
        <v>000-000 :</v>
      </c>
      <c r="W56" s="11" t="str">
        <f t="shared" si="11"/>
        <v>000-000 :</v>
      </c>
      <c r="X56" s="11" t="str">
        <f t="shared" si="11"/>
        <v>000-000 :</v>
      </c>
      <c r="Y56" s="11" t="str">
        <f t="shared" si="2"/>
        <v>스핀들소음 :</v>
      </c>
      <c r="Z56" s="11" t="str">
        <f t="shared" si="3"/>
        <v>필터세척 :
FLOW   (T1, T4 : / T2, T3 : / T4 : )</v>
      </c>
      <c r="AA56" s="11" t="str">
        <f t="shared" si="4"/>
        <v/>
      </c>
      <c r="AB56" s="1"/>
      <c r="AC56" s="1"/>
      <c r="AD56" s="12"/>
      <c r="AE56" s="11" t="str">
        <f t="shared" si="5"/>
        <v/>
      </c>
      <c r="AF56" s="9"/>
      <c r="AG56" s="1"/>
      <c r="AH56" s="3"/>
    </row>
    <row r="57" spans="1:34" ht="34" x14ac:dyDescent="0.45">
      <c r="A57" s="4"/>
      <c r="B57" s="1"/>
      <c r="C57" s="1"/>
      <c r="D57" s="1"/>
      <c r="E57" s="1"/>
      <c r="F57" s="1"/>
      <c r="G57" s="1"/>
      <c r="H57" s="1"/>
      <c r="I57" s="1"/>
      <c r="J57" s="1"/>
      <c r="K57" s="1" t="str">
        <f>IF(LEN(A57)&gt;0, 상수!B$4, "")</f>
        <v/>
      </c>
      <c r="L57" s="1"/>
      <c r="M57" s="11" t="str">
        <f t="shared" si="10"/>
        <v xml:space="preserve">스핀들유격: </v>
      </c>
      <c r="N57" s="11" t="str">
        <f t="shared" si="10"/>
        <v xml:space="preserve">스핀들유격: </v>
      </c>
      <c r="O57" s="11" t="str">
        <f t="shared" si="10"/>
        <v xml:space="preserve">스핀들유격: </v>
      </c>
      <c r="P57" s="11" t="str">
        <f t="shared" si="10"/>
        <v xml:space="preserve">스핀들유격: </v>
      </c>
      <c r="Q57" s="11" t="str">
        <f t="shared" si="11"/>
        <v>000-000 :</v>
      </c>
      <c r="R57" s="11" t="str">
        <f t="shared" si="11"/>
        <v>000-000 :</v>
      </c>
      <c r="S57" s="11" t="str">
        <f t="shared" si="11"/>
        <v>000-000 :</v>
      </c>
      <c r="T57" s="11" t="str">
        <f t="shared" si="11"/>
        <v>000-000 :</v>
      </c>
      <c r="U57" s="11" t="str">
        <f t="shared" si="11"/>
        <v>000-000 :</v>
      </c>
      <c r="V57" s="11" t="str">
        <f t="shared" si="11"/>
        <v>000-000 :</v>
      </c>
      <c r="W57" s="11" t="str">
        <f t="shared" si="11"/>
        <v>000-000 :</v>
      </c>
      <c r="X57" s="11" t="str">
        <f t="shared" si="11"/>
        <v>000-000 :</v>
      </c>
      <c r="Y57" s="11" t="str">
        <f t="shared" si="2"/>
        <v>스핀들소음 :</v>
      </c>
      <c r="Z57" s="11" t="str">
        <f t="shared" si="3"/>
        <v>필터세척 :
FLOW   (T1, T4 : / T2, T3 : / T4 : )</v>
      </c>
      <c r="AA57" s="11" t="str">
        <f t="shared" si="4"/>
        <v/>
      </c>
      <c r="AB57" s="1"/>
      <c r="AC57" s="1"/>
      <c r="AD57" s="12"/>
      <c r="AE57" s="11" t="str">
        <f t="shared" si="5"/>
        <v/>
      </c>
      <c r="AF57" s="9"/>
      <c r="AG57" s="1"/>
      <c r="AH57" s="3"/>
    </row>
    <row r="58" spans="1:34" ht="34" x14ac:dyDescent="0.45">
      <c r="A58" s="4"/>
      <c r="B58" s="1"/>
      <c r="C58" s="1"/>
      <c r="D58" s="1"/>
      <c r="E58" s="1"/>
      <c r="F58" s="1"/>
      <c r="G58" s="1"/>
      <c r="H58" s="1"/>
      <c r="I58" s="1"/>
      <c r="J58" s="1"/>
      <c r="K58" s="1" t="str">
        <f>IF(LEN(A58)&gt;0, 상수!B$4, "")</f>
        <v/>
      </c>
      <c r="L58" s="1"/>
      <c r="M58" s="11" t="str">
        <f t="shared" si="10"/>
        <v xml:space="preserve">스핀들유격: </v>
      </c>
      <c r="N58" s="11" t="str">
        <f t="shared" si="10"/>
        <v xml:space="preserve">스핀들유격: </v>
      </c>
      <c r="O58" s="11" t="str">
        <f t="shared" si="10"/>
        <v xml:space="preserve">스핀들유격: </v>
      </c>
      <c r="P58" s="11" t="str">
        <f t="shared" si="10"/>
        <v xml:space="preserve">스핀들유격: </v>
      </c>
      <c r="Q58" s="11" t="str">
        <f t="shared" si="11"/>
        <v>000-000 :</v>
      </c>
      <c r="R58" s="11" t="str">
        <f t="shared" si="11"/>
        <v>000-000 :</v>
      </c>
      <c r="S58" s="11" t="str">
        <f t="shared" si="11"/>
        <v>000-000 :</v>
      </c>
      <c r="T58" s="11" t="str">
        <f t="shared" si="11"/>
        <v>000-000 :</v>
      </c>
      <c r="U58" s="11" t="str">
        <f t="shared" si="11"/>
        <v>000-000 :</v>
      </c>
      <c r="V58" s="11" t="str">
        <f t="shared" si="11"/>
        <v>000-000 :</v>
      </c>
      <c r="W58" s="11" t="str">
        <f t="shared" si="11"/>
        <v>000-000 :</v>
      </c>
      <c r="X58" s="11" t="str">
        <f t="shared" si="11"/>
        <v>000-000 :</v>
      </c>
      <c r="Y58" s="11" t="str">
        <f t="shared" si="2"/>
        <v>스핀들소음 :</v>
      </c>
      <c r="Z58" s="11" t="str">
        <f t="shared" si="3"/>
        <v>필터세척 :
FLOW   (T1, T4 : / T2, T3 : / T4 : )</v>
      </c>
      <c r="AA58" s="11" t="str">
        <f t="shared" si="4"/>
        <v/>
      </c>
      <c r="AB58" s="1"/>
      <c r="AC58" s="1"/>
      <c r="AD58" s="12"/>
      <c r="AE58" s="11" t="str">
        <f t="shared" si="5"/>
        <v/>
      </c>
      <c r="AF58" s="9"/>
      <c r="AG58" s="1"/>
      <c r="AH58" s="3"/>
    </row>
    <row r="59" spans="1:34" ht="34" x14ac:dyDescent="0.45">
      <c r="A59" s="4"/>
      <c r="B59" s="1"/>
      <c r="C59" s="1"/>
      <c r="D59" s="1"/>
      <c r="E59" s="1"/>
      <c r="F59" s="1"/>
      <c r="G59" s="1"/>
      <c r="H59" s="1"/>
      <c r="I59" s="1"/>
      <c r="J59" s="1"/>
      <c r="K59" s="1" t="str">
        <f>IF(LEN(A59)&gt;0, 상수!B$4, "")</f>
        <v/>
      </c>
      <c r="L59" s="1"/>
      <c r="M59" s="11" t="str">
        <f t="shared" si="10"/>
        <v xml:space="preserve">스핀들유격: </v>
      </c>
      <c r="N59" s="11" t="str">
        <f t="shared" si="10"/>
        <v xml:space="preserve">스핀들유격: </v>
      </c>
      <c r="O59" s="11" t="str">
        <f t="shared" si="10"/>
        <v xml:space="preserve">스핀들유격: </v>
      </c>
      <c r="P59" s="11" t="str">
        <f t="shared" si="10"/>
        <v xml:space="preserve">스핀들유격: </v>
      </c>
      <c r="Q59" s="11" t="str">
        <f t="shared" si="11"/>
        <v>000-000 :</v>
      </c>
      <c r="R59" s="11" t="str">
        <f t="shared" si="11"/>
        <v>000-000 :</v>
      </c>
      <c r="S59" s="11" t="str">
        <f t="shared" si="11"/>
        <v>000-000 :</v>
      </c>
      <c r="T59" s="11" t="str">
        <f t="shared" si="11"/>
        <v>000-000 :</v>
      </c>
      <c r="U59" s="11" t="str">
        <f t="shared" si="11"/>
        <v>000-000 :</v>
      </c>
      <c r="V59" s="11" t="str">
        <f t="shared" si="11"/>
        <v>000-000 :</v>
      </c>
      <c r="W59" s="11" t="str">
        <f t="shared" si="11"/>
        <v>000-000 :</v>
      </c>
      <c r="X59" s="11" t="str">
        <f t="shared" si="11"/>
        <v>000-000 :</v>
      </c>
      <c r="Y59" s="11" t="str">
        <f t="shared" si="2"/>
        <v>스핀들소음 :</v>
      </c>
      <c r="Z59" s="11" t="str">
        <f t="shared" si="3"/>
        <v>필터세척 :
FLOW   (T1, T4 : / T2, T3 : / T4 : )</v>
      </c>
      <c r="AA59" s="11" t="str">
        <f t="shared" si="4"/>
        <v/>
      </c>
      <c r="AB59" s="1"/>
      <c r="AC59" s="1"/>
      <c r="AD59" s="12"/>
      <c r="AE59" s="11" t="str">
        <f t="shared" si="5"/>
        <v/>
      </c>
      <c r="AF59" s="9"/>
      <c r="AG59" s="1"/>
      <c r="AH59" s="3"/>
    </row>
    <row r="60" spans="1:34" ht="34" x14ac:dyDescent="0.45">
      <c r="A60" s="4"/>
      <c r="B60" s="1"/>
      <c r="C60" s="1"/>
      <c r="D60" s="1"/>
      <c r="E60" s="1"/>
      <c r="F60" s="1"/>
      <c r="G60" s="1"/>
      <c r="H60" s="1"/>
      <c r="I60" s="1"/>
      <c r="J60" s="1"/>
      <c r="K60" s="1" t="str">
        <f>IF(LEN(A60)&gt;0, 상수!B$4, "")</f>
        <v/>
      </c>
      <c r="L60" s="1"/>
      <c r="M60" s="11" t="str">
        <f t="shared" si="10"/>
        <v xml:space="preserve">스핀들유격: </v>
      </c>
      <c r="N60" s="11" t="str">
        <f t="shared" si="10"/>
        <v xml:space="preserve">스핀들유격: </v>
      </c>
      <c r="O60" s="11" t="str">
        <f t="shared" si="10"/>
        <v xml:space="preserve">스핀들유격: </v>
      </c>
      <c r="P60" s="11" t="str">
        <f t="shared" si="10"/>
        <v xml:space="preserve">스핀들유격: </v>
      </c>
      <c r="Q60" s="11" t="str">
        <f t="shared" si="11"/>
        <v>000-000 :</v>
      </c>
      <c r="R60" s="11" t="str">
        <f t="shared" si="11"/>
        <v>000-000 :</v>
      </c>
      <c r="S60" s="11" t="str">
        <f t="shared" si="11"/>
        <v>000-000 :</v>
      </c>
      <c r="T60" s="11" t="str">
        <f t="shared" si="11"/>
        <v>000-000 :</v>
      </c>
      <c r="U60" s="11" t="str">
        <f t="shared" si="11"/>
        <v>000-000 :</v>
      </c>
      <c r="V60" s="11" t="str">
        <f t="shared" si="11"/>
        <v>000-000 :</v>
      </c>
      <c r="W60" s="11" t="str">
        <f t="shared" si="11"/>
        <v>000-000 :</v>
      </c>
      <c r="X60" s="11" t="str">
        <f t="shared" si="11"/>
        <v>000-000 :</v>
      </c>
      <c r="Y60" s="11" t="str">
        <f t="shared" si="2"/>
        <v>스핀들소음 :</v>
      </c>
      <c r="Z60" s="11" t="str">
        <f t="shared" si="3"/>
        <v>필터세척 :
FLOW   (T1, T4 : / T2, T3 : / T4 : )</v>
      </c>
      <c r="AA60" s="11" t="str">
        <f t="shared" si="4"/>
        <v/>
      </c>
      <c r="AB60" s="1"/>
      <c r="AC60" s="1"/>
      <c r="AD60" s="12"/>
      <c r="AE60" s="11" t="str">
        <f t="shared" si="5"/>
        <v/>
      </c>
      <c r="AF60" s="9"/>
      <c r="AG60" s="1"/>
      <c r="AH60" s="3"/>
    </row>
    <row r="61" spans="1:34" ht="34" x14ac:dyDescent="0.45">
      <c r="A61" s="4"/>
      <c r="B61" s="1"/>
      <c r="C61" s="1"/>
      <c r="D61" s="1"/>
      <c r="E61" s="1"/>
      <c r="F61" s="1"/>
      <c r="G61" s="1"/>
      <c r="H61" s="1"/>
      <c r="I61" s="1"/>
      <c r="J61" s="1"/>
      <c r="K61" s="1" t="str">
        <f>IF(LEN(A61)&gt;0, 상수!B$4, "")</f>
        <v/>
      </c>
      <c r="L61" s="1"/>
      <c r="M61" s="11" t="str">
        <f t="shared" si="10"/>
        <v xml:space="preserve">스핀들유격: </v>
      </c>
      <c r="N61" s="11" t="str">
        <f t="shared" si="10"/>
        <v xml:space="preserve">스핀들유격: </v>
      </c>
      <c r="O61" s="11" t="str">
        <f t="shared" si="10"/>
        <v xml:space="preserve">스핀들유격: </v>
      </c>
      <c r="P61" s="11" t="str">
        <f t="shared" si="10"/>
        <v xml:space="preserve">스핀들유격: </v>
      </c>
      <c r="Q61" s="11" t="str">
        <f t="shared" si="11"/>
        <v>000-000 :</v>
      </c>
      <c r="R61" s="11" t="str">
        <f t="shared" si="11"/>
        <v>000-000 :</v>
      </c>
      <c r="S61" s="11" t="str">
        <f t="shared" si="11"/>
        <v>000-000 :</v>
      </c>
      <c r="T61" s="11" t="str">
        <f t="shared" si="11"/>
        <v>000-000 :</v>
      </c>
      <c r="U61" s="11" t="str">
        <f t="shared" si="11"/>
        <v>000-000 :</v>
      </c>
      <c r="V61" s="11" t="str">
        <f t="shared" si="11"/>
        <v>000-000 :</v>
      </c>
      <c r="W61" s="11" t="str">
        <f t="shared" si="11"/>
        <v>000-000 :</v>
      </c>
      <c r="X61" s="11" t="str">
        <f t="shared" si="11"/>
        <v>000-000 :</v>
      </c>
      <c r="Y61" s="11" t="str">
        <f t="shared" si="2"/>
        <v>스핀들소음 :</v>
      </c>
      <c r="Z61" s="11" t="str">
        <f t="shared" si="3"/>
        <v>필터세척 :
FLOW   (T1, T4 : / T2, T3 : / T4 : )</v>
      </c>
      <c r="AA61" s="11" t="str">
        <f t="shared" si="4"/>
        <v/>
      </c>
      <c r="AB61" s="1"/>
      <c r="AC61" s="1"/>
      <c r="AD61" s="12"/>
      <c r="AE61" s="11" t="str">
        <f t="shared" si="5"/>
        <v/>
      </c>
      <c r="AF61" s="9"/>
      <c r="AG61" s="1"/>
      <c r="AH61" s="3"/>
    </row>
    <row r="62" spans="1:34" ht="34" x14ac:dyDescent="0.45">
      <c r="A62" s="4"/>
      <c r="B62" s="1"/>
      <c r="C62" s="1"/>
      <c r="D62" s="1"/>
      <c r="E62" s="1"/>
      <c r="F62" s="1"/>
      <c r="G62" s="1"/>
      <c r="H62" s="1"/>
      <c r="I62" s="1"/>
      <c r="J62" s="1"/>
      <c r="K62" s="1" t="str">
        <f>IF(LEN(A62)&gt;0, 상수!B$4, "")</f>
        <v/>
      </c>
      <c r="L62" s="1"/>
      <c r="M62" s="11" t="str">
        <f t="shared" si="10"/>
        <v xml:space="preserve">스핀들유격: </v>
      </c>
      <c r="N62" s="11" t="str">
        <f t="shared" si="10"/>
        <v xml:space="preserve">스핀들유격: </v>
      </c>
      <c r="O62" s="11" t="str">
        <f t="shared" si="10"/>
        <v xml:space="preserve">스핀들유격: </v>
      </c>
      <c r="P62" s="11" t="str">
        <f t="shared" si="10"/>
        <v xml:space="preserve">스핀들유격: </v>
      </c>
      <c r="Q62" s="11" t="str">
        <f t="shared" si="11"/>
        <v>000-000 :</v>
      </c>
      <c r="R62" s="11" t="str">
        <f t="shared" si="11"/>
        <v>000-000 :</v>
      </c>
      <c r="S62" s="11" t="str">
        <f t="shared" si="11"/>
        <v>000-000 :</v>
      </c>
      <c r="T62" s="11" t="str">
        <f t="shared" si="11"/>
        <v>000-000 :</v>
      </c>
      <c r="U62" s="11" t="str">
        <f t="shared" si="11"/>
        <v>000-000 :</v>
      </c>
      <c r="V62" s="11" t="str">
        <f t="shared" si="11"/>
        <v>000-000 :</v>
      </c>
      <c r="W62" s="11" t="str">
        <f t="shared" si="11"/>
        <v>000-000 :</v>
      </c>
      <c r="X62" s="11" t="str">
        <f t="shared" si="11"/>
        <v>000-000 :</v>
      </c>
      <c r="Y62" s="11" t="str">
        <f t="shared" si="2"/>
        <v>스핀들소음 :</v>
      </c>
      <c r="Z62" s="11" t="str">
        <f t="shared" si="3"/>
        <v>필터세척 :
FLOW   (T1, T4 : / T2, T3 : / T4 : )</v>
      </c>
      <c r="AA62" s="11" t="str">
        <f t="shared" si="4"/>
        <v/>
      </c>
      <c r="AB62" s="1"/>
      <c r="AC62" s="1"/>
      <c r="AD62" s="12"/>
      <c r="AE62" s="11" t="str">
        <f t="shared" si="5"/>
        <v/>
      </c>
      <c r="AF62" s="9"/>
      <c r="AG62" s="1"/>
      <c r="AH62" s="3"/>
    </row>
    <row r="63" spans="1:34" ht="34" x14ac:dyDescent="0.45">
      <c r="A63" s="4"/>
      <c r="B63" s="1"/>
      <c r="C63" s="1"/>
      <c r="D63" s="1"/>
      <c r="E63" s="1"/>
      <c r="F63" s="1"/>
      <c r="G63" s="1"/>
      <c r="H63" s="1"/>
      <c r="I63" s="1"/>
      <c r="J63" s="1"/>
      <c r="K63" s="1" t="str">
        <f>IF(LEN(A63)&gt;0, 상수!B$4, "")</f>
        <v/>
      </c>
      <c r="L63" s="1"/>
      <c r="M63" s="11" t="str">
        <f t="shared" si="10"/>
        <v xml:space="preserve">스핀들유격: </v>
      </c>
      <c r="N63" s="11" t="str">
        <f t="shared" si="10"/>
        <v xml:space="preserve">스핀들유격: </v>
      </c>
      <c r="O63" s="11" t="str">
        <f t="shared" si="10"/>
        <v xml:space="preserve">스핀들유격: </v>
      </c>
      <c r="P63" s="11" t="str">
        <f t="shared" si="10"/>
        <v xml:space="preserve">스핀들유격: </v>
      </c>
      <c r="Q63" s="11" t="str">
        <f t="shared" si="11"/>
        <v>000-000 :</v>
      </c>
      <c r="R63" s="11" t="str">
        <f t="shared" si="11"/>
        <v>000-000 :</v>
      </c>
      <c r="S63" s="11" t="str">
        <f t="shared" si="11"/>
        <v>000-000 :</v>
      </c>
      <c r="T63" s="11" t="str">
        <f t="shared" si="11"/>
        <v>000-000 :</v>
      </c>
      <c r="U63" s="11" t="str">
        <f t="shared" si="11"/>
        <v>000-000 :</v>
      </c>
      <c r="V63" s="11" t="str">
        <f t="shared" si="11"/>
        <v>000-000 :</v>
      </c>
      <c r="W63" s="11" t="str">
        <f t="shared" si="11"/>
        <v>000-000 :</v>
      </c>
      <c r="X63" s="11" t="str">
        <f t="shared" si="11"/>
        <v>000-000 :</v>
      </c>
      <c r="Y63" s="11" t="str">
        <f t="shared" si="2"/>
        <v>스핀들소음 :</v>
      </c>
      <c r="Z63" s="11" t="str">
        <f t="shared" si="3"/>
        <v>필터세척 :
FLOW   (T1, T4 : / T2, T3 : / T4 : )</v>
      </c>
      <c r="AA63" s="11" t="str">
        <f t="shared" si="4"/>
        <v/>
      </c>
      <c r="AB63" s="1"/>
      <c r="AC63" s="1"/>
      <c r="AD63" s="12"/>
      <c r="AE63" s="11" t="str">
        <f t="shared" si="5"/>
        <v/>
      </c>
      <c r="AF63" s="9"/>
      <c r="AG63" s="1"/>
      <c r="AH63" s="3"/>
    </row>
    <row r="64" spans="1:34" ht="34" x14ac:dyDescent="0.45">
      <c r="A64" s="4"/>
      <c r="B64" s="1"/>
      <c r="C64" s="1"/>
      <c r="D64" s="1"/>
      <c r="E64" s="1"/>
      <c r="F64" s="1"/>
      <c r="G64" s="1"/>
      <c r="H64" s="1"/>
      <c r="I64" s="1"/>
      <c r="J64" s="1"/>
      <c r="K64" s="1" t="str">
        <f>IF(LEN(A64)&gt;0, 상수!B$4, "")</f>
        <v/>
      </c>
      <c r="L64" s="1"/>
      <c r="M64" s="11" t="str">
        <f t="shared" si="10"/>
        <v xml:space="preserve">스핀들유격: </v>
      </c>
      <c r="N64" s="11" t="str">
        <f t="shared" si="10"/>
        <v xml:space="preserve">스핀들유격: </v>
      </c>
      <c r="O64" s="11" t="str">
        <f t="shared" si="10"/>
        <v xml:space="preserve">스핀들유격: </v>
      </c>
      <c r="P64" s="11" t="str">
        <f t="shared" si="10"/>
        <v xml:space="preserve">스핀들유격: </v>
      </c>
      <c r="Q64" s="11" t="str">
        <f t="shared" si="11"/>
        <v>000-000 :</v>
      </c>
      <c r="R64" s="11" t="str">
        <f t="shared" si="11"/>
        <v>000-000 :</v>
      </c>
      <c r="S64" s="11" t="str">
        <f t="shared" si="11"/>
        <v>000-000 :</v>
      </c>
      <c r="T64" s="11" t="str">
        <f t="shared" si="11"/>
        <v>000-000 :</v>
      </c>
      <c r="U64" s="11" t="str">
        <f t="shared" si="11"/>
        <v>000-000 :</v>
      </c>
      <c r="V64" s="11" t="str">
        <f t="shared" si="11"/>
        <v>000-000 :</v>
      </c>
      <c r="W64" s="11" t="str">
        <f t="shared" si="11"/>
        <v>000-000 :</v>
      </c>
      <c r="X64" s="11" t="str">
        <f t="shared" si="11"/>
        <v>000-000 :</v>
      </c>
      <c r="Y64" s="11" t="str">
        <f t="shared" si="2"/>
        <v>스핀들소음 :</v>
      </c>
      <c r="Z64" s="11" t="str">
        <f t="shared" si="3"/>
        <v>필터세척 :
FLOW   (T1, T4 : / T2, T3 : / T4 : )</v>
      </c>
      <c r="AA64" s="11" t="str">
        <f t="shared" si="4"/>
        <v/>
      </c>
      <c r="AB64" s="1"/>
      <c r="AC64" s="1"/>
      <c r="AD64" s="12"/>
      <c r="AE64" s="11" t="str">
        <f t="shared" si="5"/>
        <v/>
      </c>
      <c r="AF64" s="9"/>
      <c r="AG64" s="1"/>
      <c r="AH64" s="3"/>
    </row>
    <row r="65" spans="1:34" ht="34" x14ac:dyDescent="0.45">
      <c r="A65" s="4"/>
      <c r="B65" s="1"/>
      <c r="C65" s="1"/>
      <c r="D65" s="1"/>
      <c r="E65" s="1"/>
      <c r="F65" s="1"/>
      <c r="G65" s="1"/>
      <c r="H65" s="1"/>
      <c r="I65" s="1"/>
      <c r="J65" s="1"/>
      <c r="K65" s="1" t="str">
        <f>IF(LEN(A65)&gt;0, 상수!B$4, "")</f>
        <v/>
      </c>
      <c r="L65" s="1"/>
      <c r="M65" s="11" t="str">
        <f t="shared" si="10"/>
        <v xml:space="preserve">스핀들유격: </v>
      </c>
      <c r="N65" s="11" t="str">
        <f t="shared" si="10"/>
        <v xml:space="preserve">스핀들유격: </v>
      </c>
      <c r="O65" s="11" t="str">
        <f t="shared" si="10"/>
        <v xml:space="preserve">스핀들유격: </v>
      </c>
      <c r="P65" s="11" t="str">
        <f t="shared" si="10"/>
        <v xml:space="preserve">스핀들유격: </v>
      </c>
      <c r="Q65" s="11" t="str">
        <f t="shared" si="11"/>
        <v>000-000 :</v>
      </c>
      <c r="R65" s="11" t="str">
        <f t="shared" si="11"/>
        <v>000-000 :</v>
      </c>
      <c r="S65" s="11" t="str">
        <f t="shared" si="11"/>
        <v>000-000 :</v>
      </c>
      <c r="T65" s="11" t="str">
        <f t="shared" si="11"/>
        <v>000-000 :</v>
      </c>
      <c r="U65" s="11" t="str">
        <f t="shared" si="11"/>
        <v>000-000 :</v>
      </c>
      <c r="V65" s="11" t="str">
        <f t="shared" si="11"/>
        <v>000-000 :</v>
      </c>
      <c r="W65" s="11" t="str">
        <f t="shared" si="11"/>
        <v>000-000 :</v>
      </c>
      <c r="X65" s="11" t="str">
        <f t="shared" si="11"/>
        <v>000-000 :</v>
      </c>
      <c r="Y65" s="11" t="str">
        <f t="shared" si="2"/>
        <v>스핀들소음 :</v>
      </c>
      <c r="Z65" s="11" t="str">
        <f t="shared" si="3"/>
        <v>필터세척 :
FLOW   (T1, T4 : / T2, T3 : / T4 : )</v>
      </c>
      <c r="AA65" s="11" t="str">
        <f t="shared" si="4"/>
        <v/>
      </c>
      <c r="AB65" s="1"/>
      <c r="AC65" s="1"/>
      <c r="AD65" s="12"/>
      <c r="AE65" s="11" t="str">
        <f t="shared" si="5"/>
        <v/>
      </c>
      <c r="AF65" s="9"/>
      <c r="AG65" s="1"/>
      <c r="AH65" s="3"/>
    </row>
    <row r="66" spans="1:34" ht="34" x14ac:dyDescent="0.45">
      <c r="A66" s="4"/>
      <c r="B66" s="1"/>
      <c r="C66" s="1"/>
      <c r="D66" s="1"/>
      <c r="E66" s="1"/>
      <c r="F66" s="1"/>
      <c r="G66" s="1"/>
      <c r="H66" s="1"/>
      <c r="I66" s="1"/>
      <c r="J66" s="1"/>
      <c r="K66" s="1" t="str">
        <f>IF(LEN(A66)&gt;0, 상수!B$4, "")</f>
        <v/>
      </c>
      <c r="L66" s="1"/>
      <c r="M66" s="11" t="str">
        <f t="shared" si="10"/>
        <v xml:space="preserve">스핀들유격: </v>
      </c>
      <c r="N66" s="11" t="str">
        <f t="shared" si="10"/>
        <v xml:space="preserve">스핀들유격: </v>
      </c>
      <c r="O66" s="11" t="str">
        <f t="shared" si="10"/>
        <v xml:space="preserve">스핀들유격: </v>
      </c>
      <c r="P66" s="11" t="str">
        <f t="shared" si="10"/>
        <v xml:space="preserve">스핀들유격: </v>
      </c>
      <c r="Q66" s="11" t="str">
        <f t="shared" si="11"/>
        <v>000-000 :</v>
      </c>
      <c r="R66" s="11" t="str">
        <f t="shared" si="11"/>
        <v>000-000 :</v>
      </c>
      <c r="S66" s="11" t="str">
        <f t="shared" si="11"/>
        <v>000-000 :</v>
      </c>
      <c r="T66" s="11" t="str">
        <f t="shared" si="11"/>
        <v>000-000 :</v>
      </c>
      <c r="U66" s="11" t="str">
        <f t="shared" si="11"/>
        <v>000-000 :</v>
      </c>
      <c r="V66" s="11" t="str">
        <f t="shared" si="11"/>
        <v>000-000 :</v>
      </c>
      <c r="W66" s="11" t="str">
        <f t="shared" si="11"/>
        <v>000-000 :</v>
      </c>
      <c r="X66" s="11" t="str">
        <f t="shared" si="11"/>
        <v>000-000 :</v>
      </c>
      <c r="Y66" s="11" t="str">
        <f t="shared" si="2"/>
        <v>스핀들소음 :</v>
      </c>
      <c r="Z66" s="11" t="str">
        <f t="shared" si="3"/>
        <v>필터세척 :
FLOW   (T1, T4 : / T2, T3 : / T4 : )</v>
      </c>
      <c r="AA66" s="11" t="str">
        <f t="shared" si="4"/>
        <v/>
      </c>
      <c r="AB66" s="1"/>
      <c r="AC66" s="1"/>
      <c r="AD66" s="12"/>
      <c r="AE66" s="11" t="str">
        <f t="shared" si="5"/>
        <v/>
      </c>
      <c r="AF66" s="9"/>
      <c r="AG66" s="1"/>
      <c r="AH66" s="3"/>
    </row>
    <row r="67" spans="1:34" ht="34" x14ac:dyDescent="0.45">
      <c r="A67" s="4"/>
      <c r="B67" s="1"/>
      <c r="C67" s="1"/>
      <c r="D67" s="1"/>
      <c r="E67" s="1"/>
      <c r="F67" s="1"/>
      <c r="G67" s="1"/>
      <c r="H67" s="1"/>
      <c r="I67" s="1"/>
      <c r="J67" s="1"/>
      <c r="K67" s="1" t="str">
        <f>IF(LEN(A67)&gt;0, 상수!B$4, "")</f>
        <v/>
      </c>
      <c r="L67" s="1"/>
      <c r="M67" s="11" t="str">
        <f t="shared" ref="M67:P86" si="12">IF(MOD($AD67,5)=0, "스핀들유격: ","-" )</f>
        <v xml:space="preserve">스핀들유격: </v>
      </c>
      <c r="N67" s="11" t="str">
        <f t="shared" si="12"/>
        <v xml:space="preserve">스핀들유격: </v>
      </c>
      <c r="O67" s="11" t="str">
        <f t="shared" si="12"/>
        <v xml:space="preserve">스핀들유격: </v>
      </c>
      <c r="P67" s="11" t="str">
        <f t="shared" si="12"/>
        <v xml:space="preserve">스핀들유격: </v>
      </c>
      <c r="Q67" s="11" t="str">
        <f t="shared" si="11"/>
        <v>000-000 :</v>
      </c>
      <c r="R67" s="11" t="str">
        <f t="shared" si="11"/>
        <v>000-000 :</v>
      </c>
      <c r="S67" s="11" t="str">
        <f t="shared" si="11"/>
        <v>000-000 :</v>
      </c>
      <c r="T67" s="11" t="str">
        <f t="shared" si="11"/>
        <v>000-000 :</v>
      </c>
      <c r="U67" s="11" t="str">
        <f t="shared" si="11"/>
        <v>000-000 :</v>
      </c>
      <c r="V67" s="11" t="str">
        <f t="shared" si="11"/>
        <v>000-000 :</v>
      </c>
      <c r="W67" s="11" t="str">
        <f t="shared" si="11"/>
        <v>000-000 :</v>
      </c>
      <c r="X67" s="11" t="str">
        <f t="shared" si="11"/>
        <v>000-000 :</v>
      </c>
      <c r="Y67" s="11" t="str">
        <f t="shared" si="2"/>
        <v>스핀들소음 :</v>
      </c>
      <c r="Z67" s="11" t="str">
        <f t="shared" si="3"/>
        <v>필터세척 :
FLOW   (T1, T4 : / T2, T3 : / T4 : )</v>
      </c>
      <c r="AA67" s="11" t="str">
        <f t="shared" si="4"/>
        <v/>
      </c>
      <c r="AB67" s="1"/>
      <c r="AC67" s="1"/>
      <c r="AD67" s="12"/>
      <c r="AE67" s="11" t="str">
        <f t="shared" si="5"/>
        <v/>
      </c>
      <c r="AF67" s="9"/>
      <c r="AG67" s="1"/>
      <c r="AH67" s="3"/>
    </row>
    <row r="68" spans="1:34" ht="34" x14ac:dyDescent="0.45">
      <c r="A68" s="4"/>
      <c r="B68" s="1"/>
      <c r="C68" s="1"/>
      <c r="D68" s="1"/>
      <c r="E68" s="1"/>
      <c r="F68" s="1"/>
      <c r="G68" s="1"/>
      <c r="H68" s="1"/>
      <c r="I68" s="1"/>
      <c r="J68" s="1"/>
      <c r="K68" s="1" t="str">
        <f>IF(LEN(A68)&gt;0, 상수!B$4, "")</f>
        <v/>
      </c>
      <c r="L68" s="1"/>
      <c r="M68" s="11" t="str">
        <f t="shared" si="12"/>
        <v xml:space="preserve">스핀들유격: </v>
      </c>
      <c r="N68" s="11" t="str">
        <f t="shared" si="12"/>
        <v xml:space="preserve">스핀들유격: </v>
      </c>
      <c r="O68" s="11" t="str">
        <f t="shared" si="12"/>
        <v xml:space="preserve">스핀들유격: </v>
      </c>
      <c r="P68" s="11" t="str">
        <f t="shared" si="12"/>
        <v xml:space="preserve">스핀들유격: </v>
      </c>
      <c r="Q68" s="11" t="str">
        <f t="shared" si="11"/>
        <v>000-000 :</v>
      </c>
      <c r="R68" s="11" t="str">
        <f t="shared" si="11"/>
        <v>000-000 :</v>
      </c>
      <c r="S68" s="11" t="str">
        <f t="shared" si="11"/>
        <v>000-000 :</v>
      </c>
      <c r="T68" s="11" t="str">
        <f t="shared" si="11"/>
        <v>000-000 :</v>
      </c>
      <c r="U68" s="11" t="str">
        <f t="shared" si="11"/>
        <v>000-000 :</v>
      </c>
      <c r="V68" s="11" t="str">
        <f t="shared" si="11"/>
        <v>000-000 :</v>
      </c>
      <c r="W68" s="11" t="str">
        <f t="shared" si="11"/>
        <v>000-000 :</v>
      </c>
      <c r="X68" s="11" t="str">
        <f t="shared" si="11"/>
        <v>000-000 :</v>
      </c>
      <c r="Y68" s="11" t="str">
        <f t="shared" si="2"/>
        <v>스핀들소음 :</v>
      </c>
      <c r="Z68" s="11" t="str">
        <f t="shared" si="3"/>
        <v>필터세척 :
FLOW   (T1, T4 : / T2, T3 : / T4 : )</v>
      </c>
      <c r="AA68" s="11" t="str">
        <f t="shared" si="4"/>
        <v/>
      </c>
      <c r="AB68" s="1"/>
      <c r="AC68" s="1"/>
      <c r="AD68" s="12"/>
      <c r="AE68" s="11" t="str">
        <f t="shared" si="5"/>
        <v/>
      </c>
      <c r="AF68" s="9"/>
      <c r="AG68" s="1"/>
      <c r="AH68" s="3"/>
    </row>
    <row r="69" spans="1:34" ht="34" x14ac:dyDescent="0.45">
      <c r="A69" s="4"/>
      <c r="B69" s="1"/>
      <c r="C69" s="1"/>
      <c r="D69" s="1"/>
      <c r="E69" s="1"/>
      <c r="F69" s="1"/>
      <c r="G69" s="1"/>
      <c r="H69" s="1"/>
      <c r="I69" s="1"/>
      <c r="J69" s="1"/>
      <c r="K69" s="1" t="str">
        <f>IF(LEN(A69)&gt;0, 상수!B$4, "")</f>
        <v/>
      </c>
      <c r="L69" s="1"/>
      <c r="M69" s="11" t="str">
        <f t="shared" si="12"/>
        <v xml:space="preserve">스핀들유격: </v>
      </c>
      <c r="N69" s="11" t="str">
        <f t="shared" si="12"/>
        <v xml:space="preserve">스핀들유격: </v>
      </c>
      <c r="O69" s="11" t="str">
        <f t="shared" si="12"/>
        <v xml:space="preserve">스핀들유격: </v>
      </c>
      <c r="P69" s="11" t="str">
        <f t="shared" si="12"/>
        <v xml:space="preserve">스핀들유격: </v>
      </c>
      <c r="Q69" s="11" t="str">
        <f t="shared" si="11"/>
        <v>000-000 :</v>
      </c>
      <c r="R69" s="11" t="str">
        <f t="shared" si="11"/>
        <v>000-000 :</v>
      </c>
      <c r="S69" s="11" t="str">
        <f t="shared" si="11"/>
        <v>000-000 :</v>
      </c>
      <c r="T69" s="11" t="str">
        <f t="shared" si="11"/>
        <v>000-000 :</v>
      </c>
      <c r="U69" s="11" t="str">
        <f t="shared" si="11"/>
        <v>000-000 :</v>
      </c>
      <c r="V69" s="11" t="str">
        <f t="shared" si="11"/>
        <v>000-000 :</v>
      </c>
      <c r="W69" s="11" t="str">
        <f t="shared" si="11"/>
        <v>000-000 :</v>
      </c>
      <c r="X69" s="11" t="str">
        <f t="shared" si="11"/>
        <v>000-000 :</v>
      </c>
      <c r="Y69" s="11" t="str">
        <f t="shared" si="2"/>
        <v>스핀들소음 :</v>
      </c>
      <c r="Z69" s="11" t="str">
        <f t="shared" si="3"/>
        <v>필터세척 :
FLOW   (T1, T4 : / T2, T3 : / T4 : )</v>
      </c>
      <c r="AA69" s="11" t="str">
        <f t="shared" si="4"/>
        <v/>
      </c>
      <c r="AB69" s="1"/>
      <c r="AC69" s="1"/>
      <c r="AD69" s="12"/>
      <c r="AE69" s="11" t="str">
        <f t="shared" si="5"/>
        <v/>
      </c>
      <c r="AF69" s="9"/>
      <c r="AG69" s="1"/>
      <c r="AH69" s="3"/>
    </row>
    <row r="70" spans="1:34" ht="34" x14ac:dyDescent="0.45">
      <c r="A70" s="4"/>
      <c r="B70" s="1"/>
      <c r="C70" s="1"/>
      <c r="D70" s="1"/>
      <c r="E70" s="1"/>
      <c r="F70" s="1"/>
      <c r="G70" s="1"/>
      <c r="H70" s="1"/>
      <c r="I70" s="1"/>
      <c r="J70" s="1"/>
      <c r="K70" s="1" t="str">
        <f>IF(LEN(A70)&gt;0, 상수!B$4, "")</f>
        <v/>
      </c>
      <c r="L70" s="1"/>
      <c r="M70" s="11" t="str">
        <f t="shared" si="12"/>
        <v xml:space="preserve">스핀들유격: </v>
      </c>
      <c r="N70" s="11" t="str">
        <f t="shared" si="12"/>
        <v xml:space="preserve">스핀들유격: </v>
      </c>
      <c r="O70" s="11" t="str">
        <f t="shared" si="12"/>
        <v xml:space="preserve">스핀들유격: </v>
      </c>
      <c r="P70" s="11" t="str">
        <f t="shared" si="12"/>
        <v xml:space="preserve">스핀들유격: </v>
      </c>
      <c r="Q70" s="11" t="str">
        <f t="shared" si="11"/>
        <v>000-000 :</v>
      </c>
      <c r="R70" s="11" t="str">
        <f t="shared" si="11"/>
        <v>000-000 :</v>
      </c>
      <c r="S70" s="11" t="str">
        <f t="shared" si="11"/>
        <v>000-000 :</v>
      </c>
      <c r="T70" s="11" t="str">
        <f t="shared" si="11"/>
        <v>000-000 :</v>
      </c>
      <c r="U70" s="11" t="str">
        <f t="shared" si="11"/>
        <v>000-000 :</v>
      </c>
      <c r="V70" s="11" t="str">
        <f t="shared" si="11"/>
        <v>000-000 :</v>
      </c>
      <c r="W70" s="11" t="str">
        <f t="shared" si="11"/>
        <v>000-000 :</v>
      </c>
      <c r="X70" s="11" t="str">
        <f t="shared" si="11"/>
        <v>000-000 :</v>
      </c>
      <c r="Y70" s="11" t="str">
        <f t="shared" si="2"/>
        <v>스핀들소음 :</v>
      </c>
      <c r="Z70" s="11" t="str">
        <f t="shared" si="3"/>
        <v>필터세척 :
FLOW   (T1, T4 : / T2, T3 : / T4 : )</v>
      </c>
      <c r="AA70" s="11" t="str">
        <f t="shared" si="4"/>
        <v/>
      </c>
      <c r="AB70" s="1"/>
      <c r="AC70" s="1"/>
      <c r="AD70" s="12"/>
      <c r="AE70" s="11" t="str">
        <f t="shared" si="5"/>
        <v/>
      </c>
      <c r="AF70" s="9"/>
      <c r="AG70" s="1"/>
      <c r="AH70" s="3"/>
    </row>
    <row r="71" spans="1:34" ht="34" x14ac:dyDescent="0.45">
      <c r="A71" s="4"/>
      <c r="B71" s="1"/>
      <c r="C71" s="1"/>
      <c r="D71" s="1"/>
      <c r="E71" s="1"/>
      <c r="F71" s="1"/>
      <c r="G71" s="1"/>
      <c r="H71" s="1"/>
      <c r="I71" s="1"/>
      <c r="J71" s="1"/>
      <c r="K71" s="1" t="str">
        <f>IF(LEN(A71)&gt;0, 상수!B$4, "")</f>
        <v/>
      </c>
      <c r="L71" s="1"/>
      <c r="M71" s="11" t="str">
        <f t="shared" si="12"/>
        <v xml:space="preserve">스핀들유격: </v>
      </c>
      <c r="N71" s="11" t="str">
        <f t="shared" si="12"/>
        <v xml:space="preserve">스핀들유격: </v>
      </c>
      <c r="O71" s="11" t="str">
        <f t="shared" si="12"/>
        <v xml:space="preserve">스핀들유격: </v>
      </c>
      <c r="P71" s="11" t="str">
        <f t="shared" si="12"/>
        <v xml:space="preserve">스핀들유격: </v>
      </c>
      <c r="Q71" s="11" t="str">
        <f t="shared" ref="Q71:X86" si="13">IF(MOD($AD71,5)=0, "000-000 :","-" )</f>
        <v>000-000 :</v>
      </c>
      <c r="R71" s="11" t="str">
        <f t="shared" si="13"/>
        <v>000-000 :</v>
      </c>
      <c r="S71" s="11" t="str">
        <f t="shared" si="13"/>
        <v>000-000 :</v>
      </c>
      <c r="T71" s="11" t="str">
        <f t="shared" si="13"/>
        <v>000-000 :</v>
      </c>
      <c r="U71" s="11" t="str">
        <f t="shared" si="13"/>
        <v>000-000 :</v>
      </c>
      <c r="V71" s="11" t="str">
        <f t="shared" si="13"/>
        <v>000-000 :</v>
      </c>
      <c r="W71" s="11" t="str">
        <f t="shared" si="13"/>
        <v>000-000 :</v>
      </c>
      <c r="X71" s="11" t="str">
        <f t="shared" si="13"/>
        <v>000-000 :</v>
      </c>
      <c r="Y71" s="11" t="str">
        <f t="shared" ref="Y71:Y134" si="14">IF(MOD($AD71,5)=0, "스핀들소음 :","-" )</f>
        <v>스핀들소음 :</v>
      </c>
      <c r="Z71" s="11" t="str">
        <f t="shared" ref="Z71:Z134" si="15">IF(MOD($AD71,40)=0, "필터세척 :"&amp; CHAR(10) &amp; "FLOW   (T1, T4 : / T2, T3 : / T4 : )","-" )</f>
        <v>필터세척 :
FLOW   (T1, T4 : / T2, T3 : / T4 : )</v>
      </c>
      <c r="AA71" s="11" t="str">
        <f t="shared" si="4"/>
        <v/>
      </c>
      <c r="AB71" s="1"/>
      <c r="AC71" s="1"/>
      <c r="AD71" s="12"/>
      <c r="AE71" s="11" t="str">
        <f t="shared" si="5"/>
        <v/>
      </c>
      <c r="AF71" s="9"/>
      <c r="AG71" s="1"/>
      <c r="AH71" s="3"/>
    </row>
    <row r="72" spans="1:34" ht="34" x14ac:dyDescent="0.45">
      <c r="A72" s="4"/>
      <c r="B72" s="1"/>
      <c r="C72" s="1"/>
      <c r="D72" s="1"/>
      <c r="E72" s="1"/>
      <c r="F72" s="1"/>
      <c r="G72" s="1"/>
      <c r="H72" s="1"/>
      <c r="I72" s="1"/>
      <c r="J72" s="1"/>
      <c r="K72" s="1" t="str">
        <f>IF(LEN(A72)&gt;0, 상수!B$4, "")</f>
        <v/>
      </c>
      <c r="L72" s="1"/>
      <c r="M72" s="11" t="str">
        <f t="shared" si="12"/>
        <v xml:space="preserve">스핀들유격: </v>
      </c>
      <c r="N72" s="11" t="str">
        <f t="shared" si="12"/>
        <v xml:space="preserve">스핀들유격: </v>
      </c>
      <c r="O72" s="11" t="str">
        <f t="shared" si="12"/>
        <v xml:space="preserve">스핀들유격: </v>
      </c>
      <c r="P72" s="11" t="str">
        <f t="shared" si="12"/>
        <v xml:space="preserve">스핀들유격: </v>
      </c>
      <c r="Q72" s="11" t="str">
        <f t="shared" si="13"/>
        <v>000-000 :</v>
      </c>
      <c r="R72" s="11" t="str">
        <f t="shared" si="13"/>
        <v>000-000 :</v>
      </c>
      <c r="S72" s="11" t="str">
        <f t="shared" si="13"/>
        <v>000-000 :</v>
      </c>
      <c r="T72" s="11" t="str">
        <f t="shared" si="13"/>
        <v>000-000 :</v>
      </c>
      <c r="U72" s="11" t="str">
        <f t="shared" si="13"/>
        <v>000-000 :</v>
      </c>
      <c r="V72" s="11" t="str">
        <f t="shared" si="13"/>
        <v>000-000 :</v>
      </c>
      <c r="W72" s="11" t="str">
        <f t="shared" si="13"/>
        <v>000-000 :</v>
      </c>
      <c r="X72" s="11" t="str">
        <f t="shared" si="13"/>
        <v>000-000 :</v>
      </c>
      <c r="Y72" s="11" t="str">
        <f t="shared" si="14"/>
        <v>스핀들소음 :</v>
      </c>
      <c r="Z72" s="11" t="str">
        <f t="shared" si="15"/>
        <v>필터세척 :
FLOW   (T1, T4 : / T2, T3 : / T4 : )</v>
      </c>
      <c r="AA72" s="11" t="str">
        <f t="shared" ref="AA72:AA135" si="16">IF($AD72="","",
  IF(MOD(AD72,160)=0,
    "TENSION (XL : / ZL : / XR : / ZR : / Y : )" &amp; CHAR(10) &amp;
    "필터교체",
    "-"
  )
)</f>
        <v/>
      </c>
      <c r="AB72" s="1"/>
      <c r="AC72" s="1"/>
      <c r="AD72" s="12"/>
      <c r="AE72" s="11" t="str">
        <f t="shared" ref="AE72:AE135" si="17">IF(AD72="","",
  IF(MOD($AD72,1)=0,
    "Dimensions: L W H",
    "-"
  )
)</f>
        <v/>
      </c>
      <c r="AF72" s="9"/>
      <c r="AG72" s="1"/>
      <c r="AH72" s="3"/>
    </row>
    <row r="73" spans="1:34" ht="34" x14ac:dyDescent="0.45">
      <c r="A73" s="4"/>
      <c r="B73" s="1"/>
      <c r="C73" s="1"/>
      <c r="D73" s="1"/>
      <c r="E73" s="1"/>
      <c r="F73" s="1"/>
      <c r="G73" s="1"/>
      <c r="H73" s="1"/>
      <c r="I73" s="1"/>
      <c r="J73" s="1"/>
      <c r="K73" s="1" t="str">
        <f>IF(LEN(A73)&gt;0, 상수!B$4, "")</f>
        <v/>
      </c>
      <c r="L73" s="1"/>
      <c r="M73" s="11" t="str">
        <f t="shared" si="12"/>
        <v xml:space="preserve">스핀들유격: </v>
      </c>
      <c r="N73" s="11" t="str">
        <f t="shared" si="12"/>
        <v xml:space="preserve">스핀들유격: </v>
      </c>
      <c r="O73" s="11" t="str">
        <f t="shared" si="12"/>
        <v xml:space="preserve">스핀들유격: </v>
      </c>
      <c r="P73" s="11" t="str">
        <f t="shared" si="12"/>
        <v xml:space="preserve">스핀들유격: </v>
      </c>
      <c r="Q73" s="11" t="str">
        <f t="shared" si="13"/>
        <v>000-000 :</v>
      </c>
      <c r="R73" s="11" t="str">
        <f t="shared" si="13"/>
        <v>000-000 :</v>
      </c>
      <c r="S73" s="11" t="str">
        <f t="shared" si="13"/>
        <v>000-000 :</v>
      </c>
      <c r="T73" s="11" t="str">
        <f t="shared" si="13"/>
        <v>000-000 :</v>
      </c>
      <c r="U73" s="11" t="str">
        <f t="shared" si="13"/>
        <v>000-000 :</v>
      </c>
      <c r="V73" s="11" t="str">
        <f t="shared" si="13"/>
        <v>000-000 :</v>
      </c>
      <c r="W73" s="11" t="str">
        <f t="shared" si="13"/>
        <v>000-000 :</v>
      </c>
      <c r="X73" s="11" t="str">
        <f t="shared" si="13"/>
        <v>000-000 :</v>
      </c>
      <c r="Y73" s="11" t="str">
        <f t="shared" si="14"/>
        <v>스핀들소음 :</v>
      </c>
      <c r="Z73" s="11" t="str">
        <f t="shared" si="15"/>
        <v>필터세척 :
FLOW   (T1, T4 : / T2, T3 : / T4 : )</v>
      </c>
      <c r="AA73" s="11" t="str">
        <f t="shared" si="16"/>
        <v/>
      </c>
      <c r="AB73" s="1"/>
      <c r="AC73" s="1"/>
      <c r="AD73" s="12"/>
      <c r="AE73" s="11" t="str">
        <f t="shared" si="17"/>
        <v/>
      </c>
      <c r="AF73" s="9"/>
      <c r="AG73" s="1"/>
      <c r="AH73" s="3"/>
    </row>
    <row r="74" spans="1:34" ht="34" x14ac:dyDescent="0.45">
      <c r="A74" s="4"/>
      <c r="B74" s="1"/>
      <c r="C74" s="1"/>
      <c r="D74" s="1"/>
      <c r="E74" s="1"/>
      <c r="F74" s="1"/>
      <c r="G74" s="1"/>
      <c r="H74" s="1"/>
      <c r="I74" s="1"/>
      <c r="J74" s="1"/>
      <c r="K74" s="1" t="str">
        <f>IF(LEN(A74)&gt;0, 상수!B$4, "")</f>
        <v/>
      </c>
      <c r="L74" s="1"/>
      <c r="M74" s="11" t="str">
        <f t="shared" si="12"/>
        <v xml:space="preserve">스핀들유격: </v>
      </c>
      <c r="N74" s="11" t="str">
        <f t="shared" si="12"/>
        <v xml:space="preserve">스핀들유격: </v>
      </c>
      <c r="O74" s="11" t="str">
        <f t="shared" si="12"/>
        <v xml:space="preserve">스핀들유격: </v>
      </c>
      <c r="P74" s="11" t="str">
        <f t="shared" si="12"/>
        <v xml:space="preserve">스핀들유격: </v>
      </c>
      <c r="Q74" s="11" t="str">
        <f t="shared" si="13"/>
        <v>000-000 :</v>
      </c>
      <c r="R74" s="11" t="str">
        <f t="shared" si="13"/>
        <v>000-000 :</v>
      </c>
      <c r="S74" s="11" t="str">
        <f t="shared" si="13"/>
        <v>000-000 :</v>
      </c>
      <c r="T74" s="11" t="str">
        <f t="shared" si="13"/>
        <v>000-000 :</v>
      </c>
      <c r="U74" s="11" t="str">
        <f t="shared" si="13"/>
        <v>000-000 :</v>
      </c>
      <c r="V74" s="11" t="str">
        <f t="shared" si="13"/>
        <v>000-000 :</v>
      </c>
      <c r="W74" s="11" t="str">
        <f t="shared" si="13"/>
        <v>000-000 :</v>
      </c>
      <c r="X74" s="11" t="str">
        <f t="shared" si="13"/>
        <v>000-000 :</v>
      </c>
      <c r="Y74" s="11" t="str">
        <f t="shared" si="14"/>
        <v>스핀들소음 :</v>
      </c>
      <c r="Z74" s="11" t="str">
        <f t="shared" si="15"/>
        <v>필터세척 :
FLOW   (T1, T4 : / T2, T3 : / T4 : )</v>
      </c>
      <c r="AA74" s="11" t="str">
        <f t="shared" si="16"/>
        <v/>
      </c>
      <c r="AB74" s="1"/>
      <c r="AC74" s="1"/>
      <c r="AD74" s="12"/>
      <c r="AE74" s="11" t="str">
        <f t="shared" si="17"/>
        <v/>
      </c>
      <c r="AF74" s="9"/>
      <c r="AG74" s="1"/>
      <c r="AH74" s="3"/>
    </row>
    <row r="75" spans="1:34" ht="34" x14ac:dyDescent="0.45">
      <c r="A75" s="4"/>
      <c r="B75" s="1"/>
      <c r="C75" s="1"/>
      <c r="D75" s="1"/>
      <c r="E75" s="1"/>
      <c r="F75" s="1"/>
      <c r="G75" s="1"/>
      <c r="H75" s="1"/>
      <c r="I75" s="1"/>
      <c r="J75" s="1"/>
      <c r="K75" s="1" t="str">
        <f>IF(LEN(A75)&gt;0, 상수!B$4, "")</f>
        <v/>
      </c>
      <c r="L75" s="1"/>
      <c r="M75" s="11" t="str">
        <f t="shared" si="12"/>
        <v xml:space="preserve">스핀들유격: </v>
      </c>
      <c r="N75" s="11" t="str">
        <f t="shared" si="12"/>
        <v xml:space="preserve">스핀들유격: </v>
      </c>
      <c r="O75" s="11" t="str">
        <f t="shared" si="12"/>
        <v xml:space="preserve">스핀들유격: </v>
      </c>
      <c r="P75" s="11" t="str">
        <f t="shared" si="12"/>
        <v xml:space="preserve">스핀들유격: </v>
      </c>
      <c r="Q75" s="11" t="str">
        <f t="shared" si="13"/>
        <v>000-000 :</v>
      </c>
      <c r="R75" s="11" t="str">
        <f t="shared" si="13"/>
        <v>000-000 :</v>
      </c>
      <c r="S75" s="11" t="str">
        <f t="shared" si="13"/>
        <v>000-000 :</v>
      </c>
      <c r="T75" s="11" t="str">
        <f t="shared" si="13"/>
        <v>000-000 :</v>
      </c>
      <c r="U75" s="11" t="str">
        <f t="shared" si="13"/>
        <v>000-000 :</v>
      </c>
      <c r="V75" s="11" t="str">
        <f t="shared" si="13"/>
        <v>000-000 :</v>
      </c>
      <c r="W75" s="11" t="str">
        <f t="shared" si="13"/>
        <v>000-000 :</v>
      </c>
      <c r="X75" s="11" t="str">
        <f t="shared" si="13"/>
        <v>000-000 :</v>
      </c>
      <c r="Y75" s="11" t="str">
        <f t="shared" si="14"/>
        <v>스핀들소음 :</v>
      </c>
      <c r="Z75" s="11" t="str">
        <f t="shared" si="15"/>
        <v>필터세척 :
FLOW   (T1, T4 : / T2, T3 : / T4 : )</v>
      </c>
      <c r="AA75" s="11" t="str">
        <f t="shared" si="16"/>
        <v/>
      </c>
      <c r="AB75" s="1"/>
      <c r="AC75" s="1"/>
      <c r="AD75" s="12"/>
      <c r="AE75" s="11" t="str">
        <f t="shared" si="17"/>
        <v/>
      </c>
      <c r="AF75" s="9"/>
      <c r="AG75" s="1"/>
      <c r="AH75" s="3"/>
    </row>
    <row r="76" spans="1:34" ht="34" x14ac:dyDescent="0.45">
      <c r="A76" s="4"/>
      <c r="B76" s="1"/>
      <c r="C76" s="1"/>
      <c r="D76" s="1"/>
      <c r="E76" s="1"/>
      <c r="F76" s="1"/>
      <c r="G76" s="1"/>
      <c r="H76" s="1"/>
      <c r="I76" s="1"/>
      <c r="J76" s="1"/>
      <c r="K76" s="1" t="str">
        <f>IF(LEN(A76)&gt;0, 상수!B$4, "")</f>
        <v/>
      </c>
      <c r="L76" s="1"/>
      <c r="M76" s="11" t="str">
        <f t="shared" si="12"/>
        <v xml:space="preserve">스핀들유격: </v>
      </c>
      <c r="N76" s="11" t="str">
        <f t="shared" si="12"/>
        <v xml:space="preserve">스핀들유격: </v>
      </c>
      <c r="O76" s="11" t="str">
        <f t="shared" si="12"/>
        <v xml:space="preserve">스핀들유격: </v>
      </c>
      <c r="P76" s="11" t="str">
        <f t="shared" si="12"/>
        <v xml:space="preserve">스핀들유격: </v>
      </c>
      <c r="Q76" s="11" t="str">
        <f t="shared" si="13"/>
        <v>000-000 :</v>
      </c>
      <c r="R76" s="11" t="str">
        <f t="shared" si="13"/>
        <v>000-000 :</v>
      </c>
      <c r="S76" s="11" t="str">
        <f t="shared" si="13"/>
        <v>000-000 :</v>
      </c>
      <c r="T76" s="11" t="str">
        <f t="shared" si="13"/>
        <v>000-000 :</v>
      </c>
      <c r="U76" s="11" t="str">
        <f t="shared" si="13"/>
        <v>000-000 :</v>
      </c>
      <c r="V76" s="11" t="str">
        <f t="shared" si="13"/>
        <v>000-000 :</v>
      </c>
      <c r="W76" s="11" t="str">
        <f t="shared" si="13"/>
        <v>000-000 :</v>
      </c>
      <c r="X76" s="11" t="str">
        <f t="shared" si="13"/>
        <v>000-000 :</v>
      </c>
      <c r="Y76" s="11" t="str">
        <f t="shared" si="14"/>
        <v>스핀들소음 :</v>
      </c>
      <c r="Z76" s="11" t="str">
        <f t="shared" si="15"/>
        <v>필터세척 :
FLOW   (T1, T4 : / T2, T3 : / T4 : )</v>
      </c>
      <c r="AA76" s="11" t="str">
        <f t="shared" si="16"/>
        <v/>
      </c>
      <c r="AB76" s="1"/>
      <c r="AC76" s="1"/>
      <c r="AD76" s="12"/>
      <c r="AE76" s="11" t="str">
        <f t="shared" si="17"/>
        <v/>
      </c>
      <c r="AF76" s="9"/>
      <c r="AG76" s="1"/>
      <c r="AH76" s="3"/>
    </row>
    <row r="77" spans="1:34" ht="34" x14ac:dyDescent="0.45">
      <c r="A77" s="4"/>
      <c r="B77" s="1"/>
      <c r="C77" s="1"/>
      <c r="D77" s="1"/>
      <c r="E77" s="1"/>
      <c r="F77" s="1"/>
      <c r="G77" s="1"/>
      <c r="H77" s="1"/>
      <c r="I77" s="1"/>
      <c r="J77" s="1"/>
      <c r="K77" s="1" t="str">
        <f>IF(LEN(A77)&gt;0, 상수!B$4, "")</f>
        <v/>
      </c>
      <c r="L77" s="1"/>
      <c r="M77" s="11" t="str">
        <f t="shared" si="12"/>
        <v xml:space="preserve">스핀들유격: </v>
      </c>
      <c r="N77" s="11" t="str">
        <f t="shared" si="12"/>
        <v xml:space="preserve">스핀들유격: </v>
      </c>
      <c r="O77" s="11" t="str">
        <f t="shared" si="12"/>
        <v xml:space="preserve">스핀들유격: </v>
      </c>
      <c r="P77" s="11" t="str">
        <f t="shared" si="12"/>
        <v xml:space="preserve">스핀들유격: </v>
      </c>
      <c r="Q77" s="11" t="str">
        <f t="shared" si="13"/>
        <v>000-000 :</v>
      </c>
      <c r="R77" s="11" t="str">
        <f t="shared" si="13"/>
        <v>000-000 :</v>
      </c>
      <c r="S77" s="11" t="str">
        <f t="shared" si="13"/>
        <v>000-000 :</v>
      </c>
      <c r="T77" s="11" t="str">
        <f t="shared" si="13"/>
        <v>000-000 :</v>
      </c>
      <c r="U77" s="11" t="str">
        <f t="shared" si="13"/>
        <v>000-000 :</v>
      </c>
      <c r="V77" s="11" t="str">
        <f t="shared" si="13"/>
        <v>000-000 :</v>
      </c>
      <c r="W77" s="11" t="str">
        <f t="shared" si="13"/>
        <v>000-000 :</v>
      </c>
      <c r="X77" s="11" t="str">
        <f t="shared" si="13"/>
        <v>000-000 :</v>
      </c>
      <c r="Y77" s="11" t="str">
        <f t="shared" si="14"/>
        <v>스핀들소음 :</v>
      </c>
      <c r="Z77" s="11" t="str">
        <f t="shared" si="15"/>
        <v>필터세척 :
FLOW   (T1, T4 : / T2, T3 : / T4 : )</v>
      </c>
      <c r="AA77" s="11" t="str">
        <f t="shared" si="16"/>
        <v/>
      </c>
      <c r="AB77" s="1"/>
      <c r="AC77" s="1"/>
      <c r="AD77" s="12"/>
      <c r="AE77" s="11" t="str">
        <f t="shared" si="17"/>
        <v/>
      </c>
      <c r="AF77" s="9"/>
      <c r="AG77" s="1"/>
      <c r="AH77" s="3"/>
    </row>
    <row r="78" spans="1:34" ht="34" x14ac:dyDescent="0.45">
      <c r="A78" s="4"/>
      <c r="B78" s="1"/>
      <c r="C78" s="1"/>
      <c r="D78" s="1"/>
      <c r="E78" s="1"/>
      <c r="F78" s="1"/>
      <c r="G78" s="1"/>
      <c r="H78" s="1"/>
      <c r="I78" s="1"/>
      <c r="J78" s="1"/>
      <c r="K78" s="1" t="str">
        <f>IF(LEN(A78)&gt;0, 상수!B$4, "")</f>
        <v/>
      </c>
      <c r="L78" s="1"/>
      <c r="M78" s="11" t="str">
        <f t="shared" si="12"/>
        <v xml:space="preserve">스핀들유격: </v>
      </c>
      <c r="N78" s="11" t="str">
        <f t="shared" si="12"/>
        <v xml:space="preserve">스핀들유격: </v>
      </c>
      <c r="O78" s="11" t="str">
        <f t="shared" si="12"/>
        <v xml:space="preserve">스핀들유격: </v>
      </c>
      <c r="P78" s="11" t="str">
        <f t="shared" si="12"/>
        <v xml:space="preserve">스핀들유격: </v>
      </c>
      <c r="Q78" s="11" t="str">
        <f t="shared" si="13"/>
        <v>000-000 :</v>
      </c>
      <c r="R78" s="11" t="str">
        <f t="shared" si="13"/>
        <v>000-000 :</v>
      </c>
      <c r="S78" s="11" t="str">
        <f t="shared" si="13"/>
        <v>000-000 :</v>
      </c>
      <c r="T78" s="11" t="str">
        <f t="shared" si="13"/>
        <v>000-000 :</v>
      </c>
      <c r="U78" s="11" t="str">
        <f t="shared" si="13"/>
        <v>000-000 :</v>
      </c>
      <c r="V78" s="11" t="str">
        <f t="shared" si="13"/>
        <v>000-000 :</v>
      </c>
      <c r="W78" s="11" t="str">
        <f t="shared" si="13"/>
        <v>000-000 :</v>
      </c>
      <c r="X78" s="11" t="str">
        <f t="shared" si="13"/>
        <v>000-000 :</v>
      </c>
      <c r="Y78" s="11" t="str">
        <f t="shared" si="14"/>
        <v>스핀들소음 :</v>
      </c>
      <c r="Z78" s="11" t="str">
        <f t="shared" si="15"/>
        <v>필터세척 :
FLOW   (T1, T4 : / T2, T3 : / T4 : )</v>
      </c>
      <c r="AA78" s="11" t="str">
        <f t="shared" si="16"/>
        <v/>
      </c>
      <c r="AB78" s="1"/>
      <c r="AC78" s="1"/>
      <c r="AD78" s="12"/>
      <c r="AE78" s="11" t="str">
        <f t="shared" si="17"/>
        <v/>
      </c>
      <c r="AF78" s="9"/>
      <c r="AG78" s="1"/>
      <c r="AH78" s="3"/>
    </row>
    <row r="79" spans="1:34" ht="34" x14ac:dyDescent="0.45">
      <c r="A79" s="4"/>
      <c r="B79" s="1"/>
      <c r="C79" s="1"/>
      <c r="D79" s="1"/>
      <c r="E79" s="1"/>
      <c r="F79" s="1"/>
      <c r="G79" s="1"/>
      <c r="H79" s="1"/>
      <c r="I79" s="1"/>
      <c r="J79" s="1"/>
      <c r="K79" s="1" t="str">
        <f>IF(LEN(A79)&gt;0, 상수!B$4, "")</f>
        <v/>
      </c>
      <c r="L79" s="1"/>
      <c r="M79" s="11" t="str">
        <f t="shared" si="12"/>
        <v xml:space="preserve">스핀들유격: </v>
      </c>
      <c r="N79" s="11" t="str">
        <f t="shared" si="12"/>
        <v xml:space="preserve">스핀들유격: </v>
      </c>
      <c r="O79" s="11" t="str">
        <f t="shared" si="12"/>
        <v xml:space="preserve">스핀들유격: </v>
      </c>
      <c r="P79" s="11" t="str">
        <f t="shared" si="12"/>
        <v xml:space="preserve">스핀들유격: </v>
      </c>
      <c r="Q79" s="11" t="str">
        <f t="shared" si="13"/>
        <v>000-000 :</v>
      </c>
      <c r="R79" s="11" t="str">
        <f t="shared" si="13"/>
        <v>000-000 :</v>
      </c>
      <c r="S79" s="11" t="str">
        <f t="shared" si="13"/>
        <v>000-000 :</v>
      </c>
      <c r="T79" s="11" t="str">
        <f t="shared" si="13"/>
        <v>000-000 :</v>
      </c>
      <c r="U79" s="11" t="str">
        <f t="shared" si="13"/>
        <v>000-000 :</v>
      </c>
      <c r="V79" s="11" t="str">
        <f t="shared" si="13"/>
        <v>000-000 :</v>
      </c>
      <c r="W79" s="11" t="str">
        <f t="shared" si="13"/>
        <v>000-000 :</v>
      </c>
      <c r="X79" s="11" t="str">
        <f t="shared" si="13"/>
        <v>000-000 :</v>
      </c>
      <c r="Y79" s="11" t="str">
        <f t="shared" si="14"/>
        <v>스핀들소음 :</v>
      </c>
      <c r="Z79" s="11" t="str">
        <f t="shared" si="15"/>
        <v>필터세척 :
FLOW   (T1, T4 : / T2, T3 : / T4 : )</v>
      </c>
      <c r="AA79" s="11" t="str">
        <f t="shared" si="16"/>
        <v/>
      </c>
      <c r="AB79" s="1"/>
      <c r="AC79" s="1"/>
      <c r="AD79" s="12"/>
      <c r="AE79" s="11" t="str">
        <f t="shared" si="17"/>
        <v/>
      </c>
      <c r="AF79" s="9"/>
      <c r="AG79" s="1"/>
      <c r="AH79" s="3"/>
    </row>
    <row r="80" spans="1:34" ht="34" x14ac:dyDescent="0.45">
      <c r="A80" s="4"/>
      <c r="B80" s="1"/>
      <c r="C80" s="1"/>
      <c r="D80" s="1"/>
      <c r="E80" s="1"/>
      <c r="F80" s="1"/>
      <c r="G80" s="1"/>
      <c r="H80" s="1"/>
      <c r="I80" s="1"/>
      <c r="J80" s="1"/>
      <c r="K80" s="1" t="str">
        <f>IF(LEN(A80)&gt;0, 상수!B$4, "")</f>
        <v/>
      </c>
      <c r="L80" s="1"/>
      <c r="M80" s="11" t="str">
        <f t="shared" si="12"/>
        <v xml:space="preserve">스핀들유격: </v>
      </c>
      <c r="N80" s="11" t="str">
        <f t="shared" si="12"/>
        <v xml:space="preserve">스핀들유격: </v>
      </c>
      <c r="O80" s="11" t="str">
        <f t="shared" si="12"/>
        <v xml:space="preserve">스핀들유격: </v>
      </c>
      <c r="P80" s="11" t="str">
        <f t="shared" si="12"/>
        <v xml:space="preserve">스핀들유격: </v>
      </c>
      <c r="Q80" s="11" t="str">
        <f t="shared" si="13"/>
        <v>000-000 :</v>
      </c>
      <c r="R80" s="11" t="str">
        <f t="shared" si="13"/>
        <v>000-000 :</v>
      </c>
      <c r="S80" s="11" t="str">
        <f t="shared" si="13"/>
        <v>000-000 :</v>
      </c>
      <c r="T80" s="11" t="str">
        <f t="shared" si="13"/>
        <v>000-000 :</v>
      </c>
      <c r="U80" s="11" t="str">
        <f t="shared" si="13"/>
        <v>000-000 :</v>
      </c>
      <c r="V80" s="11" t="str">
        <f t="shared" si="13"/>
        <v>000-000 :</v>
      </c>
      <c r="W80" s="11" t="str">
        <f t="shared" si="13"/>
        <v>000-000 :</v>
      </c>
      <c r="X80" s="11" t="str">
        <f t="shared" si="13"/>
        <v>000-000 :</v>
      </c>
      <c r="Y80" s="11" t="str">
        <f t="shared" si="14"/>
        <v>스핀들소음 :</v>
      </c>
      <c r="Z80" s="11" t="str">
        <f t="shared" si="15"/>
        <v>필터세척 :
FLOW   (T1, T4 : / T2, T3 : / T4 : )</v>
      </c>
      <c r="AA80" s="11" t="str">
        <f t="shared" si="16"/>
        <v/>
      </c>
      <c r="AB80" s="1"/>
      <c r="AC80" s="1"/>
      <c r="AD80" s="12"/>
      <c r="AE80" s="11" t="str">
        <f t="shared" si="17"/>
        <v/>
      </c>
      <c r="AF80" s="9"/>
      <c r="AG80" s="1"/>
      <c r="AH80" s="3"/>
    </row>
    <row r="81" spans="1:34" ht="34" x14ac:dyDescent="0.45">
      <c r="A81" s="4"/>
      <c r="B81" s="1"/>
      <c r="C81" s="1"/>
      <c r="D81" s="1"/>
      <c r="E81" s="1"/>
      <c r="F81" s="1"/>
      <c r="G81" s="1"/>
      <c r="H81" s="1"/>
      <c r="I81" s="1"/>
      <c r="J81" s="1"/>
      <c r="K81" s="1" t="str">
        <f>IF(LEN(A81)&gt;0, 상수!B$4, "")</f>
        <v/>
      </c>
      <c r="L81" s="1"/>
      <c r="M81" s="11" t="str">
        <f t="shared" si="12"/>
        <v xml:space="preserve">스핀들유격: </v>
      </c>
      <c r="N81" s="11" t="str">
        <f t="shared" si="12"/>
        <v xml:space="preserve">스핀들유격: </v>
      </c>
      <c r="O81" s="11" t="str">
        <f t="shared" si="12"/>
        <v xml:space="preserve">스핀들유격: </v>
      </c>
      <c r="P81" s="11" t="str">
        <f t="shared" si="12"/>
        <v xml:space="preserve">스핀들유격: </v>
      </c>
      <c r="Q81" s="11" t="str">
        <f t="shared" si="13"/>
        <v>000-000 :</v>
      </c>
      <c r="R81" s="11" t="str">
        <f t="shared" si="13"/>
        <v>000-000 :</v>
      </c>
      <c r="S81" s="11" t="str">
        <f t="shared" si="13"/>
        <v>000-000 :</v>
      </c>
      <c r="T81" s="11" t="str">
        <f t="shared" si="13"/>
        <v>000-000 :</v>
      </c>
      <c r="U81" s="11" t="str">
        <f t="shared" si="13"/>
        <v>000-000 :</v>
      </c>
      <c r="V81" s="11" t="str">
        <f t="shared" si="13"/>
        <v>000-000 :</v>
      </c>
      <c r="W81" s="11" t="str">
        <f t="shared" si="13"/>
        <v>000-000 :</v>
      </c>
      <c r="X81" s="11" t="str">
        <f t="shared" si="13"/>
        <v>000-000 :</v>
      </c>
      <c r="Y81" s="11" t="str">
        <f t="shared" si="14"/>
        <v>스핀들소음 :</v>
      </c>
      <c r="Z81" s="11" t="str">
        <f t="shared" si="15"/>
        <v>필터세척 :
FLOW   (T1, T4 : / T2, T3 : / T4 : )</v>
      </c>
      <c r="AA81" s="11" t="str">
        <f t="shared" si="16"/>
        <v/>
      </c>
      <c r="AB81" s="1"/>
      <c r="AC81" s="1"/>
      <c r="AD81" s="12"/>
      <c r="AE81" s="11" t="str">
        <f t="shared" si="17"/>
        <v/>
      </c>
      <c r="AF81" s="9"/>
      <c r="AG81" s="1"/>
      <c r="AH81" s="3"/>
    </row>
    <row r="82" spans="1:34" ht="34" x14ac:dyDescent="0.45">
      <c r="A82" s="4"/>
      <c r="B82" s="1"/>
      <c r="C82" s="1"/>
      <c r="D82" s="1"/>
      <c r="E82" s="1"/>
      <c r="F82" s="1"/>
      <c r="G82" s="1"/>
      <c r="H82" s="1"/>
      <c r="I82" s="1"/>
      <c r="J82" s="1"/>
      <c r="K82" s="1" t="str">
        <f>IF(LEN(A82)&gt;0, 상수!B$4, "")</f>
        <v/>
      </c>
      <c r="L82" s="1"/>
      <c r="M82" s="11" t="str">
        <f t="shared" si="12"/>
        <v xml:space="preserve">스핀들유격: </v>
      </c>
      <c r="N82" s="11" t="str">
        <f t="shared" si="12"/>
        <v xml:space="preserve">스핀들유격: </v>
      </c>
      <c r="O82" s="11" t="str">
        <f t="shared" si="12"/>
        <v xml:space="preserve">스핀들유격: </v>
      </c>
      <c r="P82" s="11" t="str">
        <f t="shared" si="12"/>
        <v xml:space="preserve">스핀들유격: </v>
      </c>
      <c r="Q82" s="11" t="str">
        <f t="shared" si="13"/>
        <v>000-000 :</v>
      </c>
      <c r="R82" s="11" t="str">
        <f t="shared" si="13"/>
        <v>000-000 :</v>
      </c>
      <c r="S82" s="11" t="str">
        <f t="shared" si="13"/>
        <v>000-000 :</v>
      </c>
      <c r="T82" s="11" t="str">
        <f t="shared" si="13"/>
        <v>000-000 :</v>
      </c>
      <c r="U82" s="11" t="str">
        <f t="shared" si="13"/>
        <v>000-000 :</v>
      </c>
      <c r="V82" s="11" t="str">
        <f t="shared" si="13"/>
        <v>000-000 :</v>
      </c>
      <c r="W82" s="11" t="str">
        <f t="shared" si="13"/>
        <v>000-000 :</v>
      </c>
      <c r="X82" s="11" t="str">
        <f t="shared" si="13"/>
        <v>000-000 :</v>
      </c>
      <c r="Y82" s="11" t="str">
        <f t="shared" si="14"/>
        <v>스핀들소음 :</v>
      </c>
      <c r="Z82" s="11" t="str">
        <f t="shared" si="15"/>
        <v>필터세척 :
FLOW   (T1, T4 : / T2, T3 : / T4 : )</v>
      </c>
      <c r="AA82" s="11" t="str">
        <f t="shared" si="16"/>
        <v/>
      </c>
      <c r="AB82" s="1"/>
      <c r="AC82" s="1"/>
      <c r="AD82" s="12"/>
      <c r="AE82" s="11" t="str">
        <f t="shared" si="17"/>
        <v/>
      </c>
      <c r="AF82" s="9"/>
      <c r="AG82" s="1"/>
      <c r="AH82" s="3"/>
    </row>
    <row r="83" spans="1:34" ht="34" x14ac:dyDescent="0.45">
      <c r="A83" s="4"/>
      <c r="B83" s="1"/>
      <c r="C83" s="1"/>
      <c r="D83" s="1"/>
      <c r="E83" s="1"/>
      <c r="F83" s="1"/>
      <c r="G83" s="1"/>
      <c r="H83" s="1"/>
      <c r="I83" s="1"/>
      <c r="J83" s="1"/>
      <c r="K83" s="1" t="str">
        <f>IF(LEN(A83)&gt;0, 상수!B$4, "")</f>
        <v/>
      </c>
      <c r="L83" s="1"/>
      <c r="M83" s="11" t="str">
        <f t="shared" si="12"/>
        <v xml:space="preserve">스핀들유격: </v>
      </c>
      <c r="N83" s="11" t="str">
        <f t="shared" si="12"/>
        <v xml:space="preserve">스핀들유격: </v>
      </c>
      <c r="O83" s="11" t="str">
        <f t="shared" si="12"/>
        <v xml:space="preserve">스핀들유격: </v>
      </c>
      <c r="P83" s="11" t="str">
        <f t="shared" si="12"/>
        <v xml:space="preserve">스핀들유격: </v>
      </c>
      <c r="Q83" s="11" t="str">
        <f t="shared" si="13"/>
        <v>000-000 :</v>
      </c>
      <c r="R83" s="11" t="str">
        <f t="shared" si="13"/>
        <v>000-000 :</v>
      </c>
      <c r="S83" s="11" t="str">
        <f t="shared" si="13"/>
        <v>000-000 :</v>
      </c>
      <c r="T83" s="11" t="str">
        <f t="shared" si="13"/>
        <v>000-000 :</v>
      </c>
      <c r="U83" s="11" t="str">
        <f t="shared" si="13"/>
        <v>000-000 :</v>
      </c>
      <c r="V83" s="11" t="str">
        <f t="shared" si="13"/>
        <v>000-000 :</v>
      </c>
      <c r="W83" s="11" t="str">
        <f t="shared" si="13"/>
        <v>000-000 :</v>
      </c>
      <c r="X83" s="11" t="str">
        <f t="shared" si="13"/>
        <v>000-000 :</v>
      </c>
      <c r="Y83" s="11" t="str">
        <f t="shared" si="14"/>
        <v>스핀들소음 :</v>
      </c>
      <c r="Z83" s="11" t="str">
        <f t="shared" si="15"/>
        <v>필터세척 :
FLOW   (T1, T4 : / T2, T3 : / T4 : )</v>
      </c>
      <c r="AA83" s="11" t="str">
        <f t="shared" si="16"/>
        <v/>
      </c>
      <c r="AB83" s="1"/>
      <c r="AC83" s="1"/>
      <c r="AD83" s="12"/>
      <c r="AE83" s="11" t="str">
        <f t="shared" si="17"/>
        <v/>
      </c>
      <c r="AF83" s="9"/>
      <c r="AG83" s="1"/>
      <c r="AH83" s="3"/>
    </row>
    <row r="84" spans="1:34" ht="34" x14ac:dyDescent="0.45">
      <c r="A84" s="4"/>
      <c r="B84" s="1"/>
      <c r="C84" s="1"/>
      <c r="D84" s="1"/>
      <c r="E84" s="1"/>
      <c r="F84" s="1"/>
      <c r="G84" s="1"/>
      <c r="H84" s="1"/>
      <c r="I84" s="1"/>
      <c r="J84" s="1"/>
      <c r="K84" s="1" t="str">
        <f>IF(LEN(A84)&gt;0, 상수!B$4, "")</f>
        <v/>
      </c>
      <c r="L84" s="1"/>
      <c r="M84" s="11" t="str">
        <f t="shared" si="12"/>
        <v xml:space="preserve">스핀들유격: </v>
      </c>
      <c r="N84" s="11" t="str">
        <f t="shared" si="12"/>
        <v xml:space="preserve">스핀들유격: </v>
      </c>
      <c r="O84" s="11" t="str">
        <f t="shared" si="12"/>
        <v xml:space="preserve">스핀들유격: </v>
      </c>
      <c r="P84" s="11" t="str">
        <f t="shared" si="12"/>
        <v xml:space="preserve">스핀들유격: </v>
      </c>
      <c r="Q84" s="11" t="str">
        <f t="shared" si="13"/>
        <v>000-000 :</v>
      </c>
      <c r="R84" s="11" t="str">
        <f t="shared" si="13"/>
        <v>000-000 :</v>
      </c>
      <c r="S84" s="11" t="str">
        <f t="shared" si="13"/>
        <v>000-000 :</v>
      </c>
      <c r="T84" s="11" t="str">
        <f t="shared" si="13"/>
        <v>000-000 :</v>
      </c>
      <c r="U84" s="11" t="str">
        <f t="shared" si="13"/>
        <v>000-000 :</v>
      </c>
      <c r="V84" s="11" t="str">
        <f t="shared" si="13"/>
        <v>000-000 :</v>
      </c>
      <c r="W84" s="11" t="str">
        <f t="shared" si="13"/>
        <v>000-000 :</v>
      </c>
      <c r="X84" s="11" t="str">
        <f t="shared" si="13"/>
        <v>000-000 :</v>
      </c>
      <c r="Y84" s="11" t="str">
        <f t="shared" si="14"/>
        <v>스핀들소음 :</v>
      </c>
      <c r="Z84" s="11" t="str">
        <f t="shared" si="15"/>
        <v>필터세척 :
FLOW   (T1, T4 : / T2, T3 : / T4 : )</v>
      </c>
      <c r="AA84" s="11" t="str">
        <f t="shared" si="16"/>
        <v/>
      </c>
      <c r="AB84" s="1"/>
      <c r="AC84" s="1"/>
      <c r="AD84" s="12"/>
      <c r="AE84" s="11" t="str">
        <f t="shared" si="17"/>
        <v/>
      </c>
      <c r="AF84" s="9"/>
      <c r="AG84" s="1"/>
      <c r="AH84" s="3"/>
    </row>
    <row r="85" spans="1:34" ht="34" x14ac:dyDescent="0.45">
      <c r="A85" s="4"/>
      <c r="B85" s="1"/>
      <c r="C85" s="1"/>
      <c r="D85" s="1"/>
      <c r="E85" s="1"/>
      <c r="F85" s="1"/>
      <c r="G85" s="1"/>
      <c r="H85" s="1"/>
      <c r="I85" s="1"/>
      <c r="J85" s="1"/>
      <c r="K85" s="1" t="str">
        <f>IF(LEN(A85)&gt;0, 상수!B$4, "")</f>
        <v/>
      </c>
      <c r="L85" s="1"/>
      <c r="M85" s="11" t="str">
        <f t="shared" si="12"/>
        <v xml:space="preserve">스핀들유격: </v>
      </c>
      <c r="N85" s="11" t="str">
        <f t="shared" si="12"/>
        <v xml:space="preserve">스핀들유격: </v>
      </c>
      <c r="O85" s="11" t="str">
        <f t="shared" si="12"/>
        <v xml:space="preserve">스핀들유격: </v>
      </c>
      <c r="P85" s="11" t="str">
        <f t="shared" si="12"/>
        <v xml:space="preserve">스핀들유격: </v>
      </c>
      <c r="Q85" s="11" t="str">
        <f t="shared" si="13"/>
        <v>000-000 :</v>
      </c>
      <c r="R85" s="11" t="str">
        <f t="shared" si="13"/>
        <v>000-000 :</v>
      </c>
      <c r="S85" s="11" t="str">
        <f t="shared" si="13"/>
        <v>000-000 :</v>
      </c>
      <c r="T85" s="11" t="str">
        <f t="shared" si="13"/>
        <v>000-000 :</v>
      </c>
      <c r="U85" s="11" t="str">
        <f t="shared" si="13"/>
        <v>000-000 :</v>
      </c>
      <c r="V85" s="11" t="str">
        <f t="shared" si="13"/>
        <v>000-000 :</v>
      </c>
      <c r="W85" s="11" t="str">
        <f t="shared" si="13"/>
        <v>000-000 :</v>
      </c>
      <c r="X85" s="11" t="str">
        <f t="shared" si="13"/>
        <v>000-000 :</v>
      </c>
      <c r="Y85" s="11" t="str">
        <f t="shared" si="14"/>
        <v>스핀들소음 :</v>
      </c>
      <c r="Z85" s="11" t="str">
        <f t="shared" si="15"/>
        <v>필터세척 :
FLOW   (T1, T4 : / T2, T3 : / T4 : )</v>
      </c>
      <c r="AA85" s="11" t="str">
        <f t="shared" si="16"/>
        <v/>
      </c>
      <c r="AB85" s="1"/>
      <c r="AC85" s="1"/>
      <c r="AD85" s="12"/>
      <c r="AE85" s="11" t="str">
        <f t="shared" si="17"/>
        <v/>
      </c>
      <c r="AF85" s="9"/>
      <c r="AG85" s="1"/>
      <c r="AH85" s="3"/>
    </row>
    <row r="86" spans="1:34" ht="17" customHeight="1" x14ac:dyDescent="0.45">
      <c r="A86" s="4"/>
      <c r="B86" s="1"/>
      <c r="C86" s="1"/>
      <c r="D86" s="1"/>
      <c r="E86" s="1"/>
      <c r="F86" s="1"/>
      <c r="G86" s="1"/>
      <c r="H86" s="1"/>
      <c r="I86" s="1"/>
      <c r="J86" s="1"/>
      <c r="K86" s="1" t="str">
        <f>IF(LEN(A86)&gt;0, 상수!B$4, "")</f>
        <v/>
      </c>
      <c r="L86" s="1"/>
      <c r="M86" s="11" t="str">
        <f t="shared" si="12"/>
        <v xml:space="preserve">스핀들유격: </v>
      </c>
      <c r="N86" s="11" t="str">
        <f t="shared" si="12"/>
        <v xml:space="preserve">스핀들유격: </v>
      </c>
      <c r="O86" s="11" t="str">
        <f t="shared" si="12"/>
        <v xml:space="preserve">스핀들유격: </v>
      </c>
      <c r="P86" s="11" t="str">
        <f t="shared" si="12"/>
        <v xml:space="preserve">스핀들유격: </v>
      </c>
      <c r="Q86" s="11" t="str">
        <f t="shared" si="13"/>
        <v>000-000 :</v>
      </c>
      <c r="R86" s="11" t="str">
        <f t="shared" si="13"/>
        <v>000-000 :</v>
      </c>
      <c r="S86" s="11" t="str">
        <f t="shared" si="13"/>
        <v>000-000 :</v>
      </c>
      <c r="T86" s="11" t="str">
        <f t="shared" si="13"/>
        <v>000-000 :</v>
      </c>
      <c r="U86" s="11" t="str">
        <f t="shared" si="13"/>
        <v>000-000 :</v>
      </c>
      <c r="V86" s="11" t="str">
        <f t="shared" si="13"/>
        <v>000-000 :</v>
      </c>
      <c r="W86" s="11" t="str">
        <f t="shared" si="13"/>
        <v>000-000 :</v>
      </c>
      <c r="X86" s="11" t="str">
        <f t="shared" si="13"/>
        <v>000-000 :</v>
      </c>
      <c r="Y86" s="11" t="str">
        <f t="shared" si="14"/>
        <v>스핀들소음 :</v>
      </c>
      <c r="Z86" s="11" t="str">
        <f t="shared" si="15"/>
        <v>필터세척 :
FLOW   (T1, T4 : / T2, T3 : / T4 : )</v>
      </c>
      <c r="AA86" s="11" t="str">
        <f t="shared" si="16"/>
        <v/>
      </c>
      <c r="AB86" s="1"/>
      <c r="AC86" s="1"/>
      <c r="AD86" s="12"/>
      <c r="AE86" s="11" t="str">
        <f t="shared" si="17"/>
        <v/>
      </c>
      <c r="AF86" s="9"/>
      <c r="AG86" s="1"/>
      <c r="AH86" s="3"/>
    </row>
    <row r="87" spans="1:34" ht="34" x14ac:dyDescent="0.45">
      <c r="A87" s="4"/>
      <c r="B87" s="1"/>
      <c r="C87" s="1"/>
      <c r="D87" s="1"/>
      <c r="E87" s="1"/>
      <c r="F87" s="1"/>
      <c r="G87" s="1"/>
      <c r="H87" s="1"/>
      <c r="I87" s="1"/>
      <c r="J87" s="1"/>
      <c r="K87" s="1" t="str">
        <f>IF(LEN(A87)&gt;0, 상수!B$4, "")</f>
        <v/>
      </c>
      <c r="L87" s="1"/>
      <c r="M87" s="11" t="str">
        <f t="shared" ref="M87:P106" si="18">IF(MOD($AD87,5)=0, "스핀들유격: ","-" )</f>
        <v xml:space="preserve">스핀들유격: </v>
      </c>
      <c r="N87" s="11" t="str">
        <f t="shared" si="18"/>
        <v xml:space="preserve">스핀들유격: </v>
      </c>
      <c r="O87" s="11" t="str">
        <f t="shared" si="18"/>
        <v xml:space="preserve">스핀들유격: </v>
      </c>
      <c r="P87" s="11" t="str">
        <f t="shared" si="18"/>
        <v xml:space="preserve">스핀들유격: </v>
      </c>
      <c r="Q87" s="11" t="str">
        <f t="shared" ref="Q87:X102" si="19">IF(MOD($AD87,5)=0, "000-000 :","-" )</f>
        <v>000-000 :</v>
      </c>
      <c r="R87" s="11" t="str">
        <f t="shared" si="19"/>
        <v>000-000 :</v>
      </c>
      <c r="S87" s="11" t="str">
        <f t="shared" si="19"/>
        <v>000-000 :</v>
      </c>
      <c r="T87" s="11" t="str">
        <f t="shared" si="19"/>
        <v>000-000 :</v>
      </c>
      <c r="U87" s="11" t="str">
        <f t="shared" si="19"/>
        <v>000-000 :</v>
      </c>
      <c r="V87" s="11" t="str">
        <f t="shared" si="19"/>
        <v>000-000 :</v>
      </c>
      <c r="W87" s="11" t="str">
        <f t="shared" si="19"/>
        <v>000-000 :</v>
      </c>
      <c r="X87" s="11" t="str">
        <f t="shared" si="19"/>
        <v>000-000 :</v>
      </c>
      <c r="Y87" s="11" t="str">
        <f t="shared" si="14"/>
        <v>스핀들소음 :</v>
      </c>
      <c r="Z87" s="11" t="str">
        <f t="shared" si="15"/>
        <v>필터세척 :
FLOW   (T1, T4 : / T2, T3 : / T4 : )</v>
      </c>
      <c r="AA87" s="11" t="str">
        <f t="shared" si="16"/>
        <v/>
      </c>
      <c r="AB87" s="1"/>
      <c r="AC87" s="1"/>
      <c r="AD87" s="12"/>
      <c r="AE87" s="11" t="str">
        <f t="shared" si="17"/>
        <v/>
      </c>
      <c r="AF87" s="9"/>
      <c r="AG87" s="1"/>
      <c r="AH87" s="3"/>
    </row>
    <row r="88" spans="1:34" ht="34" x14ac:dyDescent="0.45">
      <c r="A88" s="4"/>
      <c r="B88" s="1"/>
      <c r="C88" s="1"/>
      <c r="D88" s="1"/>
      <c r="E88" s="1"/>
      <c r="F88" s="1"/>
      <c r="G88" s="1"/>
      <c r="H88" s="1"/>
      <c r="I88" s="1"/>
      <c r="J88" s="1"/>
      <c r="K88" s="1" t="str">
        <f>IF(LEN(A88)&gt;0, 상수!B$4, "")</f>
        <v/>
      </c>
      <c r="L88" s="1"/>
      <c r="M88" s="11" t="str">
        <f t="shared" si="18"/>
        <v xml:space="preserve">스핀들유격: </v>
      </c>
      <c r="N88" s="11" t="str">
        <f t="shared" si="18"/>
        <v xml:space="preserve">스핀들유격: </v>
      </c>
      <c r="O88" s="11" t="str">
        <f t="shared" si="18"/>
        <v xml:space="preserve">스핀들유격: </v>
      </c>
      <c r="P88" s="11" t="str">
        <f t="shared" si="18"/>
        <v xml:space="preserve">스핀들유격: </v>
      </c>
      <c r="Q88" s="11" t="str">
        <f t="shared" si="19"/>
        <v>000-000 :</v>
      </c>
      <c r="R88" s="11" t="str">
        <f t="shared" si="19"/>
        <v>000-000 :</v>
      </c>
      <c r="S88" s="11" t="str">
        <f t="shared" si="19"/>
        <v>000-000 :</v>
      </c>
      <c r="T88" s="11" t="str">
        <f t="shared" si="19"/>
        <v>000-000 :</v>
      </c>
      <c r="U88" s="11" t="str">
        <f t="shared" si="19"/>
        <v>000-000 :</v>
      </c>
      <c r="V88" s="11" t="str">
        <f t="shared" si="19"/>
        <v>000-000 :</v>
      </c>
      <c r="W88" s="11" t="str">
        <f t="shared" si="19"/>
        <v>000-000 :</v>
      </c>
      <c r="X88" s="11" t="str">
        <f t="shared" si="19"/>
        <v>000-000 :</v>
      </c>
      <c r="Y88" s="11" t="str">
        <f t="shared" si="14"/>
        <v>스핀들소음 :</v>
      </c>
      <c r="Z88" s="11" t="str">
        <f t="shared" si="15"/>
        <v>필터세척 :
FLOW   (T1, T4 : / T2, T3 : / T4 : )</v>
      </c>
      <c r="AA88" s="11" t="str">
        <f t="shared" si="16"/>
        <v/>
      </c>
      <c r="AB88" s="1"/>
      <c r="AC88" s="1"/>
      <c r="AD88" s="12"/>
      <c r="AE88" s="11" t="str">
        <f t="shared" si="17"/>
        <v/>
      </c>
      <c r="AF88" s="9"/>
      <c r="AG88" s="1"/>
      <c r="AH88" s="3"/>
    </row>
    <row r="89" spans="1:34" ht="34" x14ac:dyDescent="0.45">
      <c r="A89" s="4"/>
      <c r="B89" s="1"/>
      <c r="C89" s="1"/>
      <c r="D89" s="1"/>
      <c r="E89" s="1"/>
      <c r="F89" s="1"/>
      <c r="G89" s="1"/>
      <c r="H89" s="1"/>
      <c r="I89" s="1"/>
      <c r="J89" s="1"/>
      <c r="K89" s="1" t="str">
        <f>IF(LEN(A89)&gt;0, 상수!B$4, "")</f>
        <v/>
      </c>
      <c r="L89" s="1"/>
      <c r="M89" s="11" t="str">
        <f t="shared" si="18"/>
        <v xml:space="preserve">스핀들유격: </v>
      </c>
      <c r="N89" s="11" t="str">
        <f t="shared" si="18"/>
        <v xml:space="preserve">스핀들유격: </v>
      </c>
      <c r="O89" s="11" t="str">
        <f t="shared" si="18"/>
        <v xml:space="preserve">스핀들유격: </v>
      </c>
      <c r="P89" s="11" t="str">
        <f t="shared" si="18"/>
        <v xml:space="preserve">스핀들유격: </v>
      </c>
      <c r="Q89" s="11" t="str">
        <f t="shared" si="19"/>
        <v>000-000 :</v>
      </c>
      <c r="R89" s="11" t="str">
        <f t="shared" si="19"/>
        <v>000-000 :</v>
      </c>
      <c r="S89" s="11" t="str">
        <f t="shared" si="19"/>
        <v>000-000 :</v>
      </c>
      <c r="T89" s="11" t="str">
        <f t="shared" si="19"/>
        <v>000-000 :</v>
      </c>
      <c r="U89" s="11" t="str">
        <f t="shared" si="19"/>
        <v>000-000 :</v>
      </c>
      <c r="V89" s="11" t="str">
        <f t="shared" si="19"/>
        <v>000-000 :</v>
      </c>
      <c r="W89" s="11" t="str">
        <f t="shared" si="19"/>
        <v>000-000 :</v>
      </c>
      <c r="X89" s="11" t="str">
        <f t="shared" si="19"/>
        <v>000-000 :</v>
      </c>
      <c r="Y89" s="11" t="str">
        <f t="shared" si="14"/>
        <v>스핀들소음 :</v>
      </c>
      <c r="Z89" s="11" t="str">
        <f t="shared" si="15"/>
        <v>필터세척 :
FLOW   (T1, T4 : / T2, T3 : / T4 : )</v>
      </c>
      <c r="AA89" s="11" t="str">
        <f t="shared" si="16"/>
        <v/>
      </c>
      <c r="AB89" s="1"/>
      <c r="AC89" s="1"/>
      <c r="AD89" s="12"/>
      <c r="AE89" s="11" t="str">
        <f t="shared" si="17"/>
        <v/>
      </c>
      <c r="AF89" s="9"/>
      <c r="AG89" s="1"/>
      <c r="AH89" s="3"/>
    </row>
    <row r="90" spans="1:34" ht="34" x14ac:dyDescent="0.45">
      <c r="A90" s="4"/>
      <c r="B90" s="1"/>
      <c r="C90" s="1"/>
      <c r="D90" s="1"/>
      <c r="E90" s="1"/>
      <c r="F90" s="1"/>
      <c r="G90" s="1"/>
      <c r="H90" s="1"/>
      <c r="I90" s="1"/>
      <c r="J90" s="1"/>
      <c r="K90" s="1" t="str">
        <f>IF(LEN(A90)&gt;0, 상수!B$4, "")</f>
        <v/>
      </c>
      <c r="L90" s="1"/>
      <c r="M90" s="11" t="str">
        <f t="shared" si="18"/>
        <v xml:space="preserve">스핀들유격: </v>
      </c>
      <c r="N90" s="11" t="str">
        <f t="shared" si="18"/>
        <v xml:space="preserve">스핀들유격: </v>
      </c>
      <c r="O90" s="11" t="str">
        <f t="shared" si="18"/>
        <v xml:space="preserve">스핀들유격: </v>
      </c>
      <c r="P90" s="11" t="str">
        <f t="shared" si="18"/>
        <v xml:space="preserve">스핀들유격: </v>
      </c>
      <c r="Q90" s="11" t="str">
        <f t="shared" si="19"/>
        <v>000-000 :</v>
      </c>
      <c r="R90" s="11" t="str">
        <f t="shared" si="19"/>
        <v>000-000 :</v>
      </c>
      <c r="S90" s="11" t="str">
        <f t="shared" si="19"/>
        <v>000-000 :</v>
      </c>
      <c r="T90" s="11" t="str">
        <f t="shared" si="19"/>
        <v>000-000 :</v>
      </c>
      <c r="U90" s="11" t="str">
        <f t="shared" si="19"/>
        <v>000-000 :</v>
      </c>
      <c r="V90" s="11" t="str">
        <f t="shared" si="19"/>
        <v>000-000 :</v>
      </c>
      <c r="W90" s="11" t="str">
        <f t="shared" si="19"/>
        <v>000-000 :</v>
      </c>
      <c r="X90" s="11" t="str">
        <f t="shared" si="19"/>
        <v>000-000 :</v>
      </c>
      <c r="Y90" s="11" t="str">
        <f t="shared" si="14"/>
        <v>스핀들소음 :</v>
      </c>
      <c r="Z90" s="11" t="str">
        <f t="shared" si="15"/>
        <v>필터세척 :
FLOW   (T1, T4 : / T2, T3 : / T4 : )</v>
      </c>
      <c r="AA90" s="11" t="str">
        <f t="shared" si="16"/>
        <v/>
      </c>
      <c r="AB90" s="1"/>
      <c r="AC90" s="1"/>
      <c r="AD90" s="12"/>
      <c r="AE90" s="11" t="str">
        <f t="shared" si="17"/>
        <v/>
      </c>
      <c r="AF90" s="9"/>
      <c r="AG90" s="1"/>
      <c r="AH90" s="3"/>
    </row>
    <row r="91" spans="1:34" ht="34" x14ac:dyDescent="0.45">
      <c r="A91" s="4"/>
      <c r="B91" s="1"/>
      <c r="C91" s="1"/>
      <c r="D91" s="1"/>
      <c r="E91" s="1"/>
      <c r="F91" s="1"/>
      <c r="G91" s="1"/>
      <c r="H91" s="1"/>
      <c r="I91" s="1"/>
      <c r="J91" s="1"/>
      <c r="K91" s="1" t="str">
        <f>IF(LEN(A91)&gt;0, 상수!B$4, "")</f>
        <v/>
      </c>
      <c r="L91" s="1"/>
      <c r="M91" s="11" t="str">
        <f t="shared" si="18"/>
        <v xml:space="preserve">스핀들유격: </v>
      </c>
      <c r="N91" s="11" t="str">
        <f t="shared" si="18"/>
        <v xml:space="preserve">스핀들유격: </v>
      </c>
      <c r="O91" s="11" t="str">
        <f t="shared" si="18"/>
        <v xml:space="preserve">스핀들유격: </v>
      </c>
      <c r="P91" s="11" t="str">
        <f t="shared" si="18"/>
        <v xml:space="preserve">스핀들유격: </v>
      </c>
      <c r="Q91" s="11" t="str">
        <f t="shared" si="19"/>
        <v>000-000 :</v>
      </c>
      <c r="R91" s="11" t="str">
        <f t="shared" si="19"/>
        <v>000-000 :</v>
      </c>
      <c r="S91" s="11" t="str">
        <f t="shared" si="19"/>
        <v>000-000 :</v>
      </c>
      <c r="T91" s="11" t="str">
        <f t="shared" si="19"/>
        <v>000-000 :</v>
      </c>
      <c r="U91" s="11" t="str">
        <f t="shared" si="19"/>
        <v>000-000 :</v>
      </c>
      <c r="V91" s="11" t="str">
        <f t="shared" si="19"/>
        <v>000-000 :</v>
      </c>
      <c r="W91" s="11" t="str">
        <f t="shared" si="19"/>
        <v>000-000 :</v>
      </c>
      <c r="X91" s="11" t="str">
        <f t="shared" si="19"/>
        <v>000-000 :</v>
      </c>
      <c r="Y91" s="11" t="str">
        <f t="shared" si="14"/>
        <v>스핀들소음 :</v>
      </c>
      <c r="Z91" s="11" t="str">
        <f t="shared" si="15"/>
        <v>필터세척 :
FLOW   (T1, T4 : / T2, T3 : / T4 : )</v>
      </c>
      <c r="AA91" s="11" t="str">
        <f t="shared" si="16"/>
        <v/>
      </c>
      <c r="AB91" s="1"/>
      <c r="AC91" s="1"/>
      <c r="AD91" s="12"/>
      <c r="AE91" s="11" t="str">
        <f t="shared" si="17"/>
        <v/>
      </c>
      <c r="AF91" s="9"/>
      <c r="AG91" s="1"/>
      <c r="AH91" s="3"/>
    </row>
    <row r="92" spans="1:34" ht="34" x14ac:dyDescent="0.45">
      <c r="A92" s="4"/>
      <c r="B92" s="1"/>
      <c r="C92" s="1"/>
      <c r="D92" s="1"/>
      <c r="E92" s="1"/>
      <c r="F92" s="1"/>
      <c r="G92" s="1"/>
      <c r="H92" s="1"/>
      <c r="I92" s="1"/>
      <c r="J92" s="1"/>
      <c r="K92" s="1" t="str">
        <f>IF(LEN(A92)&gt;0, 상수!B$4, "")</f>
        <v/>
      </c>
      <c r="L92" s="1"/>
      <c r="M92" s="11" t="str">
        <f t="shared" si="18"/>
        <v xml:space="preserve">스핀들유격: </v>
      </c>
      <c r="N92" s="11" t="str">
        <f t="shared" si="18"/>
        <v xml:space="preserve">스핀들유격: </v>
      </c>
      <c r="O92" s="11" t="str">
        <f t="shared" si="18"/>
        <v xml:space="preserve">스핀들유격: </v>
      </c>
      <c r="P92" s="11" t="str">
        <f t="shared" si="18"/>
        <v xml:space="preserve">스핀들유격: </v>
      </c>
      <c r="Q92" s="11" t="str">
        <f t="shared" si="19"/>
        <v>000-000 :</v>
      </c>
      <c r="R92" s="11" t="str">
        <f t="shared" si="19"/>
        <v>000-000 :</v>
      </c>
      <c r="S92" s="11" t="str">
        <f t="shared" si="19"/>
        <v>000-000 :</v>
      </c>
      <c r="T92" s="11" t="str">
        <f t="shared" si="19"/>
        <v>000-000 :</v>
      </c>
      <c r="U92" s="11" t="str">
        <f t="shared" si="19"/>
        <v>000-000 :</v>
      </c>
      <c r="V92" s="11" t="str">
        <f t="shared" si="19"/>
        <v>000-000 :</v>
      </c>
      <c r="W92" s="11" t="str">
        <f t="shared" si="19"/>
        <v>000-000 :</v>
      </c>
      <c r="X92" s="11" t="str">
        <f t="shared" si="19"/>
        <v>000-000 :</v>
      </c>
      <c r="Y92" s="11" t="str">
        <f t="shared" si="14"/>
        <v>스핀들소음 :</v>
      </c>
      <c r="Z92" s="11" t="str">
        <f t="shared" si="15"/>
        <v>필터세척 :
FLOW   (T1, T4 : / T2, T3 : / T4 : )</v>
      </c>
      <c r="AA92" s="11" t="str">
        <f t="shared" si="16"/>
        <v/>
      </c>
      <c r="AB92" s="1"/>
      <c r="AC92" s="1"/>
      <c r="AD92" s="12"/>
      <c r="AE92" s="11" t="str">
        <f t="shared" si="17"/>
        <v/>
      </c>
      <c r="AF92" s="9"/>
      <c r="AG92" s="1"/>
      <c r="AH92" s="3"/>
    </row>
    <row r="93" spans="1:34" ht="34" x14ac:dyDescent="0.45">
      <c r="A93" s="4"/>
      <c r="B93" s="1"/>
      <c r="C93" s="1"/>
      <c r="D93" s="1"/>
      <c r="E93" s="1"/>
      <c r="F93" s="1"/>
      <c r="G93" s="1"/>
      <c r="H93" s="1"/>
      <c r="I93" s="1"/>
      <c r="J93" s="1"/>
      <c r="K93" s="1" t="str">
        <f>IF(LEN(A93)&gt;0, 상수!B$4, "")</f>
        <v/>
      </c>
      <c r="L93" s="1"/>
      <c r="M93" s="11" t="str">
        <f t="shared" si="18"/>
        <v xml:space="preserve">스핀들유격: </v>
      </c>
      <c r="N93" s="11" t="str">
        <f t="shared" si="18"/>
        <v xml:space="preserve">스핀들유격: </v>
      </c>
      <c r="O93" s="11" t="str">
        <f t="shared" si="18"/>
        <v xml:space="preserve">스핀들유격: </v>
      </c>
      <c r="P93" s="11" t="str">
        <f t="shared" si="18"/>
        <v xml:space="preserve">스핀들유격: </v>
      </c>
      <c r="Q93" s="11" t="str">
        <f t="shared" si="19"/>
        <v>000-000 :</v>
      </c>
      <c r="R93" s="11" t="str">
        <f t="shared" si="19"/>
        <v>000-000 :</v>
      </c>
      <c r="S93" s="11" t="str">
        <f t="shared" si="19"/>
        <v>000-000 :</v>
      </c>
      <c r="T93" s="11" t="str">
        <f t="shared" si="19"/>
        <v>000-000 :</v>
      </c>
      <c r="U93" s="11" t="str">
        <f t="shared" si="19"/>
        <v>000-000 :</v>
      </c>
      <c r="V93" s="11" t="str">
        <f t="shared" si="19"/>
        <v>000-000 :</v>
      </c>
      <c r="W93" s="11" t="str">
        <f t="shared" si="19"/>
        <v>000-000 :</v>
      </c>
      <c r="X93" s="11" t="str">
        <f t="shared" si="19"/>
        <v>000-000 :</v>
      </c>
      <c r="Y93" s="11" t="str">
        <f t="shared" si="14"/>
        <v>스핀들소음 :</v>
      </c>
      <c r="Z93" s="11" t="str">
        <f t="shared" si="15"/>
        <v>필터세척 :
FLOW   (T1, T4 : / T2, T3 : / T4 : )</v>
      </c>
      <c r="AA93" s="11" t="str">
        <f t="shared" si="16"/>
        <v/>
      </c>
      <c r="AB93" s="1"/>
      <c r="AC93" s="1"/>
      <c r="AD93" s="12"/>
      <c r="AE93" s="11" t="str">
        <f t="shared" si="17"/>
        <v/>
      </c>
      <c r="AF93" s="9"/>
      <c r="AG93" s="1"/>
      <c r="AH93" s="3"/>
    </row>
    <row r="94" spans="1:34" ht="34" x14ac:dyDescent="0.45">
      <c r="A94" s="4"/>
      <c r="B94" s="1"/>
      <c r="C94" s="1"/>
      <c r="D94" s="1"/>
      <c r="E94" s="1"/>
      <c r="F94" s="1"/>
      <c r="G94" s="1"/>
      <c r="H94" s="1"/>
      <c r="I94" s="1"/>
      <c r="J94" s="1"/>
      <c r="K94" s="1" t="str">
        <f>IF(LEN(A94)&gt;0, 상수!B$4, "")</f>
        <v/>
      </c>
      <c r="L94" s="1"/>
      <c r="M94" s="11" t="str">
        <f t="shared" si="18"/>
        <v xml:space="preserve">스핀들유격: </v>
      </c>
      <c r="N94" s="11" t="str">
        <f t="shared" si="18"/>
        <v xml:space="preserve">스핀들유격: </v>
      </c>
      <c r="O94" s="11" t="str">
        <f t="shared" si="18"/>
        <v xml:space="preserve">스핀들유격: </v>
      </c>
      <c r="P94" s="11" t="str">
        <f t="shared" si="18"/>
        <v xml:space="preserve">스핀들유격: </v>
      </c>
      <c r="Q94" s="11" t="str">
        <f t="shared" si="19"/>
        <v>000-000 :</v>
      </c>
      <c r="R94" s="11" t="str">
        <f t="shared" si="19"/>
        <v>000-000 :</v>
      </c>
      <c r="S94" s="11" t="str">
        <f t="shared" si="19"/>
        <v>000-000 :</v>
      </c>
      <c r="T94" s="11" t="str">
        <f t="shared" si="19"/>
        <v>000-000 :</v>
      </c>
      <c r="U94" s="11" t="str">
        <f t="shared" si="19"/>
        <v>000-000 :</v>
      </c>
      <c r="V94" s="11" t="str">
        <f t="shared" si="19"/>
        <v>000-000 :</v>
      </c>
      <c r="W94" s="11" t="str">
        <f t="shared" si="19"/>
        <v>000-000 :</v>
      </c>
      <c r="X94" s="11" t="str">
        <f t="shared" si="19"/>
        <v>000-000 :</v>
      </c>
      <c r="Y94" s="11" t="str">
        <f t="shared" si="14"/>
        <v>스핀들소음 :</v>
      </c>
      <c r="Z94" s="11" t="str">
        <f t="shared" si="15"/>
        <v>필터세척 :
FLOW   (T1, T4 : / T2, T3 : / T4 : )</v>
      </c>
      <c r="AA94" s="11" t="str">
        <f t="shared" si="16"/>
        <v/>
      </c>
      <c r="AB94" s="1"/>
      <c r="AC94" s="1"/>
      <c r="AD94" s="12"/>
      <c r="AE94" s="11" t="str">
        <f t="shared" si="17"/>
        <v/>
      </c>
      <c r="AF94" s="9"/>
      <c r="AG94" s="1"/>
      <c r="AH94" s="3"/>
    </row>
    <row r="95" spans="1:34" ht="34" x14ac:dyDescent="0.45">
      <c r="A95" s="4"/>
      <c r="B95" s="1"/>
      <c r="C95" s="1"/>
      <c r="D95" s="1"/>
      <c r="E95" s="1"/>
      <c r="F95" s="1"/>
      <c r="G95" s="1"/>
      <c r="H95" s="1"/>
      <c r="I95" s="1"/>
      <c r="J95" s="1"/>
      <c r="K95" s="1" t="str">
        <f>IF(LEN(A95)&gt;0, 상수!B$4, "")</f>
        <v/>
      </c>
      <c r="L95" s="1"/>
      <c r="M95" s="11" t="str">
        <f t="shared" si="18"/>
        <v xml:space="preserve">스핀들유격: </v>
      </c>
      <c r="N95" s="11" t="str">
        <f t="shared" si="18"/>
        <v xml:space="preserve">스핀들유격: </v>
      </c>
      <c r="O95" s="11" t="str">
        <f t="shared" si="18"/>
        <v xml:space="preserve">스핀들유격: </v>
      </c>
      <c r="P95" s="11" t="str">
        <f t="shared" si="18"/>
        <v xml:space="preserve">스핀들유격: </v>
      </c>
      <c r="Q95" s="11" t="str">
        <f t="shared" si="19"/>
        <v>000-000 :</v>
      </c>
      <c r="R95" s="11" t="str">
        <f t="shared" si="19"/>
        <v>000-000 :</v>
      </c>
      <c r="S95" s="11" t="str">
        <f t="shared" si="19"/>
        <v>000-000 :</v>
      </c>
      <c r="T95" s="11" t="str">
        <f t="shared" si="19"/>
        <v>000-000 :</v>
      </c>
      <c r="U95" s="11" t="str">
        <f t="shared" si="19"/>
        <v>000-000 :</v>
      </c>
      <c r="V95" s="11" t="str">
        <f t="shared" si="19"/>
        <v>000-000 :</v>
      </c>
      <c r="W95" s="11" t="str">
        <f t="shared" si="19"/>
        <v>000-000 :</v>
      </c>
      <c r="X95" s="11" t="str">
        <f t="shared" si="19"/>
        <v>000-000 :</v>
      </c>
      <c r="Y95" s="11" t="str">
        <f t="shared" si="14"/>
        <v>스핀들소음 :</v>
      </c>
      <c r="Z95" s="11" t="str">
        <f t="shared" si="15"/>
        <v>필터세척 :
FLOW   (T1, T4 : / T2, T3 : / T4 : )</v>
      </c>
      <c r="AA95" s="11" t="str">
        <f t="shared" si="16"/>
        <v/>
      </c>
      <c r="AB95" s="1"/>
      <c r="AC95" s="1"/>
      <c r="AD95" s="12"/>
      <c r="AE95" s="11" t="str">
        <f t="shared" si="17"/>
        <v/>
      </c>
      <c r="AF95" s="9"/>
      <c r="AG95" s="1"/>
      <c r="AH95" s="3"/>
    </row>
    <row r="96" spans="1:34" ht="34" x14ac:dyDescent="0.45">
      <c r="A96" s="4"/>
      <c r="B96" s="1"/>
      <c r="C96" s="1"/>
      <c r="D96" s="1"/>
      <c r="E96" s="1"/>
      <c r="F96" s="1"/>
      <c r="G96" s="1"/>
      <c r="H96" s="1"/>
      <c r="I96" s="1"/>
      <c r="J96" s="1"/>
      <c r="K96" s="1" t="str">
        <f>IF(LEN(A96)&gt;0, 상수!B$4, "")</f>
        <v/>
      </c>
      <c r="L96" s="1"/>
      <c r="M96" s="11" t="str">
        <f t="shared" si="18"/>
        <v xml:space="preserve">스핀들유격: </v>
      </c>
      <c r="N96" s="11" t="str">
        <f t="shared" si="18"/>
        <v xml:space="preserve">스핀들유격: </v>
      </c>
      <c r="O96" s="11" t="str">
        <f t="shared" si="18"/>
        <v xml:space="preserve">스핀들유격: </v>
      </c>
      <c r="P96" s="11" t="str">
        <f t="shared" si="18"/>
        <v xml:space="preserve">스핀들유격: </v>
      </c>
      <c r="Q96" s="11" t="str">
        <f t="shared" si="19"/>
        <v>000-000 :</v>
      </c>
      <c r="R96" s="11" t="str">
        <f t="shared" si="19"/>
        <v>000-000 :</v>
      </c>
      <c r="S96" s="11" t="str">
        <f t="shared" si="19"/>
        <v>000-000 :</v>
      </c>
      <c r="T96" s="11" t="str">
        <f t="shared" si="19"/>
        <v>000-000 :</v>
      </c>
      <c r="U96" s="11" t="str">
        <f t="shared" si="19"/>
        <v>000-000 :</v>
      </c>
      <c r="V96" s="11" t="str">
        <f t="shared" si="19"/>
        <v>000-000 :</v>
      </c>
      <c r="W96" s="11" t="str">
        <f t="shared" si="19"/>
        <v>000-000 :</v>
      </c>
      <c r="X96" s="11" t="str">
        <f t="shared" si="19"/>
        <v>000-000 :</v>
      </c>
      <c r="Y96" s="11" t="str">
        <f t="shared" si="14"/>
        <v>스핀들소음 :</v>
      </c>
      <c r="Z96" s="11" t="str">
        <f t="shared" si="15"/>
        <v>필터세척 :
FLOW   (T1, T4 : / T2, T3 : / T4 : )</v>
      </c>
      <c r="AA96" s="11" t="str">
        <f t="shared" si="16"/>
        <v/>
      </c>
      <c r="AB96" s="1"/>
      <c r="AC96" s="1"/>
      <c r="AD96" s="12"/>
      <c r="AE96" s="11" t="str">
        <f t="shared" si="17"/>
        <v/>
      </c>
      <c r="AF96" s="9"/>
      <c r="AG96" s="1"/>
      <c r="AH96" s="3"/>
    </row>
    <row r="97" spans="1:34" ht="34" x14ac:dyDescent="0.45">
      <c r="A97" s="4"/>
      <c r="B97" s="1"/>
      <c r="C97" s="1"/>
      <c r="D97" s="1"/>
      <c r="E97" s="1"/>
      <c r="F97" s="1"/>
      <c r="G97" s="1"/>
      <c r="H97" s="1"/>
      <c r="I97" s="1"/>
      <c r="J97" s="1"/>
      <c r="K97" s="1" t="str">
        <f>IF(LEN(A97)&gt;0, 상수!B$4, "")</f>
        <v/>
      </c>
      <c r="L97" s="1"/>
      <c r="M97" s="11" t="str">
        <f t="shared" si="18"/>
        <v xml:space="preserve">스핀들유격: </v>
      </c>
      <c r="N97" s="11" t="str">
        <f t="shared" si="18"/>
        <v xml:space="preserve">스핀들유격: </v>
      </c>
      <c r="O97" s="11" t="str">
        <f t="shared" si="18"/>
        <v xml:space="preserve">스핀들유격: </v>
      </c>
      <c r="P97" s="11" t="str">
        <f t="shared" si="18"/>
        <v xml:space="preserve">스핀들유격: </v>
      </c>
      <c r="Q97" s="11" t="str">
        <f t="shared" si="19"/>
        <v>000-000 :</v>
      </c>
      <c r="R97" s="11" t="str">
        <f t="shared" si="19"/>
        <v>000-000 :</v>
      </c>
      <c r="S97" s="11" t="str">
        <f t="shared" si="19"/>
        <v>000-000 :</v>
      </c>
      <c r="T97" s="11" t="str">
        <f t="shared" si="19"/>
        <v>000-000 :</v>
      </c>
      <c r="U97" s="11" t="str">
        <f t="shared" si="19"/>
        <v>000-000 :</v>
      </c>
      <c r="V97" s="11" t="str">
        <f t="shared" si="19"/>
        <v>000-000 :</v>
      </c>
      <c r="W97" s="11" t="str">
        <f t="shared" si="19"/>
        <v>000-000 :</v>
      </c>
      <c r="X97" s="11" t="str">
        <f t="shared" si="19"/>
        <v>000-000 :</v>
      </c>
      <c r="Y97" s="11" t="str">
        <f t="shared" si="14"/>
        <v>스핀들소음 :</v>
      </c>
      <c r="Z97" s="11" t="str">
        <f t="shared" si="15"/>
        <v>필터세척 :
FLOW   (T1, T4 : / T2, T3 : / T4 : )</v>
      </c>
      <c r="AA97" s="11" t="str">
        <f t="shared" si="16"/>
        <v/>
      </c>
      <c r="AB97" s="1"/>
      <c r="AC97" s="1"/>
      <c r="AD97" s="12"/>
      <c r="AE97" s="11" t="str">
        <f t="shared" si="17"/>
        <v/>
      </c>
      <c r="AF97" s="9"/>
      <c r="AG97" s="1"/>
      <c r="AH97" s="3"/>
    </row>
    <row r="98" spans="1:34" ht="34" x14ac:dyDescent="0.45">
      <c r="A98" s="4"/>
      <c r="B98" s="1"/>
      <c r="C98" s="1"/>
      <c r="D98" s="1"/>
      <c r="E98" s="1"/>
      <c r="F98" s="1"/>
      <c r="G98" s="1"/>
      <c r="H98" s="1"/>
      <c r="I98" s="1"/>
      <c r="J98" s="1"/>
      <c r="K98" s="1" t="str">
        <f>IF(LEN(A98)&gt;0, 상수!B$4, "")</f>
        <v/>
      </c>
      <c r="L98" s="1"/>
      <c r="M98" s="11" t="str">
        <f t="shared" si="18"/>
        <v xml:space="preserve">스핀들유격: </v>
      </c>
      <c r="N98" s="11" t="str">
        <f t="shared" si="18"/>
        <v xml:space="preserve">스핀들유격: </v>
      </c>
      <c r="O98" s="11" t="str">
        <f t="shared" si="18"/>
        <v xml:space="preserve">스핀들유격: </v>
      </c>
      <c r="P98" s="11" t="str">
        <f t="shared" si="18"/>
        <v xml:space="preserve">스핀들유격: </v>
      </c>
      <c r="Q98" s="11" t="str">
        <f t="shared" si="19"/>
        <v>000-000 :</v>
      </c>
      <c r="R98" s="11" t="str">
        <f t="shared" si="19"/>
        <v>000-000 :</v>
      </c>
      <c r="S98" s="11" t="str">
        <f t="shared" si="19"/>
        <v>000-000 :</v>
      </c>
      <c r="T98" s="11" t="str">
        <f t="shared" si="19"/>
        <v>000-000 :</v>
      </c>
      <c r="U98" s="11" t="str">
        <f t="shared" si="19"/>
        <v>000-000 :</v>
      </c>
      <c r="V98" s="11" t="str">
        <f t="shared" si="19"/>
        <v>000-000 :</v>
      </c>
      <c r="W98" s="11" t="str">
        <f t="shared" si="19"/>
        <v>000-000 :</v>
      </c>
      <c r="X98" s="11" t="str">
        <f t="shared" si="19"/>
        <v>000-000 :</v>
      </c>
      <c r="Y98" s="11" t="str">
        <f t="shared" si="14"/>
        <v>스핀들소음 :</v>
      </c>
      <c r="Z98" s="11" t="str">
        <f t="shared" si="15"/>
        <v>필터세척 :
FLOW   (T1, T4 : / T2, T3 : / T4 : )</v>
      </c>
      <c r="AA98" s="11" t="str">
        <f t="shared" si="16"/>
        <v/>
      </c>
      <c r="AB98" s="1"/>
      <c r="AC98" s="1"/>
      <c r="AD98" s="12"/>
      <c r="AE98" s="11" t="str">
        <f t="shared" si="17"/>
        <v/>
      </c>
      <c r="AF98" s="9"/>
      <c r="AG98" s="1"/>
      <c r="AH98" s="3"/>
    </row>
    <row r="99" spans="1:34" ht="34" x14ac:dyDescent="0.45">
      <c r="A99" s="4"/>
      <c r="B99" s="1"/>
      <c r="C99" s="1"/>
      <c r="D99" s="1"/>
      <c r="E99" s="1"/>
      <c r="F99" s="1"/>
      <c r="G99" s="1"/>
      <c r="H99" s="1"/>
      <c r="I99" s="1"/>
      <c r="J99" s="1"/>
      <c r="K99" s="1" t="str">
        <f>IF(LEN(A99)&gt;0, 상수!B$4, "")</f>
        <v/>
      </c>
      <c r="L99" s="1"/>
      <c r="M99" s="11" t="str">
        <f t="shared" si="18"/>
        <v xml:space="preserve">스핀들유격: </v>
      </c>
      <c r="N99" s="11" t="str">
        <f t="shared" si="18"/>
        <v xml:space="preserve">스핀들유격: </v>
      </c>
      <c r="O99" s="11" t="str">
        <f t="shared" si="18"/>
        <v xml:space="preserve">스핀들유격: </v>
      </c>
      <c r="P99" s="11" t="str">
        <f t="shared" si="18"/>
        <v xml:space="preserve">스핀들유격: </v>
      </c>
      <c r="Q99" s="11" t="str">
        <f t="shared" si="19"/>
        <v>000-000 :</v>
      </c>
      <c r="R99" s="11" t="str">
        <f t="shared" si="19"/>
        <v>000-000 :</v>
      </c>
      <c r="S99" s="11" t="str">
        <f t="shared" si="19"/>
        <v>000-000 :</v>
      </c>
      <c r="T99" s="11" t="str">
        <f t="shared" si="19"/>
        <v>000-000 :</v>
      </c>
      <c r="U99" s="11" t="str">
        <f t="shared" si="19"/>
        <v>000-000 :</v>
      </c>
      <c r="V99" s="11" t="str">
        <f t="shared" si="19"/>
        <v>000-000 :</v>
      </c>
      <c r="W99" s="11" t="str">
        <f t="shared" si="19"/>
        <v>000-000 :</v>
      </c>
      <c r="X99" s="11" t="str">
        <f t="shared" si="19"/>
        <v>000-000 :</v>
      </c>
      <c r="Y99" s="11" t="str">
        <f t="shared" si="14"/>
        <v>스핀들소음 :</v>
      </c>
      <c r="Z99" s="11" t="str">
        <f t="shared" si="15"/>
        <v>필터세척 :
FLOW   (T1, T4 : / T2, T3 : / T4 : )</v>
      </c>
      <c r="AA99" s="11" t="str">
        <f t="shared" si="16"/>
        <v/>
      </c>
      <c r="AB99" s="1"/>
      <c r="AC99" s="1"/>
      <c r="AD99" s="12"/>
      <c r="AE99" s="11" t="str">
        <f t="shared" si="17"/>
        <v/>
      </c>
      <c r="AF99" s="9"/>
      <c r="AG99" s="1"/>
      <c r="AH99" s="3"/>
    </row>
    <row r="100" spans="1:34" ht="34" x14ac:dyDescent="0.4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IF(LEN(A100)&gt;0, 상수!B$4, "")</f>
        <v/>
      </c>
      <c r="L100" s="1"/>
      <c r="M100" s="11" t="str">
        <f t="shared" si="18"/>
        <v xml:space="preserve">스핀들유격: </v>
      </c>
      <c r="N100" s="11" t="str">
        <f t="shared" si="18"/>
        <v xml:space="preserve">스핀들유격: </v>
      </c>
      <c r="O100" s="11" t="str">
        <f t="shared" si="18"/>
        <v xml:space="preserve">스핀들유격: </v>
      </c>
      <c r="P100" s="11" t="str">
        <f t="shared" si="18"/>
        <v xml:space="preserve">스핀들유격: </v>
      </c>
      <c r="Q100" s="11" t="str">
        <f t="shared" si="19"/>
        <v>000-000 :</v>
      </c>
      <c r="R100" s="11" t="str">
        <f t="shared" si="19"/>
        <v>000-000 :</v>
      </c>
      <c r="S100" s="11" t="str">
        <f t="shared" si="19"/>
        <v>000-000 :</v>
      </c>
      <c r="T100" s="11" t="str">
        <f t="shared" si="19"/>
        <v>000-000 :</v>
      </c>
      <c r="U100" s="11" t="str">
        <f t="shared" si="19"/>
        <v>000-000 :</v>
      </c>
      <c r="V100" s="11" t="str">
        <f t="shared" si="19"/>
        <v>000-000 :</v>
      </c>
      <c r="W100" s="11" t="str">
        <f t="shared" si="19"/>
        <v>000-000 :</v>
      </c>
      <c r="X100" s="11" t="str">
        <f t="shared" si="19"/>
        <v>000-000 :</v>
      </c>
      <c r="Y100" s="11" t="str">
        <f t="shared" si="14"/>
        <v>스핀들소음 :</v>
      </c>
      <c r="Z100" s="11" t="str">
        <f t="shared" si="15"/>
        <v>필터세척 :
FLOW   (T1, T4 : / T2, T3 : / T4 : )</v>
      </c>
      <c r="AA100" s="11" t="str">
        <f t="shared" si="16"/>
        <v/>
      </c>
      <c r="AB100" s="1"/>
      <c r="AC100" s="1"/>
      <c r="AD100" s="12"/>
      <c r="AE100" s="11" t="str">
        <f t="shared" si="17"/>
        <v/>
      </c>
      <c r="AF100" s="9"/>
      <c r="AG100" s="1"/>
      <c r="AH100" s="3"/>
    </row>
    <row r="101" spans="1:34" ht="34" x14ac:dyDescent="0.4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IF(LEN(A101)&gt;0, 상수!B$4, "")</f>
        <v/>
      </c>
      <c r="L101" s="1"/>
      <c r="M101" s="11" t="str">
        <f t="shared" si="18"/>
        <v xml:space="preserve">스핀들유격: </v>
      </c>
      <c r="N101" s="11" t="str">
        <f t="shared" si="18"/>
        <v xml:space="preserve">스핀들유격: </v>
      </c>
      <c r="O101" s="11" t="str">
        <f t="shared" si="18"/>
        <v xml:space="preserve">스핀들유격: </v>
      </c>
      <c r="P101" s="11" t="str">
        <f t="shared" si="18"/>
        <v xml:space="preserve">스핀들유격: </v>
      </c>
      <c r="Q101" s="11" t="str">
        <f t="shared" si="19"/>
        <v>000-000 :</v>
      </c>
      <c r="R101" s="11" t="str">
        <f t="shared" si="19"/>
        <v>000-000 :</v>
      </c>
      <c r="S101" s="11" t="str">
        <f t="shared" si="19"/>
        <v>000-000 :</v>
      </c>
      <c r="T101" s="11" t="str">
        <f t="shared" si="19"/>
        <v>000-000 :</v>
      </c>
      <c r="U101" s="11" t="str">
        <f t="shared" si="19"/>
        <v>000-000 :</v>
      </c>
      <c r="V101" s="11" t="str">
        <f t="shared" si="19"/>
        <v>000-000 :</v>
      </c>
      <c r="W101" s="11" t="str">
        <f t="shared" si="19"/>
        <v>000-000 :</v>
      </c>
      <c r="X101" s="11" t="str">
        <f t="shared" si="19"/>
        <v>000-000 :</v>
      </c>
      <c r="Y101" s="11" t="str">
        <f t="shared" si="14"/>
        <v>스핀들소음 :</v>
      </c>
      <c r="Z101" s="11" t="str">
        <f t="shared" si="15"/>
        <v>필터세척 :
FLOW   (T1, T4 : / T2, T3 : / T4 : )</v>
      </c>
      <c r="AA101" s="11" t="str">
        <f t="shared" si="16"/>
        <v/>
      </c>
      <c r="AB101" s="1"/>
      <c r="AC101" s="1"/>
      <c r="AD101" s="12"/>
      <c r="AE101" s="11" t="str">
        <f t="shared" si="17"/>
        <v/>
      </c>
      <c r="AF101" s="9"/>
      <c r="AG101" s="1"/>
      <c r="AH101" s="3"/>
    </row>
    <row r="102" spans="1:34" ht="34" x14ac:dyDescent="0.4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IF(LEN(A102)&gt;0, 상수!B$4, "")</f>
        <v/>
      </c>
      <c r="L102" s="1"/>
      <c r="M102" s="11" t="str">
        <f t="shared" si="18"/>
        <v xml:space="preserve">스핀들유격: </v>
      </c>
      <c r="N102" s="11" t="str">
        <f t="shared" si="18"/>
        <v xml:space="preserve">스핀들유격: </v>
      </c>
      <c r="O102" s="11" t="str">
        <f t="shared" si="18"/>
        <v xml:space="preserve">스핀들유격: </v>
      </c>
      <c r="P102" s="11" t="str">
        <f t="shared" si="18"/>
        <v xml:space="preserve">스핀들유격: </v>
      </c>
      <c r="Q102" s="11" t="str">
        <f t="shared" si="19"/>
        <v>000-000 :</v>
      </c>
      <c r="R102" s="11" t="str">
        <f t="shared" si="19"/>
        <v>000-000 :</v>
      </c>
      <c r="S102" s="11" t="str">
        <f t="shared" si="19"/>
        <v>000-000 :</v>
      </c>
      <c r="T102" s="11" t="str">
        <f t="shared" si="19"/>
        <v>000-000 :</v>
      </c>
      <c r="U102" s="11" t="str">
        <f t="shared" si="19"/>
        <v>000-000 :</v>
      </c>
      <c r="V102" s="11" t="str">
        <f t="shared" si="19"/>
        <v>000-000 :</v>
      </c>
      <c r="W102" s="11" t="str">
        <f t="shared" si="19"/>
        <v>000-000 :</v>
      </c>
      <c r="X102" s="11" t="str">
        <f t="shared" si="19"/>
        <v>000-000 :</v>
      </c>
      <c r="Y102" s="11" t="str">
        <f t="shared" si="14"/>
        <v>스핀들소음 :</v>
      </c>
      <c r="Z102" s="11" t="str">
        <f t="shared" si="15"/>
        <v>필터세척 :
FLOW   (T1, T4 : / T2, T3 : / T4 : )</v>
      </c>
      <c r="AA102" s="11" t="str">
        <f t="shared" si="16"/>
        <v/>
      </c>
      <c r="AB102" s="1"/>
      <c r="AC102" s="1"/>
      <c r="AD102" s="12"/>
      <c r="AE102" s="11" t="str">
        <f t="shared" si="17"/>
        <v/>
      </c>
      <c r="AF102" s="9"/>
      <c r="AG102" s="1"/>
      <c r="AH102" s="3"/>
    </row>
    <row r="103" spans="1:34" ht="34" x14ac:dyDescent="0.4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IF(LEN(A103)&gt;0, 상수!B$4, "")</f>
        <v/>
      </c>
      <c r="L103" s="1"/>
      <c r="M103" s="11" t="str">
        <f t="shared" si="18"/>
        <v xml:space="preserve">스핀들유격: </v>
      </c>
      <c r="N103" s="11" t="str">
        <f t="shared" si="18"/>
        <v xml:space="preserve">스핀들유격: </v>
      </c>
      <c r="O103" s="11" t="str">
        <f t="shared" si="18"/>
        <v xml:space="preserve">스핀들유격: </v>
      </c>
      <c r="P103" s="11" t="str">
        <f t="shared" si="18"/>
        <v xml:space="preserve">스핀들유격: </v>
      </c>
      <c r="Q103" s="11" t="str">
        <f t="shared" ref="Q103:X118" si="20">IF(MOD($AD103,5)=0, "000-000 :","-" )</f>
        <v>000-000 :</v>
      </c>
      <c r="R103" s="11" t="str">
        <f t="shared" si="20"/>
        <v>000-000 :</v>
      </c>
      <c r="S103" s="11" t="str">
        <f t="shared" si="20"/>
        <v>000-000 :</v>
      </c>
      <c r="T103" s="11" t="str">
        <f t="shared" si="20"/>
        <v>000-000 :</v>
      </c>
      <c r="U103" s="11" t="str">
        <f t="shared" si="20"/>
        <v>000-000 :</v>
      </c>
      <c r="V103" s="11" t="str">
        <f t="shared" si="20"/>
        <v>000-000 :</v>
      </c>
      <c r="W103" s="11" t="str">
        <f t="shared" si="20"/>
        <v>000-000 :</v>
      </c>
      <c r="X103" s="11" t="str">
        <f t="shared" si="20"/>
        <v>000-000 :</v>
      </c>
      <c r="Y103" s="11" t="str">
        <f t="shared" si="14"/>
        <v>스핀들소음 :</v>
      </c>
      <c r="Z103" s="11" t="str">
        <f t="shared" si="15"/>
        <v>필터세척 :
FLOW   (T1, T4 : / T2, T3 : / T4 : )</v>
      </c>
      <c r="AA103" s="11" t="str">
        <f t="shared" si="16"/>
        <v/>
      </c>
      <c r="AB103" s="1"/>
      <c r="AC103" s="1"/>
      <c r="AD103" s="12"/>
      <c r="AE103" s="11" t="str">
        <f t="shared" si="17"/>
        <v/>
      </c>
      <c r="AF103" s="9"/>
      <c r="AG103" s="1"/>
      <c r="AH103" s="3"/>
    </row>
    <row r="104" spans="1:34" ht="34" x14ac:dyDescent="0.4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IF(LEN(A104)&gt;0, 상수!B$4, "")</f>
        <v/>
      </c>
      <c r="L104" s="1"/>
      <c r="M104" s="11" t="str">
        <f t="shared" si="18"/>
        <v xml:space="preserve">스핀들유격: </v>
      </c>
      <c r="N104" s="11" t="str">
        <f t="shared" si="18"/>
        <v xml:space="preserve">스핀들유격: </v>
      </c>
      <c r="O104" s="11" t="str">
        <f t="shared" si="18"/>
        <v xml:space="preserve">스핀들유격: </v>
      </c>
      <c r="P104" s="11" t="str">
        <f t="shared" si="18"/>
        <v xml:space="preserve">스핀들유격: </v>
      </c>
      <c r="Q104" s="11" t="str">
        <f t="shared" si="20"/>
        <v>000-000 :</v>
      </c>
      <c r="R104" s="11" t="str">
        <f t="shared" si="20"/>
        <v>000-000 :</v>
      </c>
      <c r="S104" s="11" t="str">
        <f t="shared" si="20"/>
        <v>000-000 :</v>
      </c>
      <c r="T104" s="11" t="str">
        <f t="shared" si="20"/>
        <v>000-000 :</v>
      </c>
      <c r="U104" s="11" t="str">
        <f t="shared" si="20"/>
        <v>000-000 :</v>
      </c>
      <c r="V104" s="11" t="str">
        <f t="shared" si="20"/>
        <v>000-000 :</v>
      </c>
      <c r="W104" s="11" t="str">
        <f t="shared" si="20"/>
        <v>000-000 :</v>
      </c>
      <c r="X104" s="11" t="str">
        <f t="shared" si="20"/>
        <v>000-000 :</v>
      </c>
      <c r="Y104" s="11" t="str">
        <f t="shared" si="14"/>
        <v>스핀들소음 :</v>
      </c>
      <c r="Z104" s="11" t="str">
        <f t="shared" si="15"/>
        <v>필터세척 :
FLOW   (T1, T4 : / T2, T3 : / T4 : )</v>
      </c>
      <c r="AA104" s="11" t="str">
        <f t="shared" si="16"/>
        <v/>
      </c>
      <c r="AB104" s="1"/>
      <c r="AC104" s="1"/>
      <c r="AD104" s="12"/>
      <c r="AE104" s="11" t="str">
        <f t="shared" si="17"/>
        <v/>
      </c>
      <c r="AF104" s="9"/>
      <c r="AG104" s="1"/>
      <c r="AH104" s="3"/>
    </row>
    <row r="105" spans="1:34" ht="34" x14ac:dyDescent="0.45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IF(LEN(A105)&gt;0, 상수!B$4, "")</f>
        <v/>
      </c>
      <c r="L105" s="1"/>
      <c r="M105" s="11" t="str">
        <f t="shared" si="18"/>
        <v xml:space="preserve">스핀들유격: </v>
      </c>
      <c r="N105" s="11" t="str">
        <f t="shared" si="18"/>
        <v xml:space="preserve">스핀들유격: </v>
      </c>
      <c r="O105" s="11" t="str">
        <f t="shared" si="18"/>
        <v xml:space="preserve">스핀들유격: </v>
      </c>
      <c r="P105" s="11" t="str">
        <f t="shared" si="18"/>
        <v xml:space="preserve">스핀들유격: </v>
      </c>
      <c r="Q105" s="11" t="str">
        <f t="shared" si="20"/>
        <v>000-000 :</v>
      </c>
      <c r="R105" s="11" t="str">
        <f t="shared" si="20"/>
        <v>000-000 :</v>
      </c>
      <c r="S105" s="11" t="str">
        <f t="shared" si="20"/>
        <v>000-000 :</v>
      </c>
      <c r="T105" s="11" t="str">
        <f t="shared" si="20"/>
        <v>000-000 :</v>
      </c>
      <c r="U105" s="11" t="str">
        <f t="shared" si="20"/>
        <v>000-000 :</v>
      </c>
      <c r="V105" s="11" t="str">
        <f t="shared" si="20"/>
        <v>000-000 :</v>
      </c>
      <c r="W105" s="11" t="str">
        <f t="shared" si="20"/>
        <v>000-000 :</v>
      </c>
      <c r="X105" s="11" t="str">
        <f t="shared" si="20"/>
        <v>000-000 :</v>
      </c>
      <c r="Y105" s="11" t="str">
        <f t="shared" si="14"/>
        <v>스핀들소음 :</v>
      </c>
      <c r="Z105" s="11" t="str">
        <f t="shared" si="15"/>
        <v>필터세척 :
FLOW   (T1, T4 : / T2, T3 : / T4 : )</v>
      </c>
      <c r="AA105" s="11" t="str">
        <f t="shared" si="16"/>
        <v/>
      </c>
      <c r="AB105" s="1"/>
      <c r="AC105" s="1"/>
      <c r="AD105" s="12"/>
      <c r="AE105" s="11" t="str">
        <f t="shared" si="17"/>
        <v/>
      </c>
      <c r="AF105" s="9"/>
      <c r="AG105" s="1"/>
      <c r="AH105" s="3"/>
    </row>
    <row r="106" spans="1:34" ht="34" x14ac:dyDescent="0.4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IF(LEN(A106)&gt;0, 상수!B$4, "")</f>
        <v/>
      </c>
      <c r="L106" s="1"/>
      <c r="M106" s="11" t="str">
        <f t="shared" si="18"/>
        <v xml:space="preserve">스핀들유격: </v>
      </c>
      <c r="N106" s="11" t="str">
        <f t="shared" si="18"/>
        <v xml:space="preserve">스핀들유격: </v>
      </c>
      <c r="O106" s="11" t="str">
        <f t="shared" si="18"/>
        <v xml:space="preserve">스핀들유격: </v>
      </c>
      <c r="P106" s="11" t="str">
        <f t="shared" si="18"/>
        <v xml:space="preserve">스핀들유격: </v>
      </c>
      <c r="Q106" s="11" t="str">
        <f t="shared" si="20"/>
        <v>000-000 :</v>
      </c>
      <c r="R106" s="11" t="str">
        <f t="shared" si="20"/>
        <v>000-000 :</v>
      </c>
      <c r="S106" s="11" t="str">
        <f t="shared" si="20"/>
        <v>000-000 :</v>
      </c>
      <c r="T106" s="11" t="str">
        <f t="shared" si="20"/>
        <v>000-000 :</v>
      </c>
      <c r="U106" s="11" t="str">
        <f t="shared" si="20"/>
        <v>000-000 :</v>
      </c>
      <c r="V106" s="11" t="str">
        <f t="shared" si="20"/>
        <v>000-000 :</v>
      </c>
      <c r="W106" s="11" t="str">
        <f t="shared" si="20"/>
        <v>000-000 :</v>
      </c>
      <c r="X106" s="11" t="str">
        <f t="shared" si="20"/>
        <v>000-000 :</v>
      </c>
      <c r="Y106" s="11" t="str">
        <f t="shared" si="14"/>
        <v>스핀들소음 :</v>
      </c>
      <c r="Z106" s="11" t="str">
        <f t="shared" si="15"/>
        <v>필터세척 :
FLOW   (T1, T4 : / T2, T3 : / T4 : )</v>
      </c>
      <c r="AA106" s="11" t="str">
        <f t="shared" si="16"/>
        <v/>
      </c>
      <c r="AB106" s="1"/>
      <c r="AC106" s="1"/>
      <c r="AD106" s="12"/>
      <c r="AE106" s="11" t="str">
        <f t="shared" si="17"/>
        <v/>
      </c>
      <c r="AF106" s="9"/>
      <c r="AG106" s="1"/>
      <c r="AH106" s="3"/>
    </row>
    <row r="107" spans="1:34" ht="34" x14ac:dyDescent="0.4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IF(LEN(A107)&gt;0, 상수!B$4, "")</f>
        <v/>
      </c>
      <c r="L107" s="1"/>
      <c r="M107" s="11" t="str">
        <f t="shared" ref="M107:P126" si="21">IF(MOD($AD107,5)=0, "스핀들유격: ","-" )</f>
        <v xml:space="preserve">스핀들유격: </v>
      </c>
      <c r="N107" s="11" t="str">
        <f t="shared" si="21"/>
        <v xml:space="preserve">스핀들유격: </v>
      </c>
      <c r="O107" s="11" t="str">
        <f t="shared" si="21"/>
        <v xml:space="preserve">스핀들유격: </v>
      </c>
      <c r="P107" s="11" t="str">
        <f t="shared" si="21"/>
        <v xml:space="preserve">스핀들유격: </v>
      </c>
      <c r="Q107" s="11" t="str">
        <f t="shared" si="20"/>
        <v>000-000 :</v>
      </c>
      <c r="R107" s="11" t="str">
        <f t="shared" si="20"/>
        <v>000-000 :</v>
      </c>
      <c r="S107" s="11" t="str">
        <f t="shared" si="20"/>
        <v>000-000 :</v>
      </c>
      <c r="T107" s="11" t="str">
        <f t="shared" si="20"/>
        <v>000-000 :</v>
      </c>
      <c r="U107" s="11" t="str">
        <f t="shared" si="20"/>
        <v>000-000 :</v>
      </c>
      <c r="V107" s="11" t="str">
        <f t="shared" si="20"/>
        <v>000-000 :</v>
      </c>
      <c r="W107" s="11" t="str">
        <f t="shared" si="20"/>
        <v>000-000 :</v>
      </c>
      <c r="X107" s="11" t="str">
        <f t="shared" si="20"/>
        <v>000-000 :</v>
      </c>
      <c r="Y107" s="11" t="str">
        <f t="shared" si="14"/>
        <v>스핀들소음 :</v>
      </c>
      <c r="Z107" s="11" t="str">
        <f t="shared" si="15"/>
        <v>필터세척 :
FLOW   (T1, T4 : / T2, T3 : / T4 : )</v>
      </c>
      <c r="AA107" s="11" t="str">
        <f t="shared" si="16"/>
        <v/>
      </c>
      <c r="AB107" s="1"/>
      <c r="AC107" s="1"/>
      <c r="AD107" s="12"/>
      <c r="AE107" s="11" t="str">
        <f t="shared" si="17"/>
        <v/>
      </c>
      <c r="AF107" s="9"/>
      <c r="AG107" s="1"/>
      <c r="AH107" s="3"/>
    </row>
    <row r="108" spans="1:34" ht="34" x14ac:dyDescent="0.4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IF(LEN(A108)&gt;0, 상수!B$4, "")</f>
        <v/>
      </c>
      <c r="L108" s="1"/>
      <c r="M108" s="11" t="str">
        <f t="shared" si="21"/>
        <v xml:space="preserve">스핀들유격: </v>
      </c>
      <c r="N108" s="11" t="str">
        <f t="shared" si="21"/>
        <v xml:space="preserve">스핀들유격: </v>
      </c>
      <c r="O108" s="11" t="str">
        <f t="shared" si="21"/>
        <v xml:space="preserve">스핀들유격: </v>
      </c>
      <c r="P108" s="11" t="str">
        <f t="shared" si="21"/>
        <v xml:space="preserve">스핀들유격: </v>
      </c>
      <c r="Q108" s="11" t="str">
        <f t="shared" si="20"/>
        <v>000-000 :</v>
      </c>
      <c r="R108" s="11" t="str">
        <f t="shared" si="20"/>
        <v>000-000 :</v>
      </c>
      <c r="S108" s="11" t="str">
        <f t="shared" si="20"/>
        <v>000-000 :</v>
      </c>
      <c r="T108" s="11" t="str">
        <f t="shared" si="20"/>
        <v>000-000 :</v>
      </c>
      <c r="U108" s="11" t="str">
        <f t="shared" si="20"/>
        <v>000-000 :</v>
      </c>
      <c r="V108" s="11" t="str">
        <f t="shared" si="20"/>
        <v>000-000 :</v>
      </c>
      <c r="W108" s="11" t="str">
        <f t="shared" si="20"/>
        <v>000-000 :</v>
      </c>
      <c r="X108" s="11" t="str">
        <f t="shared" si="20"/>
        <v>000-000 :</v>
      </c>
      <c r="Y108" s="11" t="str">
        <f t="shared" si="14"/>
        <v>스핀들소음 :</v>
      </c>
      <c r="Z108" s="11" t="str">
        <f t="shared" si="15"/>
        <v>필터세척 :
FLOW   (T1, T4 : / T2, T3 : / T4 : )</v>
      </c>
      <c r="AA108" s="11" t="str">
        <f t="shared" si="16"/>
        <v/>
      </c>
      <c r="AB108" s="1"/>
      <c r="AC108" s="1"/>
      <c r="AD108" s="12"/>
      <c r="AE108" s="11" t="str">
        <f t="shared" si="17"/>
        <v/>
      </c>
      <c r="AF108" s="9"/>
      <c r="AG108" s="1"/>
      <c r="AH108" s="3"/>
    </row>
    <row r="109" spans="1:34" ht="34" x14ac:dyDescent="0.4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IF(LEN(A109)&gt;0, 상수!B$4, "")</f>
        <v/>
      </c>
      <c r="L109" s="1"/>
      <c r="M109" s="11" t="str">
        <f t="shared" si="21"/>
        <v xml:space="preserve">스핀들유격: </v>
      </c>
      <c r="N109" s="11" t="str">
        <f t="shared" si="21"/>
        <v xml:space="preserve">스핀들유격: </v>
      </c>
      <c r="O109" s="11" t="str">
        <f t="shared" si="21"/>
        <v xml:space="preserve">스핀들유격: </v>
      </c>
      <c r="P109" s="11" t="str">
        <f t="shared" si="21"/>
        <v xml:space="preserve">스핀들유격: </v>
      </c>
      <c r="Q109" s="11" t="str">
        <f t="shared" si="20"/>
        <v>000-000 :</v>
      </c>
      <c r="R109" s="11" t="str">
        <f t="shared" si="20"/>
        <v>000-000 :</v>
      </c>
      <c r="S109" s="11" t="str">
        <f t="shared" si="20"/>
        <v>000-000 :</v>
      </c>
      <c r="T109" s="11" t="str">
        <f t="shared" si="20"/>
        <v>000-000 :</v>
      </c>
      <c r="U109" s="11" t="str">
        <f t="shared" si="20"/>
        <v>000-000 :</v>
      </c>
      <c r="V109" s="11" t="str">
        <f t="shared" si="20"/>
        <v>000-000 :</v>
      </c>
      <c r="W109" s="11" t="str">
        <f t="shared" si="20"/>
        <v>000-000 :</v>
      </c>
      <c r="X109" s="11" t="str">
        <f t="shared" si="20"/>
        <v>000-000 :</v>
      </c>
      <c r="Y109" s="11" t="str">
        <f t="shared" si="14"/>
        <v>스핀들소음 :</v>
      </c>
      <c r="Z109" s="11" t="str">
        <f t="shared" si="15"/>
        <v>필터세척 :
FLOW   (T1, T4 : / T2, T3 : / T4 : )</v>
      </c>
      <c r="AA109" s="11" t="str">
        <f t="shared" si="16"/>
        <v/>
      </c>
      <c r="AB109" s="1"/>
      <c r="AC109" s="1"/>
      <c r="AD109" s="12"/>
      <c r="AE109" s="11" t="str">
        <f t="shared" si="17"/>
        <v/>
      </c>
      <c r="AF109" s="9"/>
      <c r="AG109" s="1"/>
      <c r="AH109" s="3"/>
    </row>
    <row r="110" spans="1:34" ht="34" x14ac:dyDescent="0.4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 t="str">
        <f>IF(LEN(A110)&gt;0, 상수!B$4, "")</f>
        <v/>
      </c>
      <c r="L110" s="1"/>
      <c r="M110" s="11" t="str">
        <f t="shared" si="21"/>
        <v xml:space="preserve">스핀들유격: </v>
      </c>
      <c r="N110" s="11" t="str">
        <f t="shared" si="21"/>
        <v xml:space="preserve">스핀들유격: </v>
      </c>
      <c r="O110" s="11" t="str">
        <f t="shared" si="21"/>
        <v xml:space="preserve">스핀들유격: </v>
      </c>
      <c r="P110" s="11" t="str">
        <f t="shared" si="21"/>
        <v xml:space="preserve">스핀들유격: </v>
      </c>
      <c r="Q110" s="11" t="str">
        <f t="shared" si="20"/>
        <v>000-000 :</v>
      </c>
      <c r="R110" s="11" t="str">
        <f t="shared" si="20"/>
        <v>000-000 :</v>
      </c>
      <c r="S110" s="11" t="str">
        <f t="shared" si="20"/>
        <v>000-000 :</v>
      </c>
      <c r="T110" s="11" t="str">
        <f t="shared" si="20"/>
        <v>000-000 :</v>
      </c>
      <c r="U110" s="11" t="str">
        <f t="shared" si="20"/>
        <v>000-000 :</v>
      </c>
      <c r="V110" s="11" t="str">
        <f t="shared" si="20"/>
        <v>000-000 :</v>
      </c>
      <c r="W110" s="11" t="str">
        <f t="shared" si="20"/>
        <v>000-000 :</v>
      </c>
      <c r="X110" s="11" t="str">
        <f t="shared" si="20"/>
        <v>000-000 :</v>
      </c>
      <c r="Y110" s="11" t="str">
        <f t="shared" si="14"/>
        <v>스핀들소음 :</v>
      </c>
      <c r="Z110" s="11" t="str">
        <f t="shared" si="15"/>
        <v>필터세척 :
FLOW   (T1, T4 : / T2, T3 : / T4 : )</v>
      </c>
      <c r="AA110" s="11" t="str">
        <f t="shared" si="16"/>
        <v/>
      </c>
      <c r="AB110" s="1"/>
      <c r="AC110" s="1"/>
      <c r="AD110" s="12"/>
      <c r="AE110" s="11" t="str">
        <f t="shared" si="17"/>
        <v/>
      </c>
      <c r="AF110" s="9"/>
      <c r="AG110" s="1"/>
      <c r="AH110" s="3"/>
    </row>
    <row r="111" spans="1:34" ht="34" x14ac:dyDescent="0.4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 t="str">
        <f>IF(LEN(A111)&gt;0, 상수!B$4, "")</f>
        <v/>
      </c>
      <c r="L111" s="1"/>
      <c r="M111" s="11" t="str">
        <f t="shared" si="21"/>
        <v xml:space="preserve">스핀들유격: </v>
      </c>
      <c r="N111" s="11" t="str">
        <f t="shared" si="21"/>
        <v xml:space="preserve">스핀들유격: </v>
      </c>
      <c r="O111" s="11" t="str">
        <f t="shared" si="21"/>
        <v xml:space="preserve">스핀들유격: </v>
      </c>
      <c r="P111" s="11" t="str">
        <f t="shared" si="21"/>
        <v xml:space="preserve">스핀들유격: </v>
      </c>
      <c r="Q111" s="11" t="str">
        <f t="shared" si="20"/>
        <v>000-000 :</v>
      </c>
      <c r="R111" s="11" t="str">
        <f t="shared" si="20"/>
        <v>000-000 :</v>
      </c>
      <c r="S111" s="11" t="str">
        <f t="shared" si="20"/>
        <v>000-000 :</v>
      </c>
      <c r="T111" s="11" t="str">
        <f t="shared" si="20"/>
        <v>000-000 :</v>
      </c>
      <c r="U111" s="11" t="str">
        <f t="shared" si="20"/>
        <v>000-000 :</v>
      </c>
      <c r="V111" s="11" t="str">
        <f t="shared" si="20"/>
        <v>000-000 :</v>
      </c>
      <c r="W111" s="11" t="str">
        <f t="shared" si="20"/>
        <v>000-000 :</v>
      </c>
      <c r="X111" s="11" t="str">
        <f t="shared" si="20"/>
        <v>000-000 :</v>
      </c>
      <c r="Y111" s="11" t="str">
        <f t="shared" si="14"/>
        <v>스핀들소음 :</v>
      </c>
      <c r="Z111" s="11" t="str">
        <f t="shared" si="15"/>
        <v>필터세척 :
FLOW   (T1, T4 : / T2, T3 : / T4 : )</v>
      </c>
      <c r="AA111" s="11" t="str">
        <f t="shared" si="16"/>
        <v/>
      </c>
      <c r="AB111" s="1"/>
      <c r="AC111" s="1"/>
      <c r="AD111" s="12"/>
      <c r="AE111" s="11" t="str">
        <f t="shared" si="17"/>
        <v/>
      </c>
      <c r="AF111" s="9"/>
      <c r="AG111" s="1"/>
      <c r="AH111" s="3"/>
    </row>
    <row r="112" spans="1:34" ht="34" x14ac:dyDescent="0.4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 t="str">
        <f>IF(LEN(A112)&gt;0, 상수!B$4, "")</f>
        <v/>
      </c>
      <c r="L112" s="1"/>
      <c r="M112" s="11" t="str">
        <f t="shared" si="21"/>
        <v xml:space="preserve">스핀들유격: </v>
      </c>
      <c r="N112" s="11" t="str">
        <f t="shared" si="21"/>
        <v xml:space="preserve">스핀들유격: </v>
      </c>
      <c r="O112" s="11" t="str">
        <f t="shared" si="21"/>
        <v xml:space="preserve">스핀들유격: </v>
      </c>
      <c r="P112" s="11" t="str">
        <f t="shared" si="21"/>
        <v xml:space="preserve">스핀들유격: </v>
      </c>
      <c r="Q112" s="11" t="str">
        <f t="shared" si="20"/>
        <v>000-000 :</v>
      </c>
      <c r="R112" s="11" t="str">
        <f t="shared" si="20"/>
        <v>000-000 :</v>
      </c>
      <c r="S112" s="11" t="str">
        <f t="shared" si="20"/>
        <v>000-000 :</v>
      </c>
      <c r="T112" s="11" t="str">
        <f t="shared" si="20"/>
        <v>000-000 :</v>
      </c>
      <c r="U112" s="11" t="str">
        <f t="shared" si="20"/>
        <v>000-000 :</v>
      </c>
      <c r="V112" s="11" t="str">
        <f t="shared" si="20"/>
        <v>000-000 :</v>
      </c>
      <c r="W112" s="11" t="str">
        <f t="shared" si="20"/>
        <v>000-000 :</v>
      </c>
      <c r="X112" s="11" t="str">
        <f t="shared" si="20"/>
        <v>000-000 :</v>
      </c>
      <c r="Y112" s="11" t="str">
        <f t="shared" si="14"/>
        <v>스핀들소음 :</v>
      </c>
      <c r="Z112" s="11" t="str">
        <f t="shared" si="15"/>
        <v>필터세척 :
FLOW   (T1, T4 : / T2, T3 : / T4 : )</v>
      </c>
      <c r="AA112" s="11" t="str">
        <f t="shared" si="16"/>
        <v/>
      </c>
      <c r="AB112" s="1"/>
      <c r="AC112" s="1"/>
      <c r="AD112" s="12"/>
      <c r="AE112" s="11" t="str">
        <f t="shared" si="17"/>
        <v/>
      </c>
      <c r="AF112" s="9"/>
      <c r="AG112" s="1"/>
      <c r="AH112" s="3"/>
    </row>
    <row r="113" spans="1:34" ht="34" x14ac:dyDescent="0.4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 t="str">
        <f>IF(LEN(A113)&gt;0, 상수!B$4, "")</f>
        <v/>
      </c>
      <c r="L113" s="1"/>
      <c r="M113" s="11" t="str">
        <f t="shared" si="21"/>
        <v xml:space="preserve">스핀들유격: </v>
      </c>
      <c r="N113" s="11" t="str">
        <f t="shared" si="21"/>
        <v xml:space="preserve">스핀들유격: </v>
      </c>
      <c r="O113" s="11" t="str">
        <f t="shared" si="21"/>
        <v xml:space="preserve">스핀들유격: </v>
      </c>
      <c r="P113" s="11" t="str">
        <f t="shared" si="21"/>
        <v xml:space="preserve">스핀들유격: </v>
      </c>
      <c r="Q113" s="11" t="str">
        <f t="shared" si="20"/>
        <v>000-000 :</v>
      </c>
      <c r="R113" s="11" t="str">
        <f t="shared" si="20"/>
        <v>000-000 :</v>
      </c>
      <c r="S113" s="11" t="str">
        <f t="shared" si="20"/>
        <v>000-000 :</v>
      </c>
      <c r="T113" s="11" t="str">
        <f t="shared" si="20"/>
        <v>000-000 :</v>
      </c>
      <c r="U113" s="11" t="str">
        <f t="shared" si="20"/>
        <v>000-000 :</v>
      </c>
      <c r="V113" s="11" t="str">
        <f t="shared" si="20"/>
        <v>000-000 :</v>
      </c>
      <c r="W113" s="11" t="str">
        <f t="shared" si="20"/>
        <v>000-000 :</v>
      </c>
      <c r="X113" s="11" t="str">
        <f t="shared" si="20"/>
        <v>000-000 :</v>
      </c>
      <c r="Y113" s="11" t="str">
        <f t="shared" si="14"/>
        <v>스핀들소음 :</v>
      </c>
      <c r="Z113" s="11" t="str">
        <f t="shared" si="15"/>
        <v>필터세척 :
FLOW   (T1, T4 : / T2, T3 : / T4 : )</v>
      </c>
      <c r="AA113" s="11" t="str">
        <f t="shared" si="16"/>
        <v/>
      </c>
      <c r="AB113" s="1"/>
      <c r="AC113" s="1"/>
      <c r="AD113" s="12"/>
      <c r="AE113" s="11" t="str">
        <f t="shared" si="17"/>
        <v/>
      </c>
      <c r="AF113" s="9"/>
      <c r="AG113" s="1"/>
      <c r="AH113" s="3"/>
    </row>
    <row r="114" spans="1:34" ht="34" x14ac:dyDescent="0.4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 t="str">
        <f>IF(LEN(A114)&gt;0, 상수!B$4, "")</f>
        <v/>
      </c>
      <c r="L114" s="1"/>
      <c r="M114" s="11" t="str">
        <f t="shared" si="21"/>
        <v xml:space="preserve">스핀들유격: </v>
      </c>
      <c r="N114" s="11" t="str">
        <f t="shared" si="21"/>
        <v xml:space="preserve">스핀들유격: </v>
      </c>
      <c r="O114" s="11" t="str">
        <f t="shared" si="21"/>
        <v xml:space="preserve">스핀들유격: </v>
      </c>
      <c r="P114" s="11" t="str">
        <f t="shared" si="21"/>
        <v xml:space="preserve">스핀들유격: </v>
      </c>
      <c r="Q114" s="11" t="str">
        <f t="shared" si="20"/>
        <v>000-000 :</v>
      </c>
      <c r="R114" s="11" t="str">
        <f t="shared" si="20"/>
        <v>000-000 :</v>
      </c>
      <c r="S114" s="11" t="str">
        <f t="shared" si="20"/>
        <v>000-000 :</v>
      </c>
      <c r="T114" s="11" t="str">
        <f t="shared" si="20"/>
        <v>000-000 :</v>
      </c>
      <c r="U114" s="11" t="str">
        <f t="shared" si="20"/>
        <v>000-000 :</v>
      </c>
      <c r="V114" s="11" t="str">
        <f t="shared" si="20"/>
        <v>000-000 :</v>
      </c>
      <c r="W114" s="11" t="str">
        <f t="shared" si="20"/>
        <v>000-000 :</v>
      </c>
      <c r="X114" s="11" t="str">
        <f t="shared" si="20"/>
        <v>000-000 :</v>
      </c>
      <c r="Y114" s="11" t="str">
        <f t="shared" si="14"/>
        <v>스핀들소음 :</v>
      </c>
      <c r="Z114" s="11" t="str">
        <f t="shared" si="15"/>
        <v>필터세척 :
FLOW   (T1, T4 : / T2, T3 : / T4 : )</v>
      </c>
      <c r="AA114" s="11" t="str">
        <f t="shared" si="16"/>
        <v/>
      </c>
      <c r="AB114" s="1"/>
      <c r="AC114" s="1"/>
      <c r="AD114" s="12"/>
      <c r="AE114" s="11" t="str">
        <f t="shared" si="17"/>
        <v/>
      </c>
      <c r="AF114" s="9"/>
      <c r="AG114" s="1"/>
      <c r="AH114" s="3"/>
    </row>
    <row r="115" spans="1:34" ht="34" x14ac:dyDescent="0.4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 t="str">
        <f>IF(LEN(A115)&gt;0, 상수!B$4, "")</f>
        <v/>
      </c>
      <c r="L115" s="1"/>
      <c r="M115" s="11" t="str">
        <f t="shared" si="21"/>
        <v xml:space="preserve">스핀들유격: </v>
      </c>
      <c r="N115" s="11" t="str">
        <f t="shared" si="21"/>
        <v xml:space="preserve">스핀들유격: </v>
      </c>
      <c r="O115" s="11" t="str">
        <f t="shared" si="21"/>
        <v xml:space="preserve">스핀들유격: </v>
      </c>
      <c r="P115" s="11" t="str">
        <f t="shared" si="21"/>
        <v xml:space="preserve">스핀들유격: </v>
      </c>
      <c r="Q115" s="11" t="str">
        <f t="shared" si="20"/>
        <v>000-000 :</v>
      </c>
      <c r="R115" s="11" t="str">
        <f t="shared" si="20"/>
        <v>000-000 :</v>
      </c>
      <c r="S115" s="11" t="str">
        <f t="shared" si="20"/>
        <v>000-000 :</v>
      </c>
      <c r="T115" s="11" t="str">
        <f t="shared" si="20"/>
        <v>000-000 :</v>
      </c>
      <c r="U115" s="11" t="str">
        <f t="shared" si="20"/>
        <v>000-000 :</v>
      </c>
      <c r="V115" s="11" t="str">
        <f t="shared" si="20"/>
        <v>000-000 :</v>
      </c>
      <c r="W115" s="11" t="str">
        <f t="shared" si="20"/>
        <v>000-000 :</v>
      </c>
      <c r="X115" s="11" t="str">
        <f t="shared" si="20"/>
        <v>000-000 :</v>
      </c>
      <c r="Y115" s="11" t="str">
        <f t="shared" si="14"/>
        <v>스핀들소음 :</v>
      </c>
      <c r="Z115" s="11" t="str">
        <f t="shared" si="15"/>
        <v>필터세척 :
FLOW   (T1, T4 : / T2, T3 : / T4 : )</v>
      </c>
      <c r="AA115" s="11" t="str">
        <f t="shared" si="16"/>
        <v/>
      </c>
      <c r="AB115" s="1"/>
      <c r="AC115" s="1"/>
      <c r="AD115" s="12"/>
      <c r="AE115" s="11" t="str">
        <f t="shared" si="17"/>
        <v/>
      </c>
      <c r="AF115" s="9"/>
      <c r="AG115" s="1"/>
      <c r="AH115" s="3"/>
    </row>
    <row r="116" spans="1:34" ht="34" x14ac:dyDescent="0.4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 t="str">
        <f>IF(LEN(A116)&gt;0, 상수!B$4, "")</f>
        <v/>
      </c>
      <c r="L116" s="1"/>
      <c r="M116" s="11" t="str">
        <f t="shared" si="21"/>
        <v xml:space="preserve">스핀들유격: </v>
      </c>
      <c r="N116" s="11" t="str">
        <f t="shared" si="21"/>
        <v xml:space="preserve">스핀들유격: </v>
      </c>
      <c r="O116" s="11" t="str">
        <f t="shared" si="21"/>
        <v xml:space="preserve">스핀들유격: </v>
      </c>
      <c r="P116" s="11" t="str">
        <f t="shared" si="21"/>
        <v xml:space="preserve">스핀들유격: </v>
      </c>
      <c r="Q116" s="11" t="str">
        <f t="shared" si="20"/>
        <v>000-000 :</v>
      </c>
      <c r="R116" s="11" t="str">
        <f t="shared" si="20"/>
        <v>000-000 :</v>
      </c>
      <c r="S116" s="11" t="str">
        <f t="shared" si="20"/>
        <v>000-000 :</v>
      </c>
      <c r="T116" s="11" t="str">
        <f t="shared" si="20"/>
        <v>000-000 :</v>
      </c>
      <c r="U116" s="11" t="str">
        <f t="shared" si="20"/>
        <v>000-000 :</v>
      </c>
      <c r="V116" s="11" t="str">
        <f t="shared" si="20"/>
        <v>000-000 :</v>
      </c>
      <c r="W116" s="11" t="str">
        <f t="shared" si="20"/>
        <v>000-000 :</v>
      </c>
      <c r="X116" s="11" t="str">
        <f t="shared" si="20"/>
        <v>000-000 :</v>
      </c>
      <c r="Y116" s="11" t="str">
        <f t="shared" si="14"/>
        <v>스핀들소음 :</v>
      </c>
      <c r="Z116" s="11" t="str">
        <f t="shared" si="15"/>
        <v>필터세척 :
FLOW   (T1, T4 : / T2, T3 : / T4 : )</v>
      </c>
      <c r="AA116" s="11" t="str">
        <f t="shared" si="16"/>
        <v/>
      </c>
      <c r="AB116" s="1"/>
      <c r="AC116" s="1"/>
      <c r="AD116" s="12"/>
      <c r="AE116" s="11" t="str">
        <f t="shared" si="17"/>
        <v/>
      </c>
      <c r="AF116" s="9"/>
      <c r="AG116" s="1"/>
      <c r="AH116" s="3"/>
    </row>
    <row r="117" spans="1:34" ht="34" x14ac:dyDescent="0.4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 t="str">
        <f>IF(LEN(A117)&gt;0, 상수!B$4, "")</f>
        <v/>
      </c>
      <c r="L117" s="1"/>
      <c r="M117" s="11" t="str">
        <f t="shared" si="21"/>
        <v xml:space="preserve">스핀들유격: </v>
      </c>
      <c r="N117" s="11" t="str">
        <f t="shared" si="21"/>
        <v xml:space="preserve">스핀들유격: </v>
      </c>
      <c r="O117" s="11" t="str">
        <f t="shared" si="21"/>
        <v xml:space="preserve">스핀들유격: </v>
      </c>
      <c r="P117" s="11" t="str">
        <f t="shared" si="21"/>
        <v xml:space="preserve">스핀들유격: </v>
      </c>
      <c r="Q117" s="11" t="str">
        <f t="shared" si="20"/>
        <v>000-000 :</v>
      </c>
      <c r="R117" s="11" t="str">
        <f t="shared" si="20"/>
        <v>000-000 :</v>
      </c>
      <c r="S117" s="11" t="str">
        <f t="shared" si="20"/>
        <v>000-000 :</v>
      </c>
      <c r="T117" s="11" t="str">
        <f t="shared" si="20"/>
        <v>000-000 :</v>
      </c>
      <c r="U117" s="11" t="str">
        <f t="shared" si="20"/>
        <v>000-000 :</v>
      </c>
      <c r="V117" s="11" t="str">
        <f t="shared" si="20"/>
        <v>000-000 :</v>
      </c>
      <c r="W117" s="11" t="str">
        <f t="shared" si="20"/>
        <v>000-000 :</v>
      </c>
      <c r="X117" s="11" t="str">
        <f t="shared" si="20"/>
        <v>000-000 :</v>
      </c>
      <c r="Y117" s="11" t="str">
        <f t="shared" si="14"/>
        <v>스핀들소음 :</v>
      </c>
      <c r="Z117" s="11" t="str">
        <f t="shared" si="15"/>
        <v>필터세척 :
FLOW   (T1, T4 : / T2, T3 : / T4 : )</v>
      </c>
      <c r="AA117" s="11" t="str">
        <f t="shared" si="16"/>
        <v/>
      </c>
      <c r="AB117" s="1"/>
      <c r="AC117" s="1"/>
      <c r="AD117" s="12"/>
      <c r="AE117" s="11" t="str">
        <f t="shared" si="17"/>
        <v/>
      </c>
      <c r="AF117" s="9"/>
      <c r="AG117" s="1"/>
      <c r="AH117" s="3"/>
    </row>
    <row r="118" spans="1:34" ht="34" x14ac:dyDescent="0.45">
      <c r="A118" s="4"/>
      <c r="B118" s="1"/>
      <c r="C118" s="1"/>
      <c r="D118" s="1"/>
      <c r="E118" s="1"/>
      <c r="F118" s="1"/>
      <c r="G118" s="1"/>
      <c r="H118" s="1"/>
      <c r="I118" s="1"/>
      <c r="J118" s="1"/>
      <c r="K118" s="1" t="str">
        <f>IF(LEN(A118)&gt;0, 상수!B$4, "")</f>
        <v/>
      </c>
      <c r="L118" s="1"/>
      <c r="M118" s="11" t="str">
        <f t="shared" si="21"/>
        <v xml:space="preserve">스핀들유격: </v>
      </c>
      <c r="N118" s="11" t="str">
        <f t="shared" si="21"/>
        <v xml:space="preserve">스핀들유격: </v>
      </c>
      <c r="O118" s="11" t="str">
        <f t="shared" si="21"/>
        <v xml:space="preserve">스핀들유격: </v>
      </c>
      <c r="P118" s="11" t="str">
        <f t="shared" si="21"/>
        <v xml:space="preserve">스핀들유격: </v>
      </c>
      <c r="Q118" s="11" t="str">
        <f t="shared" si="20"/>
        <v>000-000 :</v>
      </c>
      <c r="R118" s="11" t="str">
        <f t="shared" si="20"/>
        <v>000-000 :</v>
      </c>
      <c r="S118" s="11" t="str">
        <f t="shared" si="20"/>
        <v>000-000 :</v>
      </c>
      <c r="T118" s="11" t="str">
        <f t="shared" si="20"/>
        <v>000-000 :</v>
      </c>
      <c r="U118" s="11" t="str">
        <f t="shared" si="20"/>
        <v>000-000 :</v>
      </c>
      <c r="V118" s="11" t="str">
        <f t="shared" si="20"/>
        <v>000-000 :</v>
      </c>
      <c r="W118" s="11" t="str">
        <f t="shared" si="20"/>
        <v>000-000 :</v>
      </c>
      <c r="X118" s="11" t="str">
        <f t="shared" si="20"/>
        <v>000-000 :</v>
      </c>
      <c r="Y118" s="11" t="str">
        <f t="shared" si="14"/>
        <v>스핀들소음 :</v>
      </c>
      <c r="Z118" s="11" t="str">
        <f t="shared" si="15"/>
        <v>필터세척 :
FLOW   (T1, T4 : / T2, T3 : / T4 : )</v>
      </c>
      <c r="AA118" s="11" t="str">
        <f t="shared" si="16"/>
        <v/>
      </c>
      <c r="AB118" s="1"/>
      <c r="AC118" s="1"/>
      <c r="AD118" s="12"/>
      <c r="AE118" s="11" t="str">
        <f t="shared" si="17"/>
        <v/>
      </c>
      <c r="AF118" s="9"/>
      <c r="AG118" s="1"/>
      <c r="AH118" s="3"/>
    </row>
    <row r="119" spans="1:34" ht="34" x14ac:dyDescent="0.4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 t="str">
        <f>IF(LEN(A119)&gt;0, 상수!B$4, "")</f>
        <v/>
      </c>
      <c r="L119" s="1"/>
      <c r="M119" s="11" t="str">
        <f t="shared" si="21"/>
        <v xml:space="preserve">스핀들유격: </v>
      </c>
      <c r="N119" s="11" t="str">
        <f t="shared" si="21"/>
        <v xml:space="preserve">스핀들유격: </v>
      </c>
      <c r="O119" s="11" t="str">
        <f t="shared" si="21"/>
        <v xml:space="preserve">스핀들유격: </v>
      </c>
      <c r="P119" s="11" t="str">
        <f t="shared" si="21"/>
        <v xml:space="preserve">스핀들유격: </v>
      </c>
      <c r="Q119" s="11" t="str">
        <f t="shared" ref="Q119:X134" si="22">IF(MOD($AD119,5)=0, "000-000 :","-" )</f>
        <v>000-000 :</v>
      </c>
      <c r="R119" s="11" t="str">
        <f t="shared" si="22"/>
        <v>000-000 :</v>
      </c>
      <c r="S119" s="11" t="str">
        <f t="shared" si="22"/>
        <v>000-000 :</v>
      </c>
      <c r="T119" s="11" t="str">
        <f t="shared" si="22"/>
        <v>000-000 :</v>
      </c>
      <c r="U119" s="11" t="str">
        <f t="shared" si="22"/>
        <v>000-000 :</v>
      </c>
      <c r="V119" s="11" t="str">
        <f t="shared" si="22"/>
        <v>000-000 :</v>
      </c>
      <c r="W119" s="11" t="str">
        <f t="shared" si="22"/>
        <v>000-000 :</v>
      </c>
      <c r="X119" s="11" t="str">
        <f t="shared" si="22"/>
        <v>000-000 :</v>
      </c>
      <c r="Y119" s="11" t="str">
        <f t="shared" si="14"/>
        <v>스핀들소음 :</v>
      </c>
      <c r="Z119" s="11" t="str">
        <f t="shared" si="15"/>
        <v>필터세척 :
FLOW   (T1, T4 : / T2, T3 : / T4 : )</v>
      </c>
      <c r="AA119" s="11" t="str">
        <f t="shared" si="16"/>
        <v/>
      </c>
      <c r="AB119" s="1"/>
      <c r="AC119" s="1"/>
      <c r="AD119" s="12"/>
      <c r="AE119" s="11" t="str">
        <f t="shared" si="17"/>
        <v/>
      </c>
      <c r="AF119" s="9"/>
      <c r="AG119" s="1"/>
      <c r="AH119" s="3"/>
    </row>
    <row r="120" spans="1:34" ht="34" x14ac:dyDescent="0.4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 t="str">
        <f>IF(LEN(A120)&gt;0, 상수!B$4, "")</f>
        <v/>
      </c>
      <c r="L120" s="1"/>
      <c r="M120" s="11" t="str">
        <f t="shared" si="21"/>
        <v xml:space="preserve">스핀들유격: </v>
      </c>
      <c r="N120" s="11" t="str">
        <f t="shared" si="21"/>
        <v xml:space="preserve">스핀들유격: </v>
      </c>
      <c r="O120" s="11" t="str">
        <f t="shared" si="21"/>
        <v xml:space="preserve">스핀들유격: </v>
      </c>
      <c r="P120" s="11" t="str">
        <f t="shared" si="21"/>
        <v xml:space="preserve">스핀들유격: </v>
      </c>
      <c r="Q120" s="11" t="str">
        <f t="shared" si="22"/>
        <v>000-000 :</v>
      </c>
      <c r="R120" s="11" t="str">
        <f t="shared" si="22"/>
        <v>000-000 :</v>
      </c>
      <c r="S120" s="11" t="str">
        <f t="shared" si="22"/>
        <v>000-000 :</v>
      </c>
      <c r="T120" s="11" t="str">
        <f t="shared" si="22"/>
        <v>000-000 :</v>
      </c>
      <c r="U120" s="11" t="str">
        <f t="shared" si="22"/>
        <v>000-000 :</v>
      </c>
      <c r="V120" s="11" t="str">
        <f t="shared" si="22"/>
        <v>000-000 :</v>
      </c>
      <c r="W120" s="11" t="str">
        <f t="shared" si="22"/>
        <v>000-000 :</v>
      </c>
      <c r="X120" s="11" t="str">
        <f t="shared" si="22"/>
        <v>000-000 :</v>
      </c>
      <c r="Y120" s="11" t="str">
        <f t="shared" si="14"/>
        <v>스핀들소음 :</v>
      </c>
      <c r="Z120" s="11" t="str">
        <f t="shared" si="15"/>
        <v>필터세척 :
FLOW   (T1, T4 : / T2, T3 : / T4 : )</v>
      </c>
      <c r="AA120" s="11" t="str">
        <f t="shared" si="16"/>
        <v/>
      </c>
      <c r="AB120" s="1"/>
      <c r="AC120" s="1"/>
      <c r="AD120" s="12"/>
      <c r="AE120" s="11" t="str">
        <f t="shared" si="17"/>
        <v/>
      </c>
      <c r="AF120" s="9"/>
      <c r="AG120" s="1"/>
      <c r="AH120" s="3"/>
    </row>
    <row r="121" spans="1:34" ht="34" x14ac:dyDescent="0.4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 t="str">
        <f>IF(LEN(A121)&gt;0, 상수!B$4, "")</f>
        <v/>
      </c>
      <c r="L121" s="1"/>
      <c r="M121" s="11" t="str">
        <f t="shared" si="21"/>
        <v xml:space="preserve">스핀들유격: </v>
      </c>
      <c r="N121" s="11" t="str">
        <f t="shared" si="21"/>
        <v xml:space="preserve">스핀들유격: </v>
      </c>
      <c r="O121" s="11" t="str">
        <f t="shared" si="21"/>
        <v xml:space="preserve">스핀들유격: </v>
      </c>
      <c r="P121" s="11" t="str">
        <f t="shared" si="21"/>
        <v xml:space="preserve">스핀들유격: </v>
      </c>
      <c r="Q121" s="11" t="str">
        <f t="shared" si="22"/>
        <v>000-000 :</v>
      </c>
      <c r="R121" s="11" t="str">
        <f t="shared" si="22"/>
        <v>000-000 :</v>
      </c>
      <c r="S121" s="11" t="str">
        <f t="shared" si="22"/>
        <v>000-000 :</v>
      </c>
      <c r="T121" s="11" t="str">
        <f t="shared" si="22"/>
        <v>000-000 :</v>
      </c>
      <c r="U121" s="11" t="str">
        <f t="shared" si="22"/>
        <v>000-000 :</v>
      </c>
      <c r="V121" s="11" t="str">
        <f t="shared" si="22"/>
        <v>000-000 :</v>
      </c>
      <c r="W121" s="11" t="str">
        <f t="shared" si="22"/>
        <v>000-000 :</v>
      </c>
      <c r="X121" s="11" t="str">
        <f t="shared" si="22"/>
        <v>000-000 :</v>
      </c>
      <c r="Y121" s="11" t="str">
        <f t="shared" si="14"/>
        <v>스핀들소음 :</v>
      </c>
      <c r="Z121" s="11" t="str">
        <f t="shared" si="15"/>
        <v>필터세척 :
FLOW   (T1, T4 : / T2, T3 : / T4 : )</v>
      </c>
      <c r="AA121" s="11" t="str">
        <f t="shared" si="16"/>
        <v/>
      </c>
      <c r="AB121" s="1"/>
      <c r="AC121" s="1"/>
      <c r="AD121" s="12"/>
      <c r="AE121" s="11" t="str">
        <f t="shared" si="17"/>
        <v/>
      </c>
      <c r="AF121" s="9"/>
      <c r="AG121" s="1"/>
      <c r="AH121" s="3"/>
    </row>
    <row r="122" spans="1:34" ht="34" x14ac:dyDescent="0.4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 t="str">
        <f>IF(LEN(A122)&gt;0, 상수!B$4, "")</f>
        <v/>
      </c>
      <c r="L122" s="1"/>
      <c r="M122" s="11" t="str">
        <f t="shared" si="21"/>
        <v xml:space="preserve">스핀들유격: </v>
      </c>
      <c r="N122" s="11" t="str">
        <f t="shared" si="21"/>
        <v xml:space="preserve">스핀들유격: </v>
      </c>
      <c r="O122" s="11" t="str">
        <f t="shared" si="21"/>
        <v xml:space="preserve">스핀들유격: </v>
      </c>
      <c r="P122" s="11" t="str">
        <f t="shared" si="21"/>
        <v xml:space="preserve">스핀들유격: </v>
      </c>
      <c r="Q122" s="11" t="str">
        <f t="shared" si="22"/>
        <v>000-000 :</v>
      </c>
      <c r="R122" s="11" t="str">
        <f t="shared" si="22"/>
        <v>000-000 :</v>
      </c>
      <c r="S122" s="11" t="str">
        <f t="shared" si="22"/>
        <v>000-000 :</v>
      </c>
      <c r="T122" s="11" t="str">
        <f t="shared" si="22"/>
        <v>000-000 :</v>
      </c>
      <c r="U122" s="11" t="str">
        <f t="shared" si="22"/>
        <v>000-000 :</v>
      </c>
      <c r="V122" s="11" t="str">
        <f t="shared" si="22"/>
        <v>000-000 :</v>
      </c>
      <c r="W122" s="11" t="str">
        <f t="shared" si="22"/>
        <v>000-000 :</v>
      </c>
      <c r="X122" s="11" t="str">
        <f t="shared" si="22"/>
        <v>000-000 :</v>
      </c>
      <c r="Y122" s="11" t="str">
        <f t="shared" si="14"/>
        <v>스핀들소음 :</v>
      </c>
      <c r="Z122" s="11" t="str">
        <f t="shared" si="15"/>
        <v>필터세척 :
FLOW   (T1, T4 : / T2, T3 : / T4 : )</v>
      </c>
      <c r="AA122" s="11" t="str">
        <f t="shared" si="16"/>
        <v/>
      </c>
      <c r="AB122" s="1"/>
      <c r="AC122" s="1"/>
      <c r="AD122" s="12"/>
      <c r="AE122" s="11" t="str">
        <f t="shared" si="17"/>
        <v/>
      </c>
      <c r="AF122" s="9"/>
      <c r="AG122" s="1"/>
      <c r="AH122" s="3"/>
    </row>
    <row r="123" spans="1:34" ht="34" x14ac:dyDescent="0.4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 t="str">
        <f>IF(LEN(A123)&gt;0, 상수!B$4, "")</f>
        <v/>
      </c>
      <c r="L123" s="1"/>
      <c r="M123" s="11" t="str">
        <f t="shared" si="21"/>
        <v xml:space="preserve">스핀들유격: </v>
      </c>
      <c r="N123" s="11" t="str">
        <f t="shared" si="21"/>
        <v xml:space="preserve">스핀들유격: </v>
      </c>
      <c r="O123" s="11" t="str">
        <f t="shared" si="21"/>
        <v xml:space="preserve">스핀들유격: </v>
      </c>
      <c r="P123" s="11" t="str">
        <f t="shared" si="21"/>
        <v xml:space="preserve">스핀들유격: </v>
      </c>
      <c r="Q123" s="11" t="str">
        <f t="shared" si="22"/>
        <v>000-000 :</v>
      </c>
      <c r="R123" s="11" t="str">
        <f t="shared" si="22"/>
        <v>000-000 :</v>
      </c>
      <c r="S123" s="11" t="str">
        <f t="shared" si="22"/>
        <v>000-000 :</v>
      </c>
      <c r="T123" s="11" t="str">
        <f t="shared" si="22"/>
        <v>000-000 :</v>
      </c>
      <c r="U123" s="11" t="str">
        <f t="shared" si="22"/>
        <v>000-000 :</v>
      </c>
      <c r="V123" s="11" t="str">
        <f t="shared" si="22"/>
        <v>000-000 :</v>
      </c>
      <c r="W123" s="11" t="str">
        <f t="shared" si="22"/>
        <v>000-000 :</v>
      </c>
      <c r="X123" s="11" t="str">
        <f t="shared" si="22"/>
        <v>000-000 :</v>
      </c>
      <c r="Y123" s="11" t="str">
        <f t="shared" si="14"/>
        <v>스핀들소음 :</v>
      </c>
      <c r="Z123" s="11" t="str">
        <f t="shared" si="15"/>
        <v>필터세척 :
FLOW   (T1, T4 : / T2, T3 : / T4 : )</v>
      </c>
      <c r="AA123" s="11" t="str">
        <f t="shared" si="16"/>
        <v/>
      </c>
      <c r="AB123" s="1"/>
      <c r="AC123" s="1"/>
      <c r="AD123" s="12"/>
      <c r="AE123" s="11" t="str">
        <f t="shared" si="17"/>
        <v/>
      </c>
      <c r="AF123" s="9"/>
      <c r="AG123" s="1"/>
      <c r="AH123" s="3"/>
    </row>
    <row r="124" spans="1:34" ht="34" x14ac:dyDescent="0.4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 t="str">
        <f>IF(LEN(A124)&gt;0, 상수!B$4, "")</f>
        <v/>
      </c>
      <c r="L124" s="1"/>
      <c r="M124" s="11" t="str">
        <f t="shared" si="21"/>
        <v xml:space="preserve">스핀들유격: </v>
      </c>
      <c r="N124" s="11" t="str">
        <f t="shared" si="21"/>
        <v xml:space="preserve">스핀들유격: </v>
      </c>
      <c r="O124" s="11" t="str">
        <f t="shared" si="21"/>
        <v xml:space="preserve">스핀들유격: </v>
      </c>
      <c r="P124" s="11" t="str">
        <f t="shared" si="21"/>
        <v xml:space="preserve">스핀들유격: </v>
      </c>
      <c r="Q124" s="11" t="str">
        <f t="shared" si="22"/>
        <v>000-000 :</v>
      </c>
      <c r="R124" s="11" t="str">
        <f t="shared" si="22"/>
        <v>000-000 :</v>
      </c>
      <c r="S124" s="11" t="str">
        <f t="shared" si="22"/>
        <v>000-000 :</v>
      </c>
      <c r="T124" s="11" t="str">
        <f t="shared" si="22"/>
        <v>000-000 :</v>
      </c>
      <c r="U124" s="11" t="str">
        <f t="shared" si="22"/>
        <v>000-000 :</v>
      </c>
      <c r="V124" s="11" t="str">
        <f t="shared" si="22"/>
        <v>000-000 :</v>
      </c>
      <c r="W124" s="11" t="str">
        <f t="shared" si="22"/>
        <v>000-000 :</v>
      </c>
      <c r="X124" s="11" t="str">
        <f t="shared" si="22"/>
        <v>000-000 :</v>
      </c>
      <c r="Y124" s="11" t="str">
        <f t="shared" si="14"/>
        <v>스핀들소음 :</v>
      </c>
      <c r="Z124" s="11" t="str">
        <f t="shared" si="15"/>
        <v>필터세척 :
FLOW   (T1, T4 : / T2, T3 : / T4 : )</v>
      </c>
      <c r="AA124" s="11" t="str">
        <f t="shared" si="16"/>
        <v/>
      </c>
      <c r="AB124" s="1"/>
      <c r="AC124" s="1"/>
      <c r="AD124" s="12"/>
      <c r="AE124" s="11" t="str">
        <f t="shared" si="17"/>
        <v/>
      </c>
      <c r="AF124" s="9"/>
      <c r="AG124" s="1"/>
      <c r="AH124" s="3"/>
    </row>
    <row r="125" spans="1:34" ht="34" x14ac:dyDescent="0.4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 t="str">
        <f>IF(LEN(A125)&gt;0, 상수!B$4, "")</f>
        <v/>
      </c>
      <c r="L125" s="1"/>
      <c r="M125" s="11" t="str">
        <f t="shared" si="21"/>
        <v xml:space="preserve">스핀들유격: </v>
      </c>
      <c r="N125" s="11" t="str">
        <f t="shared" si="21"/>
        <v xml:space="preserve">스핀들유격: </v>
      </c>
      <c r="O125" s="11" t="str">
        <f t="shared" si="21"/>
        <v xml:space="preserve">스핀들유격: </v>
      </c>
      <c r="P125" s="11" t="str">
        <f t="shared" si="21"/>
        <v xml:space="preserve">스핀들유격: </v>
      </c>
      <c r="Q125" s="11" t="str">
        <f t="shared" si="22"/>
        <v>000-000 :</v>
      </c>
      <c r="R125" s="11" t="str">
        <f t="shared" si="22"/>
        <v>000-000 :</v>
      </c>
      <c r="S125" s="11" t="str">
        <f t="shared" si="22"/>
        <v>000-000 :</v>
      </c>
      <c r="T125" s="11" t="str">
        <f t="shared" si="22"/>
        <v>000-000 :</v>
      </c>
      <c r="U125" s="11" t="str">
        <f t="shared" si="22"/>
        <v>000-000 :</v>
      </c>
      <c r="V125" s="11" t="str">
        <f t="shared" si="22"/>
        <v>000-000 :</v>
      </c>
      <c r="W125" s="11" t="str">
        <f t="shared" si="22"/>
        <v>000-000 :</v>
      </c>
      <c r="X125" s="11" t="str">
        <f t="shared" si="22"/>
        <v>000-000 :</v>
      </c>
      <c r="Y125" s="11" t="str">
        <f t="shared" si="14"/>
        <v>스핀들소음 :</v>
      </c>
      <c r="Z125" s="11" t="str">
        <f t="shared" si="15"/>
        <v>필터세척 :
FLOW   (T1, T4 : / T2, T3 : / T4 : )</v>
      </c>
      <c r="AA125" s="11" t="str">
        <f t="shared" si="16"/>
        <v/>
      </c>
      <c r="AB125" s="1"/>
      <c r="AC125" s="1"/>
      <c r="AD125" s="12"/>
      <c r="AE125" s="11" t="str">
        <f t="shared" si="17"/>
        <v/>
      </c>
      <c r="AF125" s="9"/>
      <c r="AG125" s="1"/>
      <c r="AH125" s="3"/>
    </row>
    <row r="126" spans="1:34" ht="17" customHeight="1" x14ac:dyDescent="0.4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 t="str">
        <f>IF(LEN(A126)&gt;0, 상수!B$4, "")</f>
        <v/>
      </c>
      <c r="L126" s="1"/>
      <c r="M126" s="11" t="str">
        <f t="shared" si="21"/>
        <v xml:space="preserve">스핀들유격: </v>
      </c>
      <c r="N126" s="11" t="str">
        <f t="shared" si="21"/>
        <v xml:space="preserve">스핀들유격: </v>
      </c>
      <c r="O126" s="11" t="str">
        <f t="shared" si="21"/>
        <v xml:space="preserve">스핀들유격: </v>
      </c>
      <c r="P126" s="11" t="str">
        <f t="shared" si="21"/>
        <v xml:space="preserve">스핀들유격: </v>
      </c>
      <c r="Q126" s="11" t="str">
        <f t="shared" si="22"/>
        <v>000-000 :</v>
      </c>
      <c r="R126" s="11" t="str">
        <f t="shared" si="22"/>
        <v>000-000 :</v>
      </c>
      <c r="S126" s="11" t="str">
        <f t="shared" si="22"/>
        <v>000-000 :</v>
      </c>
      <c r="T126" s="11" t="str">
        <f t="shared" si="22"/>
        <v>000-000 :</v>
      </c>
      <c r="U126" s="11" t="str">
        <f t="shared" si="22"/>
        <v>000-000 :</v>
      </c>
      <c r="V126" s="11" t="str">
        <f t="shared" si="22"/>
        <v>000-000 :</v>
      </c>
      <c r="W126" s="11" t="str">
        <f t="shared" si="22"/>
        <v>000-000 :</v>
      </c>
      <c r="X126" s="11" t="str">
        <f t="shared" si="22"/>
        <v>000-000 :</v>
      </c>
      <c r="Y126" s="11" t="str">
        <f t="shared" si="14"/>
        <v>스핀들소음 :</v>
      </c>
      <c r="Z126" s="11" t="str">
        <f t="shared" si="15"/>
        <v>필터세척 :
FLOW   (T1, T4 : / T2, T3 : / T4 : )</v>
      </c>
      <c r="AA126" s="11" t="str">
        <f t="shared" si="16"/>
        <v/>
      </c>
      <c r="AB126" s="1"/>
      <c r="AC126" s="1"/>
      <c r="AD126" s="12"/>
      <c r="AE126" s="11" t="str">
        <f t="shared" si="17"/>
        <v/>
      </c>
      <c r="AF126" s="9"/>
      <c r="AG126" s="1"/>
      <c r="AH126" s="3"/>
    </row>
    <row r="127" spans="1:34" ht="34" x14ac:dyDescent="0.4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 t="str">
        <f>IF(LEN(A127)&gt;0, 상수!B$4, "")</f>
        <v/>
      </c>
      <c r="L127" s="1"/>
      <c r="M127" s="11" t="str">
        <f t="shared" ref="M127:P146" si="23">IF(MOD($AD127,5)=0, "스핀들유격: ","-" )</f>
        <v xml:space="preserve">스핀들유격: </v>
      </c>
      <c r="N127" s="11" t="str">
        <f t="shared" si="23"/>
        <v xml:space="preserve">스핀들유격: </v>
      </c>
      <c r="O127" s="11" t="str">
        <f t="shared" si="23"/>
        <v xml:space="preserve">스핀들유격: </v>
      </c>
      <c r="P127" s="11" t="str">
        <f t="shared" si="23"/>
        <v xml:space="preserve">스핀들유격: </v>
      </c>
      <c r="Q127" s="11" t="str">
        <f t="shared" si="22"/>
        <v>000-000 :</v>
      </c>
      <c r="R127" s="11" t="str">
        <f t="shared" si="22"/>
        <v>000-000 :</v>
      </c>
      <c r="S127" s="11" t="str">
        <f t="shared" si="22"/>
        <v>000-000 :</v>
      </c>
      <c r="T127" s="11" t="str">
        <f t="shared" si="22"/>
        <v>000-000 :</v>
      </c>
      <c r="U127" s="11" t="str">
        <f t="shared" si="22"/>
        <v>000-000 :</v>
      </c>
      <c r="V127" s="11" t="str">
        <f t="shared" si="22"/>
        <v>000-000 :</v>
      </c>
      <c r="W127" s="11" t="str">
        <f t="shared" si="22"/>
        <v>000-000 :</v>
      </c>
      <c r="X127" s="11" t="str">
        <f t="shared" si="22"/>
        <v>000-000 :</v>
      </c>
      <c r="Y127" s="11" t="str">
        <f t="shared" si="14"/>
        <v>스핀들소음 :</v>
      </c>
      <c r="Z127" s="11" t="str">
        <f t="shared" si="15"/>
        <v>필터세척 :
FLOW   (T1, T4 : / T2, T3 : / T4 : )</v>
      </c>
      <c r="AA127" s="11" t="str">
        <f t="shared" si="16"/>
        <v/>
      </c>
      <c r="AB127" s="1"/>
      <c r="AC127" s="1"/>
      <c r="AD127" s="12"/>
      <c r="AE127" s="11" t="str">
        <f t="shared" si="17"/>
        <v/>
      </c>
      <c r="AF127" s="9"/>
      <c r="AG127" s="1"/>
      <c r="AH127" s="3"/>
    </row>
    <row r="128" spans="1:34" ht="34" x14ac:dyDescent="0.4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 t="str">
        <f>IF(LEN(A128)&gt;0, 상수!B$4, "")</f>
        <v/>
      </c>
      <c r="L128" s="1"/>
      <c r="M128" s="11" t="str">
        <f t="shared" si="23"/>
        <v xml:space="preserve">스핀들유격: </v>
      </c>
      <c r="N128" s="11" t="str">
        <f t="shared" si="23"/>
        <v xml:space="preserve">스핀들유격: </v>
      </c>
      <c r="O128" s="11" t="str">
        <f t="shared" si="23"/>
        <v xml:space="preserve">스핀들유격: </v>
      </c>
      <c r="P128" s="11" t="str">
        <f t="shared" si="23"/>
        <v xml:space="preserve">스핀들유격: </v>
      </c>
      <c r="Q128" s="11" t="str">
        <f t="shared" si="22"/>
        <v>000-000 :</v>
      </c>
      <c r="R128" s="11" t="str">
        <f t="shared" si="22"/>
        <v>000-000 :</v>
      </c>
      <c r="S128" s="11" t="str">
        <f t="shared" si="22"/>
        <v>000-000 :</v>
      </c>
      <c r="T128" s="11" t="str">
        <f t="shared" si="22"/>
        <v>000-000 :</v>
      </c>
      <c r="U128" s="11" t="str">
        <f t="shared" si="22"/>
        <v>000-000 :</v>
      </c>
      <c r="V128" s="11" t="str">
        <f t="shared" si="22"/>
        <v>000-000 :</v>
      </c>
      <c r="W128" s="11" t="str">
        <f t="shared" si="22"/>
        <v>000-000 :</v>
      </c>
      <c r="X128" s="11" t="str">
        <f t="shared" si="22"/>
        <v>000-000 :</v>
      </c>
      <c r="Y128" s="11" t="str">
        <f t="shared" si="14"/>
        <v>스핀들소음 :</v>
      </c>
      <c r="Z128" s="11" t="str">
        <f t="shared" si="15"/>
        <v>필터세척 :
FLOW   (T1, T4 : / T2, T3 : / T4 : )</v>
      </c>
      <c r="AA128" s="11" t="str">
        <f t="shared" si="16"/>
        <v/>
      </c>
      <c r="AB128" s="1"/>
      <c r="AC128" s="1"/>
      <c r="AD128" s="12"/>
      <c r="AE128" s="11" t="str">
        <f t="shared" si="17"/>
        <v/>
      </c>
      <c r="AF128" s="9"/>
      <c r="AG128" s="1"/>
      <c r="AH128" s="3"/>
    </row>
    <row r="129" spans="1:34" ht="34" x14ac:dyDescent="0.45">
      <c r="A129" s="4"/>
      <c r="B129" s="1"/>
      <c r="C129" s="1"/>
      <c r="D129" s="1"/>
      <c r="E129" s="1"/>
      <c r="F129" s="1"/>
      <c r="G129" s="1"/>
      <c r="H129" s="1"/>
      <c r="I129" s="1"/>
      <c r="J129" s="1"/>
      <c r="K129" s="1" t="str">
        <f>IF(LEN(A129)&gt;0, 상수!B$4, "")</f>
        <v/>
      </c>
      <c r="L129" s="1"/>
      <c r="M129" s="11" t="str">
        <f t="shared" si="23"/>
        <v xml:space="preserve">스핀들유격: </v>
      </c>
      <c r="N129" s="11" t="str">
        <f t="shared" si="23"/>
        <v xml:space="preserve">스핀들유격: </v>
      </c>
      <c r="O129" s="11" t="str">
        <f t="shared" si="23"/>
        <v xml:space="preserve">스핀들유격: </v>
      </c>
      <c r="P129" s="11" t="str">
        <f t="shared" si="23"/>
        <v xml:space="preserve">스핀들유격: </v>
      </c>
      <c r="Q129" s="11" t="str">
        <f t="shared" si="22"/>
        <v>000-000 :</v>
      </c>
      <c r="R129" s="11" t="str">
        <f t="shared" si="22"/>
        <v>000-000 :</v>
      </c>
      <c r="S129" s="11" t="str">
        <f t="shared" si="22"/>
        <v>000-000 :</v>
      </c>
      <c r="T129" s="11" t="str">
        <f t="shared" si="22"/>
        <v>000-000 :</v>
      </c>
      <c r="U129" s="11" t="str">
        <f t="shared" si="22"/>
        <v>000-000 :</v>
      </c>
      <c r="V129" s="11" t="str">
        <f t="shared" si="22"/>
        <v>000-000 :</v>
      </c>
      <c r="W129" s="11" t="str">
        <f t="shared" si="22"/>
        <v>000-000 :</v>
      </c>
      <c r="X129" s="11" t="str">
        <f t="shared" si="22"/>
        <v>000-000 :</v>
      </c>
      <c r="Y129" s="11" t="str">
        <f t="shared" si="14"/>
        <v>스핀들소음 :</v>
      </c>
      <c r="Z129" s="11" t="str">
        <f t="shared" si="15"/>
        <v>필터세척 :
FLOW   (T1, T4 : / T2, T3 : / T4 : )</v>
      </c>
      <c r="AA129" s="11" t="str">
        <f t="shared" si="16"/>
        <v/>
      </c>
      <c r="AB129" s="1"/>
      <c r="AC129" s="1"/>
      <c r="AD129" s="12"/>
      <c r="AE129" s="11" t="str">
        <f t="shared" si="17"/>
        <v/>
      </c>
      <c r="AF129" s="9"/>
      <c r="AG129" s="1"/>
      <c r="AH129" s="3"/>
    </row>
    <row r="130" spans="1:34" ht="34" x14ac:dyDescent="0.4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 t="str">
        <f>IF(LEN(A130)&gt;0, 상수!B$4, "")</f>
        <v/>
      </c>
      <c r="L130" s="1"/>
      <c r="M130" s="11" t="str">
        <f t="shared" si="23"/>
        <v xml:space="preserve">스핀들유격: </v>
      </c>
      <c r="N130" s="11" t="str">
        <f t="shared" si="23"/>
        <v xml:space="preserve">스핀들유격: </v>
      </c>
      <c r="O130" s="11" t="str">
        <f t="shared" si="23"/>
        <v xml:space="preserve">스핀들유격: </v>
      </c>
      <c r="P130" s="11" t="str">
        <f t="shared" si="23"/>
        <v xml:space="preserve">스핀들유격: </v>
      </c>
      <c r="Q130" s="11" t="str">
        <f t="shared" si="22"/>
        <v>000-000 :</v>
      </c>
      <c r="R130" s="11" t="str">
        <f t="shared" si="22"/>
        <v>000-000 :</v>
      </c>
      <c r="S130" s="11" t="str">
        <f t="shared" si="22"/>
        <v>000-000 :</v>
      </c>
      <c r="T130" s="11" t="str">
        <f t="shared" si="22"/>
        <v>000-000 :</v>
      </c>
      <c r="U130" s="11" t="str">
        <f t="shared" si="22"/>
        <v>000-000 :</v>
      </c>
      <c r="V130" s="11" t="str">
        <f t="shared" si="22"/>
        <v>000-000 :</v>
      </c>
      <c r="W130" s="11" t="str">
        <f t="shared" si="22"/>
        <v>000-000 :</v>
      </c>
      <c r="X130" s="11" t="str">
        <f t="shared" si="22"/>
        <v>000-000 :</v>
      </c>
      <c r="Y130" s="11" t="str">
        <f t="shared" si="14"/>
        <v>스핀들소음 :</v>
      </c>
      <c r="Z130" s="11" t="str">
        <f t="shared" si="15"/>
        <v>필터세척 :
FLOW   (T1, T4 : / T2, T3 : / T4 : )</v>
      </c>
      <c r="AA130" s="11" t="str">
        <f t="shared" si="16"/>
        <v/>
      </c>
      <c r="AB130" s="1"/>
      <c r="AC130" s="1"/>
      <c r="AD130" s="12"/>
      <c r="AE130" s="11" t="str">
        <f t="shared" si="17"/>
        <v/>
      </c>
      <c r="AF130" s="9"/>
      <c r="AG130" s="1"/>
      <c r="AH130" s="3"/>
    </row>
    <row r="131" spans="1:34" ht="34" x14ac:dyDescent="0.4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 t="str">
        <f>IF(LEN(A131)&gt;0, 상수!B$4, "")</f>
        <v/>
      </c>
      <c r="L131" s="1"/>
      <c r="M131" s="11" t="str">
        <f t="shared" si="23"/>
        <v xml:space="preserve">스핀들유격: </v>
      </c>
      <c r="N131" s="11" t="str">
        <f t="shared" si="23"/>
        <v xml:space="preserve">스핀들유격: </v>
      </c>
      <c r="O131" s="11" t="str">
        <f t="shared" si="23"/>
        <v xml:space="preserve">스핀들유격: </v>
      </c>
      <c r="P131" s="11" t="str">
        <f t="shared" si="23"/>
        <v xml:space="preserve">스핀들유격: </v>
      </c>
      <c r="Q131" s="11" t="str">
        <f t="shared" si="22"/>
        <v>000-000 :</v>
      </c>
      <c r="R131" s="11" t="str">
        <f t="shared" si="22"/>
        <v>000-000 :</v>
      </c>
      <c r="S131" s="11" t="str">
        <f t="shared" si="22"/>
        <v>000-000 :</v>
      </c>
      <c r="T131" s="11" t="str">
        <f t="shared" si="22"/>
        <v>000-000 :</v>
      </c>
      <c r="U131" s="11" t="str">
        <f t="shared" si="22"/>
        <v>000-000 :</v>
      </c>
      <c r="V131" s="11" t="str">
        <f t="shared" si="22"/>
        <v>000-000 :</v>
      </c>
      <c r="W131" s="11" t="str">
        <f t="shared" si="22"/>
        <v>000-000 :</v>
      </c>
      <c r="X131" s="11" t="str">
        <f t="shared" si="22"/>
        <v>000-000 :</v>
      </c>
      <c r="Y131" s="11" t="str">
        <f t="shared" si="14"/>
        <v>스핀들소음 :</v>
      </c>
      <c r="Z131" s="11" t="str">
        <f t="shared" si="15"/>
        <v>필터세척 :
FLOW   (T1, T4 : / T2, T3 : / T4 : )</v>
      </c>
      <c r="AA131" s="11" t="str">
        <f t="shared" si="16"/>
        <v/>
      </c>
      <c r="AB131" s="1"/>
      <c r="AC131" s="1"/>
      <c r="AD131" s="12"/>
      <c r="AE131" s="11" t="str">
        <f t="shared" si="17"/>
        <v/>
      </c>
      <c r="AF131" s="9"/>
      <c r="AG131" s="1"/>
      <c r="AH131" s="3"/>
    </row>
    <row r="132" spans="1:34" ht="34" x14ac:dyDescent="0.4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 t="str">
        <f>IF(LEN(A132)&gt;0, 상수!B$4, "")</f>
        <v/>
      </c>
      <c r="L132" s="1"/>
      <c r="M132" s="11" t="str">
        <f t="shared" si="23"/>
        <v xml:space="preserve">스핀들유격: </v>
      </c>
      <c r="N132" s="11" t="str">
        <f t="shared" si="23"/>
        <v xml:space="preserve">스핀들유격: </v>
      </c>
      <c r="O132" s="11" t="str">
        <f t="shared" si="23"/>
        <v xml:space="preserve">스핀들유격: </v>
      </c>
      <c r="P132" s="11" t="str">
        <f t="shared" si="23"/>
        <v xml:space="preserve">스핀들유격: </v>
      </c>
      <c r="Q132" s="11" t="str">
        <f t="shared" si="22"/>
        <v>000-000 :</v>
      </c>
      <c r="R132" s="11" t="str">
        <f t="shared" si="22"/>
        <v>000-000 :</v>
      </c>
      <c r="S132" s="11" t="str">
        <f t="shared" si="22"/>
        <v>000-000 :</v>
      </c>
      <c r="T132" s="11" t="str">
        <f t="shared" si="22"/>
        <v>000-000 :</v>
      </c>
      <c r="U132" s="11" t="str">
        <f t="shared" si="22"/>
        <v>000-000 :</v>
      </c>
      <c r="V132" s="11" t="str">
        <f t="shared" si="22"/>
        <v>000-000 :</v>
      </c>
      <c r="W132" s="11" t="str">
        <f t="shared" si="22"/>
        <v>000-000 :</v>
      </c>
      <c r="X132" s="11" t="str">
        <f t="shared" si="22"/>
        <v>000-000 :</v>
      </c>
      <c r="Y132" s="11" t="str">
        <f t="shared" si="14"/>
        <v>스핀들소음 :</v>
      </c>
      <c r="Z132" s="11" t="str">
        <f t="shared" si="15"/>
        <v>필터세척 :
FLOW   (T1, T4 : / T2, T3 : / T4 : )</v>
      </c>
      <c r="AA132" s="11" t="str">
        <f t="shared" si="16"/>
        <v/>
      </c>
      <c r="AB132" s="1"/>
      <c r="AC132" s="1"/>
      <c r="AD132" s="12"/>
      <c r="AE132" s="11" t="str">
        <f t="shared" si="17"/>
        <v/>
      </c>
      <c r="AF132" s="9"/>
      <c r="AG132" s="1"/>
      <c r="AH132" s="3"/>
    </row>
    <row r="133" spans="1:34" ht="34" x14ac:dyDescent="0.4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 t="str">
        <f>IF(LEN(A133)&gt;0, 상수!B$4, "")</f>
        <v/>
      </c>
      <c r="L133" s="1"/>
      <c r="M133" s="11" t="str">
        <f t="shared" si="23"/>
        <v xml:space="preserve">스핀들유격: </v>
      </c>
      <c r="N133" s="11" t="str">
        <f t="shared" si="23"/>
        <v xml:space="preserve">스핀들유격: </v>
      </c>
      <c r="O133" s="11" t="str">
        <f t="shared" si="23"/>
        <v xml:space="preserve">스핀들유격: </v>
      </c>
      <c r="P133" s="11" t="str">
        <f t="shared" si="23"/>
        <v xml:space="preserve">스핀들유격: </v>
      </c>
      <c r="Q133" s="11" t="str">
        <f t="shared" si="22"/>
        <v>000-000 :</v>
      </c>
      <c r="R133" s="11" t="str">
        <f t="shared" si="22"/>
        <v>000-000 :</v>
      </c>
      <c r="S133" s="11" t="str">
        <f t="shared" si="22"/>
        <v>000-000 :</v>
      </c>
      <c r="T133" s="11" t="str">
        <f t="shared" si="22"/>
        <v>000-000 :</v>
      </c>
      <c r="U133" s="11" t="str">
        <f t="shared" si="22"/>
        <v>000-000 :</v>
      </c>
      <c r="V133" s="11" t="str">
        <f t="shared" si="22"/>
        <v>000-000 :</v>
      </c>
      <c r="W133" s="11" t="str">
        <f t="shared" si="22"/>
        <v>000-000 :</v>
      </c>
      <c r="X133" s="11" t="str">
        <f t="shared" si="22"/>
        <v>000-000 :</v>
      </c>
      <c r="Y133" s="11" t="str">
        <f t="shared" si="14"/>
        <v>스핀들소음 :</v>
      </c>
      <c r="Z133" s="11" t="str">
        <f t="shared" si="15"/>
        <v>필터세척 :
FLOW   (T1, T4 : / T2, T3 : / T4 : )</v>
      </c>
      <c r="AA133" s="11" t="str">
        <f t="shared" si="16"/>
        <v/>
      </c>
      <c r="AB133" s="1"/>
      <c r="AC133" s="1"/>
      <c r="AD133" s="12"/>
      <c r="AE133" s="11" t="str">
        <f t="shared" si="17"/>
        <v/>
      </c>
      <c r="AF133" s="9"/>
      <c r="AG133" s="1"/>
      <c r="AH133" s="3"/>
    </row>
    <row r="134" spans="1:34" ht="34" x14ac:dyDescent="0.45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1" t="str">
        <f>IF(LEN(A134)&gt;0, 상수!B$4, "")</f>
        <v/>
      </c>
      <c r="L134" s="1"/>
      <c r="M134" s="11" t="str">
        <f t="shared" si="23"/>
        <v xml:space="preserve">스핀들유격: </v>
      </c>
      <c r="N134" s="11" t="str">
        <f t="shared" si="23"/>
        <v xml:space="preserve">스핀들유격: </v>
      </c>
      <c r="O134" s="11" t="str">
        <f t="shared" si="23"/>
        <v xml:space="preserve">스핀들유격: </v>
      </c>
      <c r="P134" s="11" t="str">
        <f t="shared" si="23"/>
        <v xml:space="preserve">스핀들유격: </v>
      </c>
      <c r="Q134" s="11" t="str">
        <f t="shared" si="22"/>
        <v>000-000 :</v>
      </c>
      <c r="R134" s="11" t="str">
        <f t="shared" si="22"/>
        <v>000-000 :</v>
      </c>
      <c r="S134" s="11" t="str">
        <f t="shared" si="22"/>
        <v>000-000 :</v>
      </c>
      <c r="T134" s="11" t="str">
        <f t="shared" si="22"/>
        <v>000-000 :</v>
      </c>
      <c r="U134" s="11" t="str">
        <f t="shared" si="22"/>
        <v>000-000 :</v>
      </c>
      <c r="V134" s="11" t="str">
        <f t="shared" si="22"/>
        <v>000-000 :</v>
      </c>
      <c r="W134" s="11" t="str">
        <f t="shared" si="22"/>
        <v>000-000 :</v>
      </c>
      <c r="X134" s="11" t="str">
        <f t="shared" si="22"/>
        <v>000-000 :</v>
      </c>
      <c r="Y134" s="11" t="str">
        <f t="shared" si="14"/>
        <v>스핀들소음 :</v>
      </c>
      <c r="Z134" s="11" t="str">
        <f t="shared" si="15"/>
        <v>필터세척 :
FLOW   (T1, T4 : / T2, T3 : / T4 : )</v>
      </c>
      <c r="AA134" s="11" t="str">
        <f t="shared" si="16"/>
        <v/>
      </c>
      <c r="AB134" s="1"/>
      <c r="AC134" s="1"/>
      <c r="AD134" s="12"/>
      <c r="AE134" s="11" t="str">
        <f t="shared" si="17"/>
        <v/>
      </c>
      <c r="AF134" s="9"/>
      <c r="AG134" s="1"/>
      <c r="AH134" s="3"/>
    </row>
    <row r="135" spans="1:34" ht="34" x14ac:dyDescent="0.45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1" t="str">
        <f>IF(LEN(A135)&gt;0, 상수!B$4, "")</f>
        <v/>
      </c>
      <c r="L135" s="1"/>
      <c r="M135" s="11" t="str">
        <f t="shared" si="23"/>
        <v xml:space="preserve">스핀들유격: </v>
      </c>
      <c r="N135" s="11" t="str">
        <f t="shared" si="23"/>
        <v xml:space="preserve">스핀들유격: </v>
      </c>
      <c r="O135" s="11" t="str">
        <f t="shared" si="23"/>
        <v xml:space="preserve">스핀들유격: </v>
      </c>
      <c r="P135" s="11" t="str">
        <f t="shared" si="23"/>
        <v xml:space="preserve">스핀들유격: </v>
      </c>
      <c r="Q135" s="11" t="str">
        <f t="shared" ref="Q135:X150" si="24">IF(MOD($AD135,5)=0, "000-000 :","-" )</f>
        <v>000-000 :</v>
      </c>
      <c r="R135" s="11" t="str">
        <f t="shared" si="24"/>
        <v>000-000 :</v>
      </c>
      <c r="S135" s="11" t="str">
        <f t="shared" si="24"/>
        <v>000-000 :</v>
      </c>
      <c r="T135" s="11" t="str">
        <f t="shared" si="24"/>
        <v>000-000 :</v>
      </c>
      <c r="U135" s="11" t="str">
        <f t="shared" si="24"/>
        <v>000-000 :</v>
      </c>
      <c r="V135" s="11" t="str">
        <f t="shared" si="24"/>
        <v>000-000 :</v>
      </c>
      <c r="W135" s="11" t="str">
        <f t="shared" si="24"/>
        <v>000-000 :</v>
      </c>
      <c r="X135" s="11" t="str">
        <f t="shared" si="24"/>
        <v>000-000 :</v>
      </c>
      <c r="Y135" s="11" t="str">
        <f t="shared" ref="Y135:Y198" si="25">IF(MOD($AD135,5)=0, "스핀들소음 :","-" )</f>
        <v>스핀들소음 :</v>
      </c>
      <c r="Z135" s="11" t="str">
        <f t="shared" ref="Z135:Z198" si="26">IF(MOD($AD135,40)=0, "필터세척 :"&amp; CHAR(10) &amp; "FLOW   (T1, T4 : / T2, T3 : / T4 : )","-" )</f>
        <v>필터세척 :
FLOW   (T1, T4 : / T2, T3 : / T4 : )</v>
      </c>
      <c r="AA135" s="11" t="str">
        <f t="shared" si="16"/>
        <v/>
      </c>
      <c r="AB135" s="1"/>
      <c r="AC135" s="1"/>
      <c r="AD135" s="12"/>
      <c r="AE135" s="11" t="str">
        <f t="shared" si="17"/>
        <v/>
      </c>
      <c r="AF135" s="9"/>
      <c r="AG135" s="1"/>
      <c r="AH135" s="3"/>
    </row>
    <row r="136" spans="1:34" ht="34" x14ac:dyDescent="0.4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 t="str">
        <f>IF(LEN(A136)&gt;0, 상수!B$4, "")</f>
        <v/>
      </c>
      <c r="L136" s="1"/>
      <c r="M136" s="11" t="str">
        <f t="shared" si="23"/>
        <v xml:space="preserve">스핀들유격: </v>
      </c>
      <c r="N136" s="11" t="str">
        <f t="shared" si="23"/>
        <v xml:space="preserve">스핀들유격: </v>
      </c>
      <c r="O136" s="11" t="str">
        <f t="shared" si="23"/>
        <v xml:space="preserve">스핀들유격: </v>
      </c>
      <c r="P136" s="11" t="str">
        <f t="shared" si="23"/>
        <v xml:space="preserve">스핀들유격: </v>
      </c>
      <c r="Q136" s="11" t="str">
        <f t="shared" si="24"/>
        <v>000-000 :</v>
      </c>
      <c r="R136" s="11" t="str">
        <f t="shared" si="24"/>
        <v>000-000 :</v>
      </c>
      <c r="S136" s="11" t="str">
        <f t="shared" si="24"/>
        <v>000-000 :</v>
      </c>
      <c r="T136" s="11" t="str">
        <f t="shared" si="24"/>
        <v>000-000 :</v>
      </c>
      <c r="U136" s="11" t="str">
        <f t="shared" si="24"/>
        <v>000-000 :</v>
      </c>
      <c r="V136" s="11" t="str">
        <f t="shared" si="24"/>
        <v>000-000 :</v>
      </c>
      <c r="W136" s="11" t="str">
        <f t="shared" si="24"/>
        <v>000-000 :</v>
      </c>
      <c r="X136" s="11" t="str">
        <f t="shared" si="24"/>
        <v>000-000 :</v>
      </c>
      <c r="Y136" s="11" t="str">
        <f t="shared" si="25"/>
        <v>스핀들소음 :</v>
      </c>
      <c r="Z136" s="11" t="str">
        <f t="shared" si="26"/>
        <v>필터세척 :
FLOW   (T1, T4 : / T2, T3 : / T4 : )</v>
      </c>
      <c r="AA136" s="11" t="str">
        <f t="shared" ref="AA136:AA199" si="27">IF($AD136="","",
  IF(MOD(AD136,160)=0,
    "TENSION (XL : / ZL : / XR : / ZR : / Y : )" &amp; CHAR(10) &amp;
    "필터교체",
    "-"
  )
)</f>
        <v/>
      </c>
      <c r="AB136" s="1"/>
      <c r="AC136" s="1"/>
      <c r="AD136" s="12"/>
      <c r="AE136" s="11" t="str">
        <f t="shared" ref="AE136:AE199" si="28">IF(AD136="","",
  IF(MOD($AD136,1)=0,
    "Dimensions: L W H",
    "-"
  )
)</f>
        <v/>
      </c>
      <c r="AF136" s="9"/>
      <c r="AG136" s="1"/>
      <c r="AH136" s="3"/>
    </row>
    <row r="137" spans="1:34" ht="34" x14ac:dyDescent="0.4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 t="str">
        <f>IF(LEN(A137)&gt;0, 상수!B$4, "")</f>
        <v/>
      </c>
      <c r="L137" s="1"/>
      <c r="M137" s="11" t="str">
        <f t="shared" si="23"/>
        <v xml:space="preserve">스핀들유격: </v>
      </c>
      <c r="N137" s="11" t="str">
        <f t="shared" si="23"/>
        <v xml:space="preserve">스핀들유격: </v>
      </c>
      <c r="O137" s="11" t="str">
        <f t="shared" si="23"/>
        <v xml:space="preserve">스핀들유격: </v>
      </c>
      <c r="P137" s="11" t="str">
        <f t="shared" si="23"/>
        <v xml:space="preserve">스핀들유격: </v>
      </c>
      <c r="Q137" s="11" t="str">
        <f t="shared" si="24"/>
        <v>000-000 :</v>
      </c>
      <c r="R137" s="11" t="str">
        <f t="shared" si="24"/>
        <v>000-000 :</v>
      </c>
      <c r="S137" s="11" t="str">
        <f t="shared" si="24"/>
        <v>000-000 :</v>
      </c>
      <c r="T137" s="11" t="str">
        <f t="shared" si="24"/>
        <v>000-000 :</v>
      </c>
      <c r="U137" s="11" t="str">
        <f t="shared" si="24"/>
        <v>000-000 :</v>
      </c>
      <c r="V137" s="11" t="str">
        <f t="shared" si="24"/>
        <v>000-000 :</v>
      </c>
      <c r="W137" s="11" t="str">
        <f t="shared" si="24"/>
        <v>000-000 :</v>
      </c>
      <c r="X137" s="11" t="str">
        <f t="shared" si="24"/>
        <v>000-000 :</v>
      </c>
      <c r="Y137" s="11" t="str">
        <f t="shared" si="25"/>
        <v>스핀들소음 :</v>
      </c>
      <c r="Z137" s="11" t="str">
        <f t="shared" si="26"/>
        <v>필터세척 :
FLOW   (T1, T4 : / T2, T3 : / T4 : )</v>
      </c>
      <c r="AA137" s="11" t="str">
        <f t="shared" si="27"/>
        <v/>
      </c>
      <c r="AB137" s="1"/>
      <c r="AC137" s="1"/>
      <c r="AD137" s="12"/>
      <c r="AE137" s="11" t="str">
        <f t="shared" si="28"/>
        <v/>
      </c>
      <c r="AF137" s="9"/>
      <c r="AG137" s="1"/>
      <c r="AH137" s="3"/>
    </row>
    <row r="138" spans="1:34" ht="34" x14ac:dyDescent="0.45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1" t="str">
        <f>IF(LEN(A138)&gt;0, 상수!B$4, "")</f>
        <v/>
      </c>
      <c r="L138" s="1"/>
      <c r="M138" s="11" t="str">
        <f t="shared" si="23"/>
        <v xml:space="preserve">스핀들유격: </v>
      </c>
      <c r="N138" s="11" t="str">
        <f t="shared" si="23"/>
        <v xml:space="preserve">스핀들유격: </v>
      </c>
      <c r="O138" s="11" t="str">
        <f t="shared" si="23"/>
        <v xml:space="preserve">스핀들유격: </v>
      </c>
      <c r="P138" s="11" t="str">
        <f t="shared" si="23"/>
        <v xml:space="preserve">스핀들유격: </v>
      </c>
      <c r="Q138" s="11" t="str">
        <f t="shared" si="24"/>
        <v>000-000 :</v>
      </c>
      <c r="R138" s="11" t="str">
        <f t="shared" si="24"/>
        <v>000-000 :</v>
      </c>
      <c r="S138" s="11" t="str">
        <f t="shared" si="24"/>
        <v>000-000 :</v>
      </c>
      <c r="T138" s="11" t="str">
        <f t="shared" si="24"/>
        <v>000-000 :</v>
      </c>
      <c r="U138" s="11" t="str">
        <f t="shared" si="24"/>
        <v>000-000 :</v>
      </c>
      <c r="V138" s="11" t="str">
        <f t="shared" si="24"/>
        <v>000-000 :</v>
      </c>
      <c r="W138" s="11" t="str">
        <f t="shared" si="24"/>
        <v>000-000 :</v>
      </c>
      <c r="X138" s="11" t="str">
        <f t="shared" si="24"/>
        <v>000-000 :</v>
      </c>
      <c r="Y138" s="11" t="str">
        <f t="shared" si="25"/>
        <v>스핀들소음 :</v>
      </c>
      <c r="Z138" s="11" t="str">
        <f t="shared" si="26"/>
        <v>필터세척 :
FLOW   (T1, T4 : / T2, T3 : / T4 : )</v>
      </c>
      <c r="AA138" s="11" t="str">
        <f t="shared" si="27"/>
        <v/>
      </c>
      <c r="AB138" s="1"/>
      <c r="AC138" s="1"/>
      <c r="AD138" s="12"/>
      <c r="AE138" s="11" t="str">
        <f t="shared" si="28"/>
        <v/>
      </c>
      <c r="AF138" s="9"/>
      <c r="AG138" s="1"/>
      <c r="AH138" s="3"/>
    </row>
    <row r="139" spans="1:34" ht="34" x14ac:dyDescent="0.4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 t="str">
        <f>IF(LEN(A139)&gt;0, 상수!B$4, "")</f>
        <v/>
      </c>
      <c r="L139" s="1"/>
      <c r="M139" s="11" t="str">
        <f t="shared" si="23"/>
        <v xml:space="preserve">스핀들유격: </v>
      </c>
      <c r="N139" s="11" t="str">
        <f t="shared" si="23"/>
        <v xml:space="preserve">스핀들유격: </v>
      </c>
      <c r="O139" s="11" t="str">
        <f t="shared" si="23"/>
        <v xml:space="preserve">스핀들유격: </v>
      </c>
      <c r="P139" s="11" t="str">
        <f t="shared" si="23"/>
        <v xml:space="preserve">스핀들유격: </v>
      </c>
      <c r="Q139" s="11" t="str">
        <f t="shared" si="24"/>
        <v>000-000 :</v>
      </c>
      <c r="R139" s="11" t="str">
        <f t="shared" si="24"/>
        <v>000-000 :</v>
      </c>
      <c r="S139" s="11" t="str">
        <f t="shared" si="24"/>
        <v>000-000 :</v>
      </c>
      <c r="T139" s="11" t="str">
        <f t="shared" si="24"/>
        <v>000-000 :</v>
      </c>
      <c r="U139" s="11" t="str">
        <f t="shared" si="24"/>
        <v>000-000 :</v>
      </c>
      <c r="V139" s="11" t="str">
        <f t="shared" si="24"/>
        <v>000-000 :</v>
      </c>
      <c r="W139" s="11" t="str">
        <f t="shared" si="24"/>
        <v>000-000 :</v>
      </c>
      <c r="X139" s="11" t="str">
        <f t="shared" si="24"/>
        <v>000-000 :</v>
      </c>
      <c r="Y139" s="11" t="str">
        <f t="shared" si="25"/>
        <v>스핀들소음 :</v>
      </c>
      <c r="Z139" s="11" t="str">
        <f t="shared" si="26"/>
        <v>필터세척 :
FLOW   (T1, T4 : / T2, T3 : / T4 : )</v>
      </c>
      <c r="AA139" s="11" t="str">
        <f t="shared" si="27"/>
        <v/>
      </c>
      <c r="AB139" s="1"/>
      <c r="AC139" s="1"/>
      <c r="AD139" s="12"/>
      <c r="AE139" s="11" t="str">
        <f t="shared" si="28"/>
        <v/>
      </c>
      <c r="AF139" s="9"/>
      <c r="AG139" s="1"/>
      <c r="AH139" s="3"/>
    </row>
    <row r="140" spans="1:34" ht="34" x14ac:dyDescent="0.45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1" t="str">
        <f>IF(LEN(A140)&gt;0, 상수!B$4, "")</f>
        <v/>
      </c>
      <c r="L140" s="1"/>
      <c r="M140" s="11" t="str">
        <f t="shared" si="23"/>
        <v xml:space="preserve">스핀들유격: </v>
      </c>
      <c r="N140" s="11" t="str">
        <f t="shared" si="23"/>
        <v xml:space="preserve">스핀들유격: </v>
      </c>
      <c r="O140" s="11" t="str">
        <f t="shared" si="23"/>
        <v xml:space="preserve">스핀들유격: </v>
      </c>
      <c r="P140" s="11" t="str">
        <f t="shared" si="23"/>
        <v xml:space="preserve">스핀들유격: </v>
      </c>
      <c r="Q140" s="11" t="str">
        <f t="shared" si="24"/>
        <v>000-000 :</v>
      </c>
      <c r="R140" s="11" t="str">
        <f t="shared" si="24"/>
        <v>000-000 :</v>
      </c>
      <c r="S140" s="11" t="str">
        <f t="shared" si="24"/>
        <v>000-000 :</v>
      </c>
      <c r="T140" s="11" t="str">
        <f t="shared" si="24"/>
        <v>000-000 :</v>
      </c>
      <c r="U140" s="11" t="str">
        <f t="shared" si="24"/>
        <v>000-000 :</v>
      </c>
      <c r="V140" s="11" t="str">
        <f t="shared" si="24"/>
        <v>000-000 :</v>
      </c>
      <c r="W140" s="11" t="str">
        <f t="shared" si="24"/>
        <v>000-000 :</v>
      </c>
      <c r="X140" s="11" t="str">
        <f t="shared" si="24"/>
        <v>000-000 :</v>
      </c>
      <c r="Y140" s="11" t="str">
        <f t="shared" si="25"/>
        <v>스핀들소음 :</v>
      </c>
      <c r="Z140" s="11" t="str">
        <f t="shared" si="26"/>
        <v>필터세척 :
FLOW   (T1, T4 : / T2, T3 : / T4 : )</v>
      </c>
      <c r="AA140" s="11" t="str">
        <f t="shared" si="27"/>
        <v/>
      </c>
      <c r="AB140" s="1"/>
      <c r="AC140" s="1"/>
      <c r="AD140" s="12"/>
      <c r="AE140" s="11" t="str">
        <f t="shared" si="28"/>
        <v/>
      </c>
      <c r="AF140" s="9"/>
      <c r="AG140" s="1"/>
      <c r="AH140" s="3"/>
    </row>
    <row r="141" spans="1:34" ht="34" x14ac:dyDescent="0.4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 t="str">
        <f>IF(LEN(A141)&gt;0, 상수!B$4, "")</f>
        <v/>
      </c>
      <c r="L141" s="1"/>
      <c r="M141" s="11" t="str">
        <f t="shared" si="23"/>
        <v xml:space="preserve">스핀들유격: </v>
      </c>
      <c r="N141" s="11" t="str">
        <f t="shared" si="23"/>
        <v xml:space="preserve">스핀들유격: </v>
      </c>
      <c r="O141" s="11" t="str">
        <f t="shared" si="23"/>
        <v xml:space="preserve">스핀들유격: </v>
      </c>
      <c r="P141" s="11" t="str">
        <f t="shared" si="23"/>
        <v xml:space="preserve">스핀들유격: </v>
      </c>
      <c r="Q141" s="11" t="str">
        <f t="shared" si="24"/>
        <v>000-000 :</v>
      </c>
      <c r="R141" s="11" t="str">
        <f t="shared" si="24"/>
        <v>000-000 :</v>
      </c>
      <c r="S141" s="11" t="str">
        <f t="shared" si="24"/>
        <v>000-000 :</v>
      </c>
      <c r="T141" s="11" t="str">
        <f t="shared" si="24"/>
        <v>000-000 :</v>
      </c>
      <c r="U141" s="11" t="str">
        <f t="shared" si="24"/>
        <v>000-000 :</v>
      </c>
      <c r="V141" s="11" t="str">
        <f t="shared" si="24"/>
        <v>000-000 :</v>
      </c>
      <c r="W141" s="11" t="str">
        <f t="shared" si="24"/>
        <v>000-000 :</v>
      </c>
      <c r="X141" s="11" t="str">
        <f t="shared" si="24"/>
        <v>000-000 :</v>
      </c>
      <c r="Y141" s="11" t="str">
        <f t="shared" si="25"/>
        <v>스핀들소음 :</v>
      </c>
      <c r="Z141" s="11" t="str">
        <f t="shared" si="26"/>
        <v>필터세척 :
FLOW   (T1, T4 : / T2, T3 : / T4 : )</v>
      </c>
      <c r="AA141" s="11" t="str">
        <f t="shared" si="27"/>
        <v/>
      </c>
      <c r="AB141" s="1"/>
      <c r="AC141" s="1"/>
      <c r="AD141" s="12"/>
      <c r="AE141" s="11" t="str">
        <f t="shared" si="28"/>
        <v/>
      </c>
      <c r="AF141" s="9"/>
      <c r="AG141" s="1"/>
      <c r="AH141" s="3"/>
    </row>
    <row r="142" spans="1:34" ht="34" x14ac:dyDescent="0.4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 t="str">
        <f>IF(LEN(A142)&gt;0, 상수!B$4, "")</f>
        <v/>
      </c>
      <c r="L142" s="1"/>
      <c r="M142" s="11" t="str">
        <f t="shared" si="23"/>
        <v xml:space="preserve">스핀들유격: </v>
      </c>
      <c r="N142" s="11" t="str">
        <f t="shared" si="23"/>
        <v xml:space="preserve">스핀들유격: </v>
      </c>
      <c r="O142" s="11" t="str">
        <f t="shared" si="23"/>
        <v xml:space="preserve">스핀들유격: </v>
      </c>
      <c r="P142" s="11" t="str">
        <f t="shared" si="23"/>
        <v xml:space="preserve">스핀들유격: </v>
      </c>
      <c r="Q142" s="11" t="str">
        <f t="shared" si="24"/>
        <v>000-000 :</v>
      </c>
      <c r="R142" s="11" t="str">
        <f t="shared" si="24"/>
        <v>000-000 :</v>
      </c>
      <c r="S142" s="11" t="str">
        <f t="shared" si="24"/>
        <v>000-000 :</v>
      </c>
      <c r="T142" s="11" t="str">
        <f t="shared" si="24"/>
        <v>000-000 :</v>
      </c>
      <c r="U142" s="11" t="str">
        <f t="shared" si="24"/>
        <v>000-000 :</v>
      </c>
      <c r="V142" s="11" t="str">
        <f t="shared" si="24"/>
        <v>000-000 :</v>
      </c>
      <c r="W142" s="11" t="str">
        <f t="shared" si="24"/>
        <v>000-000 :</v>
      </c>
      <c r="X142" s="11" t="str">
        <f t="shared" si="24"/>
        <v>000-000 :</v>
      </c>
      <c r="Y142" s="11" t="str">
        <f t="shared" si="25"/>
        <v>스핀들소음 :</v>
      </c>
      <c r="Z142" s="11" t="str">
        <f t="shared" si="26"/>
        <v>필터세척 :
FLOW   (T1, T4 : / T2, T3 : / T4 : )</v>
      </c>
      <c r="AA142" s="11" t="str">
        <f t="shared" si="27"/>
        <v/>
      </c>
      <c r="AB142" s="1"/>
      <c r="AC142" s="1"/>
      <c r="AD142" s="12"/>
      <c r="AE142" s="11" t="str">
        <f t="shared" si="28"/>
        <v/>
      </c>
      <c r="AF142" s="9"/>
      <c r="AG142" s="1"/>
      <c r="AH142" s="3"/>
    </row>
    <row r="143" spans="1:34" ht="34" x14ac:dyDescent="0.4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 t="str">
        <f>IF(LEN(A143)&gt;0, 상수!B$4, "")</f>
        <v/>
      </c>
      <c r="L143" s="1"/>
      <c r="M143" s="11" t="str">
        <f t="shared" si="23"/>
        <v xml:space="preserve">스핀들유격: </v>
      </c>
      <c r="N143" s="11" t="str">
        <f t="shared" si="23"/>
        <v xml:space="preserve">스핀들유격: </v>
      </c>
      <c r="O143" s="11" t="str">
        <f t="shared" si="23"/>
        <v xml:space="preserve">스핀들유격: </v>
      </c>
      <c r="P143" s="11" t="str">
        <f t="shared" si="23"/>
        <v xml:space="preserve">스핀들유격: </v>
      </c>
      <c r="Q143" s="11" t="str">
        <f t="shared" si="24"/>
        <v>000-000 :</v>
      </c>
      <c r="R143" s="11" t="str">
        <f t="shared" si="24"/>
        <v>000-000 :</v>
      </c>
      <c r="S143" s="11" t="str">
        <f t="shared" si="24"/>
        <v>000-000 :</v>
      </c>
      <c r="T143" s="11" t="str">
        <f t="shared" si="24"/>
        <v>000-000 :</v>
      </c>
      <c r="U143" s="11" t="str">
        <f t="shared" si="24"/>
        <v>000-000 :</v>
      </c>
      <c r="V143" s="11" t="str">
        <f t="shared" si="24"/>
        <v>000-000 :</v>
      </c>
      <c r="W143" s="11" t="str">
        <f t="shared" si="24"/>
        <v>000-000 :</v>
      </c>
      <c r="X143" s="11" t="str">
        <f t="shared" si="24"/>
        <v>000-000 :</v>
      </c>
      <c r="Y143" s="11" t="str">
        <f t="shared" si="25"/>
        <v>스핀들소음 :</v>
      </c>
      <c r="Z143" s="11" t="str">
        <f t="shared" si="26"/>
        <v>필터세척 :
FLOW   (T1, T4 : / T2, T3 : / T4 : )</v>
      </c>
      <c r="AA143" s="11" t="str">
        <f t="shared" si="27"/>
        <v/>
      </c>
      <c r="AB143" s="1"/>
      <c r="AC143" s="1"/>
      <c r="AD143" s="12"/>
      <c r="AE143" s="11" t="str">
        <f t="shared" si="28"/>
        <v/>
      </c>
      <c r="AF143" s="9"/>
      <c r="AG143" s="1"/>
      <c r="AH143" s="3"/>
    </row>
    <row r="144" spans="1:34" ht="34" x14ac:dyDescent="0.4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 t="str">
        <f>IF(LEN(A144)&gt;0, 상수!B$4, "")</f>
        <v/>
      </c>
      <c r="L144" s="1"/>
      <c r="M144" s="11" t="str">
        <f t="shared" si="23"/>
        <v xml:space="preserve">스핀들유격: </v>
      </c>
      <c r="N144" s="11" t="str">
        <f t="shared" si="23"/>
        <v xml:space="preserve">스핀들유격: </v>
      </c>
      <c r="O144" s="11" t="str">
        <f t="shared" si="23"/>
        <v xml:space="preserve">스핀들유격: </v>
      </c>
      <c r="P144" s="11" t="str">
        <f t="shared" si="23"/>
        <v xml:space="preserve">스핀들유격: </v>
      </c>
      <c r="Q144" s="11" t="str">
        <f t="shared" si="24"/>
        <v>000-000 :</v>
      </c>
      <c r="R144" s="11" t="str">
        <f t="shared" si="24"/>
        <v>000-000 :</v>
      </c>
      <c r="S144" s="11" t="str">
        <f t="shared" si="24"/>
        <v>000-000 :</v>
      </c>
      <c r="T144" s="11" t="str">
        <f t="shared" si="24"/>
        <v>000-000 :</v>
      </c>
      <c r="U144" s="11" t="str">
        <f t="shared" si="24"/>
        <v>000-000 :</v>
      </c>
      <c r="V144" s="11" t="str">
        <f t="shared" si="24"/>
        <v>000-000 :</v>
      </c>
      <c r="W144" s="11" t="str">
        <f t="shared" si="24"/>
        <v>000-000 :</v>
      </c>
      <c r="X144" s="11" t="str">
        <f t="shared" si="24"/>
        <v>000-000 :</v>
      </c>
      <c r="Y144" s="11" t="str">
        <f t="shared" si="25"/>
        <v>스핀들소음 :</v>
      </c>
      <c r="Z144" s="11" t="str">
        <f t="shared" si="26"/>
        <v>필터세척 :
FLOW   (T1, T4 : / T2, T3 : / T4 : )</v>
      </c>
      <c r="AA144" s="11" t="str">
        <f t="shared" si="27"/>
        <v/>
      </c>
      <c r="AB144" s="1"/>
      <c r="AC144" s="1"/>
      <c r="AD144" s="12"/>
      <c r="AE144" s="11" t="str">
        <f t="shared" si="28"/>
        <v/>
      </c>
      <c r="AF144" s="9"/>
      <c r="AG144" s="1"/>
      <c r="AH144" s="3"/>
    </row>
    <row r="145" spans="1:34" ht="34" x14ac:dyDescent="0.4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 t="str">
        <f>IF(LEN(A145)&gt;0, 상수!B$4, "")</f>
        <v/>
      </c>
      <c r="L145" s="1"/>
      <c r="M145" s="11" t="str">
        <f t="shared" si="23"/>
        <v xml:space="preserve">스핀들유격: </v>
      </c>
      <c r="N145" s="11" t="str">
        <f t="shared" si="23"/>
        <v xml:space="preserve">스핀들유격: </v>
      </c>
      <c r="O145" s="11" t="str">
        <f t="shared" si="23"/>
        <v xml:space="preserve">스핀들유격: </v>
      </c>
      <c r="P145" s="11" t="str">
        <f t="shared" si="23"/>
        <v xml:space="preserve">스핀들유격: </v>
      </c>
      <c r="Q145" s="11" t="str">
        <f t="shared" si="24"/>
        <v>000-000 :</v>
      </c>
      <c r="R145" s="11" t="str">
        <f t="shared" si="24"/>
        <v>000-000 :</v>
      </c>
      <c r="S145" s="11" t="str">
        <f t="shared" si="24"/>
        <v>000-000 :</v>
      </c>
      <c r="T145" s="11" t="str">
        <f t="shared" si="24"/>
        <v>000-000 :</v>
      </c>
      <c r="U145" s="11" t="str">
        <f t="shared" si="24"/>
        <v>000-000 :</v>
      </c>
      <c r="V145" s="11" t="str">
        <f t="shared" si="24"/>
        <v>000-000 :</v>
      </c>
      <c r="W145" s="11" t="str">
        <f t="shared" si="24"/>
        <v>000-000 :</v>
      </c>
      <c r="X145" s="11" t="str">
        <f t="shared" si="24"/>
        <v>000-000 :</v>
      </c>
      <c r="Y145" s="11" t="str">
        <f t="shared" si="25"/>
        <v>스핀들소음 :</v>
      </c>
      <c r="Z145" s="11" t="str">
        <f t="shared" si="26"/>
        <v>필터세척 :
FLOW   (T1, T4 : / T2, T3 : / T4 : )</v>
      </c>
      <c r="AA145" s="11" t="str">
        <f t="shared" si="27"/>
        <v/>
      </c>
      <c r="AB145" s="1"/>
      <c r="AC145" s="1"/>
      <c r="AD145" s="12"/>
      <c r="AE145" s="11" t="str">
        <f t="shared" si="28"/>
        <v/>
      </c>
      <c r="AF145" s="9"/>
      <c r="AG145" s="1"/>
      <c r="AH145" s="3"/>
    </row>
    <row r="146" spans="1:34" ht="34" x14ac:dyDescent="0.4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IF(LEN(A146)&gt;0, 상수!B$4, "")</f>
        <v/>
      </c>
      <c r="L146" s="1"/>
      <c r="M146" s="11" t="str">
        <f t="shared" si="23"/>
        <v xml:space="preserve">스핀들유격: </v>
      </c>
      <c r="N146" s="11" t="str">
        <f t="shared" si="23"/>
        <v xml:space="preserve">스핀들유격: </v>
      </c>
      <c r="O146" s="11" t="str">
        <f t="shared" si="23"/>
        <v xml:space="preserve">스핀들유격: </v>
      </c>
      <c r="P146" s="11" t="str">
        <f t="shared" si="23"/>
        <v xml:space="preserve">스핀들유격: </v>
      </c>
      <c r="Q146" s="11" t="str">
        <f t="shared" si="24"/>
        <v>000-000 :</v>
      </c>
      <c r="R146" s="11" t="str">
        <f t="shared" si="24"/>
        <v>000-000 :</v>
      </c>
      <c r="S146" s="11" t="str">
        <f t="shared" si="24"/>
        <v>000-000 :</v>
      </c>
      <c r="T146" s="11" t="str">
        <f t="shared" si="24"/>
        <v>000-000 :</v>
      </c>
      <c r="U146" s="11" t="str">
        <f t="shared" si="24"/>
        <v>000-000 :</v>
      </c>
      <c r="V146" s="11" t="str">
        <f t="shared" si="24"/>
        <v>000-000 :</v>
      </c>
      <c r="W146" s="11" t="str">
        <f t="shared" si="24"/>
        <v>000-000 :</v>
      </c>
      <c r="X146" s="11" t="str">
        <f t="shared" si="24"/>
        <v>000-000 :</v>
      </c>
      <c r="Y146" s="11" t="str">
        <f t="shared" si="25"/>
        <v>스핀들소음 :</v>
      </c>
      <c r="Z146" s="11" t="str">
        <f t="shared" si="26"/>
        <v>필터세척 :
FLOW   (T1, T4 : / T2, T3 : / T4 : )</v>
      </c>
      <c r="AA146" s="11" t="str">
        <f t="shared" si="27"/>
        <v/>
      </c>
      <c r="AB146" s="1"/>
      <c r="AC146" s="1"/>
      <c r="AD146" s="12"/>
      <c r="AE146" s="11" t="str">
        <f t="shared" si="28"/>
        <v/>
      </c>
      <c r="AF146" s="9"/>
      <c r="AG146" s="1"/>
      <c r="AH146" s="3"/>
    </row>
    <row r="147" spans="1:34" ht="34" x14ac:dyDescent="0.4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IF(LEN(A147)&gt;0, 상수!B$4, "")</f>
        <v/>
      </c>
      <c r="L147" s="1"/>
      <c r="M147" s="11" t="str">
        <f t="shared" ref="M147:P166" si="29">IF(MOD($AD147,5)=0, "스핀들유격: ","-" )</f>
        <v xml:space="preserve">스핀들유격: </v>
      </c>
      <c r="N147" s="11" t="str">
        <f t="shared" si="29"/>
        <v xml:space="preserve">스핀들유격: </v>
      </c>
      <c r="O147" s="11" t="str">
        <f t="shared" si="29"/>
        <v xml:space="preserve">스핀들유격: </v>
      </c>
      <c r="P147" s="11" t="str">
        <f t="shared" si="29"/>
        <v xml:space="preserve">스핀들유격: </v>
      </c>
      <c r="Q147" s="11" t="str">
        <f t="shared" si="24"/>
        <v>000-000 :</v>
      </c>
      <c r="R147" s="11" t="str">
        <f t="shared" si="24"/>
        <v>000-000 :</v>
      </c>
      <c r="S147" s="11" t="str">
        <f t="shared" si="24"/>
        <v>000-000 :</v>
      </c>
      <c r="T147" s="11" t="str">
        <f t="shared" si="24"/>
        <v>000-000 :</v>
      </c>
      <c r="U147" s="11" t="str">
        <f t="shared" si="24"/>
        <v>000-000 :</v>
      </c>
      <c r="V147" s="11" t="str">
        <f t="shared" si="24"/>
        <v>000-000 :</v>
      </c>
      <c r="W147" s="11" t="str">
        <f t="shared" si="24"/>
        <v>000-000 :</v>
      </c>
      <c r="X147" s="11" t="str">
        <f t="shared" si="24"/>
        <v>000-000 :</v>
      </c>
      <c r="Y147" s="11" t="str">
        <f t="shared" si="25"/>
        <v>스핀들소음 :</v>
      </c>
      <c r="Z147" s="11" t="str">
        <f t="shared" si="26"/>
        <v>필터세척 :
FLOW   (T1, T4 : / T2, T3 : / T4 : )</v>
      </c>
      <c r="AA147" s="11" t="str">
        <f t="shared" si="27"/>
        <v/>
      </c>
      <c r="AB147" s="1"/>
      <c r="AC147" s="1"/>
      <c r="AD147" s="12"/>
      <c r="AE147" s="11" t="str">
        <f t="shared" si="28"/>
        <v/>
      </c>
      <c r="AF147" s="9"/>
      <c r="AG147" s="1"/>
      <c r="AH147" s="3"/>
    </row>
    <row r="148" spans="1:34" ht="34" x14ac:dyDescent="0.4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IF(LEN(A148)&gt;0, 상수!B$4, "")</f>
        <v/>
      </c>
      <c r="L148" s="1"/>
      <c r="M148" s="11" t="str">
        <f t="shared" si="29"/>
        <v xml:space="preserve">스핀들유격: </v>
      </c>
      <c r="N148" s="11" t="str">
        <f t="shared" si="29"/>
        <v xml:space="preserve">스핀들유격: </v>
      </c>
      <c r="O148" s="11" t="str">
        <f t="shared" si="29"/>
        <v xml:space="preserve">스핀들유격: </v>
      </c>
      <c r="P148" s="11" t="str">
        <f t="shared" si="29"/>
        <v xml:space="preserve">스핀들유격: </v>
      </c>
      <c r="Q148" s="11" t="str">
        <f t="shared" si="24"/>
        <v>000-000 :</v>
      </c>
      <c r="R148" s="11" t="str">
        <f t="shared" si="24"/>
        <v>000-000 :</v>
      </c>
      <c r="S148" s="11" t="str">
        <f t="shared" si="24"/>
        <v>000-000 :</v>
      </c>
      <c r="T148" s="11" t="str">
        <f t="shared" si="24"/>
        <v>000-000 :</v>
      </c>
      <c r="U148" s="11" t="str">
        <f t="shared" si="24"/>
        <v>000-000 :</v>
      </c>
      <c r="V148" s="11" t="str">
        <f t="shared" si="24"/>
        <v>000-000 :</v>
      </c>
      <c r="W148" s="11" t="str">
        <f t="shared" si="24"/>
        <v>000-000 :</v>
      </c>
      <c r="X148" s="11" t="str">
        <f t="shared" si="24"/>
        <v>000-000 :</v>
      </c>
      <c r="Y148" s="11" t="str">
        <f t="shared" si="25"/>
        <v>스핀들소음 :</v>
      </c>
      <c r="Z148" s="11" t="str">
        <f t="shared" si="26"/>
        <v>필터세척 :
FLOW   (T1, T4 : / T2, T3 : / T4 : )</v>
      </c>
      <c r="AA148" s="11" t="str">
        <f t="shared" si="27"/>
        <v/>
      </c>
      <c r="AB148" s="1"/>
      <c r="AC148" s="1"/>
      <c r="AD148" s="12"/>
      <c r="AE148" s="11" t="str">
        <f t="shared" si="28"/>
        <v/>
      </c>
      <c r="AF148" s="9"/>
      <c r="AG148" s="1"/>
      <c r="AH148" s="3"/>
    </row>
    <row r="149" spans="1:34" ht="34" x14ac:dyDescent="0.4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IF(LEN(A149)&gt;0, 상수!B$4, "")</f>
        <v/>
      </c>
      <c r="L149" s="1"/>
      <c r="M149" s="11" t="str">
        <f t="shared" si="29"/>
        <v xml:space="preserve">스핀들유격: </v>
      </c>
      <c r="N149" s="11" t="str">
        <f t="shared" si="29"/>
        <v xml:space="preserve">스핀들유격: </v>
      </c>
      <c r="O149" s="11" t="str">
        <f t="shared" si="29"/>
        <v xml:space="preserve">스핀들유격: </v>
      </c>
      <c r="P149" s="11" t="str">
        <f t="shared" si="29"/>
        <v xml:space="preserve">스핀들유격: </v>
      </c>
      <c r="Q149" s="11" t="str">
        <f t="shared" si="24"/>
        <v>000-000 :</v>
      </c>
      <c r="R149" s="11" t="str">
        <f t="shared" si="24"/>
        <v>000-000 :</v>
      </c>
      <c r="S149" s="11" t="str">
        <f t="shared" si="24"/>
        <v>000-000 :</v>
      </c>
      <c r="T149" s="11" t="str">
        <f t="shared" si="24"/>
        <v>000-000 :</v>
      </c>
      <c r="U149" s="11" t="str">
        <f t="shared" si="24"/>
        <v>000-000 :</v>
      </c>
      <c r="V149" s="11" t="str">
        <f t="shared" si="24"/>
        <v>000-000 :</v>
      </c>
      <c r="W149" s="11" t="str">
        <f t="shared" si="24"/>
        <v>000-000 :</v>
      </c>
      <c r="X149" s="11" t="str">
        <f t="shared" si="24"/>
        <v>000-000 :</v>
      </c>
      <c r="Y149" s="11" t="str">
        <f t="shared" si="25"/>
        <v>스핀들소음 :</v>
      </c>
      <c r="Z149" s="11" t="str">
        <f t="shared" si="26"/>
        <v>필터세척 :
FLOW   (T1, T4 : / T2, T3 : / T4 : )</v>
      </c>
      <c r="AA149" s="11" t="str">
        <f t="shared" si="27"/>
        <v/>
      </c>
      <c r="AB149" s="1"/>
      <c r="AC149" s="1"/>
      <c r="AD149" s="12"/>
      <c r="AE149" s="11" t="str">
        <f t="shared" si="28"/>
        <v/>
      </c>
      <c r="AF149" s="9"/>
      <c r="AG149" s="1"/>
      <c r="AH149" s="3"/>
    </row>
    <row r="150" spans="1:34" ht="34" x14ac:dyDescent="0.4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IF(LEN(A150)&gt;0, 상수!B$4, "")</f>
        <v/>
      </c>
      <c r="L150" s="1"/>
      <c r="M150" s="11" t="str">
        <f t="shared" si="29"/>
        <v xml:space="preserve">스핀들유격: </v>
      </c>
      <c r="N150" s="11" t="str">
        <f t="shared" si="29"/>
        <v xml:space="preserve">스핀들유격: </v>
      </c>
      <c r="O150" s="11" t="str">
        <f t="shared" si="29"/>
        <v xml:space="preserve">스핀들유격: </v>
      </c>
      <c r="P150" s="11" t="str">
        <f t="shared" si="29"/>
        <v xml:space="preserve">스핀들유격: </v>
      </c>
      <c r="Q150" s="11" t="str">
        <f t="shared" si="24"/>
        <v>000-000 :</v>
      </c>
      <c r="R150" s="11" t="str">
        <f t="shared" si="24"/>
        <v>000-000 :</v>
      </c>
      <c r="S150" s="11" t="str">
        <f t="shared" si="24"/>
        <v>000-000 :</v>
      </c>
      <c r="T150" s="11" t="str">
        <f t="shared" si="24"/>
        <v>000-000 :</v>
      </c>
      <c r="U150" s="11" t="str">
        <f t="shared" si="24"/>
        <v>000-000 :</v>
      </c>
      <c r="V150" s="11" t="str">
        <f t="shared" si="24"/>
        <v>000-000 :</v>
      </c>
      <c r="W150" s="11" t="str">
        <f t="shared" si="24"/>
        <v>000-000 :</v>
      </c>
      <c r="X150" s="11" t="str">
        <f t="shared" si="24"/>
        <v>000-000 :</v>
      </c>
      <c r="Y150" s="11" t="str">
        <f t="shared" si="25"/>
        <v>스핀들소음 :</v>
      </c>
      <c r="Z150" s="11" t="str">
        <f t="shared" si="26"/>
        <v>필터세척 :
FLOW   (T1, T4 : / T2, T3 : / T4 : )</v>
      </c>
      <c r="AA150" s="11" t="str">
        <f t="shared" si="27"/>
        <v/>
      </c>
      <c r="AB150" s="1"/>
      <c r="AC150" s="1"/>
      <c r="AD150" s="12"/>
      <c r="AE150" s="11" t="str">
        <f t="shared" si="28"/>
        <v/>
      </c>
      <c r="AF150" s="9"/>
      <c r="AG150" s="1"/>
      <c r="AH150" s="3"/>
    </row>
    <row r="151" spans="1:34" ht="34" x14ac:dyDescent="0.4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IF(LEN(A151)&gt;0, 상수!B$4, "")</f>
        <v/>
      </c>
      <c r="L151" s="1"/>
      <c r="M151" s="11" t="str">
        <f t="shared" si="29"/>
        <v xml:space="preserve">스핀들유격: </v>
      </c>
      <c r="N151" s="11" t="str">
        <f t="shared" si="29"/>
        <v xml:space="preserve">스핀들유격: </v>
      </c>
      <c r="O151" s="11" t="str">
        <f t="shared" si="29"/>
        <v xml:space="preserve">스핀들유격: </v>
      </c>
      <c r="P151" s="11" t="str">
        <f t="shared" si="29"/>
        <v xml:space="preserve">스핀들유격: </v>
      </c>
      <c r="Q151" s="11" t="str">
        <f t="shared" ref="Q151:X166" si="30">IF(MOD($AD151,5)=0, "000-000 :","-" )</f>
        <v>000-000 :</v>
      </c>
      <c r="R151" s="11" t="str">
        <f t="shared" si="30"/>
        <v>000-000 :</v>
      </c>
      <c r="S151" s="11" t="str">
        <f t="shared" si="30"/>
        <v>000-000 :</v>
      </c>
      <c r="T151" s="11" t="str">
        <f t="shared" si="30"/>
        <v>000-000 :</v>
      </c>
      <c r="U151" s="11" t="str">
        <f t="shared" si="30"/>
        <v>000-000 :</v>
      </c>
      <c r="V151" s="11" t="str">
        <f t="shared" si="30"/>
        <v>000-000 :</v>
      </c>
      <c r="W151" s="11" t="str">
        <f t="shared" si="30"/>
        <v>000-000 :</v>
      </c>
      <c r="X151" s="11" t="str">
        <f t="shared" si="30"/>
        <v>000-000 :</v>
      </c>
      <c r="Y151" s="11" t="str">
        <f t="shared" si="25"/>
        <v>스핀들소음 :</v>
      </c>
      <c r="Z151" s="11" t="str">
        <f t="shared" si="26"/>
        <v>필터세척 :
FLOW   (T1, T4 : / T2, T3 : / T4 : )</v>
      </c>
      <c r="AA151" s="11" t="str">
        <f t="shared" si="27"/>
        <v/>
      </c>
      <c r="AB151" s="1"/>
      <c r="AC151" s="1"/>
      <c r="AD151" s="12"/>
      <c r="AE151" s="11" t="str">
        <f t="shared" si="28"/>
        <v/>
      </c>
      <c r="AF151" s="9"/>
      <c r="AG151" s="1"/>
      <c r="AH151" s="3"/>
    </row>
    <row r="152" spans="1:34" ht="34" x14ac:dyDescent="0.4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IF(LEN(A152)&gt;0, 상수!B$4, "")</f>
        <v/>
      </c>
      <c r="L152" s="1"/>
      <c r="M152" s="11" t="str">
        <f t="shared" si="29"/>
        <v xml:space="preserve">스핀들유격: </v>
      </c>
      <c r="N152" s="11" t="str">
        <f t="shared" si="29"/>
        <v xml:space="preserve">스핀들유격: </v>
      </c>
      <c r="O152" s="11" t="str">
        <f t="shared" si="29"/>
        <v xml:space="preserve">스핀들유격: </v>
      </c>
      <c r="P152" s="11" t="str">
        <f t="shared" si="29"/>
        <v xml:space="preserve">스핀들유격: </v>
      </c>
      <c r="Q152" s="11" t="str">
        <f t="shared" si="30"/>
        <v>000-000 :</v>
      </c>
      <c r="R152" s="11" t="str">
        <f t="shared" si="30"/>
        <v>000-000 :</v>
      </c>
      <c r="S152" s="11" t="str">
        <f t="shared" si="30"/>
        <v>000-000 :</v>
      </c>
      <c r="T152" s="11" t="str">
        <f t="shared" si="30"/>
        <v>000-000 :</v>
      </c>
      <c r="U152" s="11" t="str">
        <f t="shared" si="30"/>
        <v>000-000 :</v>
      </c>
      <c r="V152" s="11" t="str">
        <f t="shared" si="30"/>
        <v>000-000 :</v>
      </c>
      <c r="W152" s="11" t="str">
        <f t="shared" si="30"/>
        <v>000-000 :</v>
      </c>
      <c r="X152" s="11" t="str">
        <f t="shared" si="30"/>
        <v>000-000 :</v>
      </c>
      <c r="Y152" s="11" t="str">
        <f t="shared" si="25"/>
        <v>스핀들소음 :</v>
      </c>
      <c r="Z152" s="11" t="str">
        <f t="shared" si="26"/>
        <v>필터세척 :
FLOW   (T1, T4 : / T2, T3 : / T4 : )</v>
      </c>
      <c r="AA152" s="11" t="str">
        <f t="shared" si="27"/>
        <v/>
      </c>
      <c r="AB152" s="1"/>
      <c r="AC152" s="1"/>
      <c r="AD152" s="12"/>
      <c r="AE152" s="11" t="str">
        <f t="shared" si="28"/>
        <v/>
      </c>
      <c r="AF152" s="9"/>
      <c r="AG152" s="1"/>
      <c r="AH152" s="3"/>
    </row>
    <row r="153" spans="1:34" ht="34" x14ac:dyDescent="0.4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IF(LEN(A153)&gt;0, 상수!B$4, "")</f>
        <v/>
      </c>
      <c r="L153" s="1"/>
      <c r="M153" s="11" t="str">
        <f t="shared" si="29"/>
        <v xml:space="preserve">스핀들유격: </v>
      </c>
      <c r="N153" s="11" t="str">
        <f t="shared" si="29"/>
        <v xml:space="preserve">스핀들유격: </v>
      </c>
      <c r="O153" s="11" t="str">
        <f t="shared" si="29"/>
        <v xml:space="preserve">스핀들유격: </v>
      </c>
      <c r="P153" s="11" t="str">
        <f t="shared" si="29"/>
        <v xml:space="preserve">스핀들유격: </v>
      </c>
      <c r="Q153" s="11" t="str">
        <f t="shared" si="30"/>
        <v>000-000 :</v>
      </c>
      <c r="R153" s="11" t="str">
        <f t="shared" si="30"/>
        <v>000-000 :</v>
      </c>
      <c r="S153" s="11" t="str">
        <f t="shared" si="30"/>
        <v>000-000 :</v>
      </c>
      <c r="T153" s="11" t="str">
        <f t="shared" si="30"/>
        <v>000-000 :</v>
      </c>
      <c r="U153" s="11" t="str">
        <f t="shared" si="30"/>
        <v>000-000 :</v>
      </c>
      <c r="V153" s="11" t="str">
        <f t="shared" si="30"/>
        <v>000-000 :</v>
      </c>
      <c r="W153" s="11" t="str">
        <f t="shared" si="30"/>
        <v>000-000 :</v>
      </c>
      <c r="X153" s="11" t="str">
        <f t="shared" si="30"/>
        <v>000-000 :</v>
      </c>
      <c r="Y153" s="11" t="str">
        <f t="shared" si="25"/>
        <v>스핀들소음 :</v>
      </c>
      <c r="Z153" s="11" t="str">
        <f t="shared" si="26"/>
        <v>필터세척 :
FLOW   (T1, T4 : / T2, T3 : / T4 : )</v>
      </c>
      <c r="AA153" s="11" t="str">
        <f t="shared" si="27"/>
        <v/>
      </c>
      <c r="AB153" s="1"/>
      <c r="AC153" s="1"/>
      <c r="AD153" s="12"/>
      <c r="AE153" s="11" t="str">
        <f t="shared" si="28"/>
        <v/>
      </c>
      <c r="AF153" s="9"/>
      <c r="AG153" s="1"/>
      <c r="AH153" s="3"/>
    </row>
    <row r="154" spans="1:34" ht="34" x14ac:dyDescent="0.4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IF(LEN(A154)&gt;0, 상수!B$4, "")</f>
        <v/>
      </c>
      <c r="L154" s="1"/>
      <c r="M154" s="11" t="str">
        <f t="shared" si="29"/>
        <v xml:space="preserve">스핀들유격: </v>
      </c>
      <c r="N154" s="11" t="str">
        <f t="shared" si="29"/>
        <v xml:space="preserve">스핀들유격: </v>
      </c>
      <c r="O154" s="11" t="str">
        <f t="shared" si="29"/>
        <v xml:space="preserve">스핀들유격: </v>
      </c>
      <c r="P154" s="11" t="str">
        <f t="shared" si="29"/>
        <v xml:space="preserve">스핀들유격: </v>
      </c>
      <c r="Q154" s="11" t="str">
        <f t="shared" si="30"/>
        <v>000-000 :</v>
      </c>
      <c r="R154" s="11" t="str">
        <f t="shared" si="30"/>
        <v>000-000 :</v>
      </c>
      <c r="S154" s="11" t="str">
        <f t="shared" si="30"/>
        <v>000-000 :</v>
      </c>
      <c r="T154" s="11" t="str">
        <f t="shared" si="30"/>
        <v>000-000 :</v>
      </c>
      <c r="U154" s="11" t="str">
        <f t="shared" si="30"/>
        <v>000-000 :</v>
      </c>
      <c r="V154" s="11" t="str">
        <f t="shared" si="30"/>
        <v>000-000 :</v>
      </c>
      <c r="W154" s="11" t="str">
        <f t="shared" si="30"/>
        <v>000-000 :</v>
      </c>
      <c r="X154" s="11" t="str">
        <f t="shared" si="30"/>
        <v>000-000 :</v>
      </c>
      <c r="Y154" s="11" t="str">
        <f t="shared" si="25"/>
        <v>스핀들소음 :</v>
      </c>
      <c r="Z154" s="11" t="str">
        <f t="shared" si="26"/>
        <v>필터세척 :
FLOW   (T1, T4 : / T2, T3 : / T4 : )</v>
      </c>
      <c r="AA154" s="11" t="str">
        <f t="shared" si="27"/>
        <v/>
      </c>
      <c r="AB154" s="1"/>
      <c r="AC154" s="1"/>
      <c r="AD154" s="12"/>
      <c r="AE154" s="11" t="str">
        <f t="shared" si="28"/>
        <v/>
      </c>
      <c r="AF154" s="9"/>
      <c r="AG154" s="1"/>
      <c r="AH154" s="3"/>
    </row>
    <row r="155" spans="1:34" ht="34" x14ac:dyDescent="0.4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IF(LEN(A155)&gt;0, 상수!B$4, "")</f>
        <v/>
      </c>
      <c r="L155" s="1"/>
      <c r="M155" s="11" t="str">
        <f t="shared" si="29"/>
        <v xml:space="preserve">스핀들유격: </v>
      </c>
      <c r="N155" s="11" t="str">
        <f t="shared" si="29"/>
        <v xml:space="preserve">스핀들유격: </v>
      </c>
      <c r="O155" s="11" t="str">
        <f t="shared" si="29"/>
        <v xml:space="preserve">스핀들유격: </v>
      </c>
      <c r="P155" s="11" t="str">
        <f t="shared" si="29"/>
        <v xml:space="preserve">스핀들유격: </v>
      </c>
      <c r="Q155" s="11" t="str">
        <f t="shared" si="30"/>
        <v>000-000 :</v>
      </c>
      <c r="R155" s="11" t="str">
        <f t="shared" si="30"/>
        <v>000-000 :</v>
      </c>
      <c r="S155" s="11" t="str">
        <f t="shared" si="30"/>
        <v>000-000 :</v>
      </c>
      <c r="T155" s="11" t="str">
        <f t="shared" si="30"/>
        <v>000-000 :</v>
      </c>
      <c r="U155" s="11" t="str">
        <f t="shared" si="30"/>
        <v>000-000 :</v>
      </c>
      <c r="V155" s="11" t="str">
        <f t="shared" si="30"/>
        <v>000-000 :</v>
      </c>
      <c r="W155" s="11" t="str">
        <f t="shared" si="30"/>
        <v>000-000 :</v>
      </c>
      <c r="X155" s="11" t="str">
        <f t="shared" si="30"/>
        <v>000-000 :</v>
      </c>
      <c r="Y155" s="11" t="str">
        <f t="shared" si="25"/>
        <v>스핀들소음 :</v>
      </c>
      <c r="Z155" s="11" t="str">
        <f t="shared" si="26"/>
        <v>필터세척 :
FLOW   (T1, T4 : / T2, T3 : / T4 : )</v>
      </c>
      <c r="AA155" s="11" t="str">
        <f t="shared" si="27"/>
        <v/>
      </c>
      <c r="AB155" s="1"/>
      <c r="AC155" s="1"/>
      <c r="AD155" s="12"/>
      <c r="AE155" s="11" t="str">
        <f t="shared" si="28"/>
        <v/>
      </c>
      <c r="AF155" s="9"/>
      <c r="AG155" s="1"/>
      <c r="AH155" s="3"/>
    </row>
    <row r="156" spans="1:34" ht="34" x14ac:dyDescent="0.4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IF(LEN(A156)&gt;0, 상수!B$4, "")</f>
        <v/>
      </c>
      <c r="L156" s="1"/>
      <c r="M156" s="11" t="str">
        <f t="shared" si="29"/>
        <v xml:space="preserve">스핀들유격: </v>
      </c>
      <c r="N156" s="11" t="str">
        <f t="shared" si="29"/>
        <v xml:space="preserve">스핀들유격: </v>
      </c>
      <c r="O156" s="11" t="str">
        <f t="shared" si="29"/>
        <v xml:space="preserve">스핀들유격: </v>
      </c>
      <c r="P156" s="11" t="str">
        <f t="shared" si="29"/>
        <v xml:space="preserve">스핀들유격: </v>
      </c>
      <c r="Q156" s="11" t="str">
        <f t="shared" si="30"/>
        <v>000-000 :</v>
      </c>
      <c r="R156" s="11" t="str">
        <f t="shared" si="30"/>
        <v>000-000 :</v>
      </c>
      <c r="S156" s="11" t="str">
        <f t="shared" si="30"/>
        <v>000-000 :</v>
      </c>
      <c r="T156" s="11" t="str">
        <f t="shared" si="30"/>
        <v>000-000 :</v>
      </c>
      <c r="U156" s="11" t="str">
        <f t="shared" si="30"/>
        <v>000-000 :</v>
      </c>
      <c r="V156" s="11" t="str">
        <f t="shared" si="30"/>
        <v>000-000 :</v>
      </c>
      <c r="W156" s="11" t="str">
        <f t="shared" si="30"/>
        <v>000-000 :</v>
      </c>
      <c r="X156" s="11" t="str">
        <f t="shared" si="30"/>
        <v>000-000 :</v>
      </c>
      <c r="Y156" s="11" t="str">
        <f t="shared" si="25"/>
        <v>스핀들소음 :</v>
      </c>
      <c r="Z156" s="11" t="str">
        <f t="shared" si="26"/>
        <v>필터세척 :
FLOW   (T1, T4 : / T2, T3 : / T4 : )</v>
      </c>
      <c r="AA156" s="11" t="str">
        <f t="shared" si="27"/>
        <v/>
      </c>
      <c r="AB156" s="1"/>
      <c r="AC156" s="1"/>
      <c r="AD156" s="12"/>
      <c r="AE156" s="11" t="str">
        <f t="shared" si="28"/>
        <v/>
      </c>
      <c r="AF156" s="9"/>
      <c r="AG156" s="1"/>
      <c r="AH156" s="3"/>
    </row>
    <row r="157" spans="1:34" ht="34" x14ac:dyDescent="0.4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IF(LEN(A157)&gt;0, 상수!B$4, "")</f>
        <v/>
      </c>
      <c r="L157" s="1"/>
      <c r="M157" s="11" t="str">
        <f t="shared" si="29"/>
        <v xml:space="preserve">스핀들유격: </v>
      </c>
      <c r="N157" s="11" t="str">
        <f t="shared" si="29"/>
        <v xml:space="preserve">스핀들유격: </v>
      </c>
      <c r="O157" s="11" t="str">
        <f t="shared" si="29"/>
        <v xml:space="preserve">스핀들유격: </v>
      </c>
      <c r="P157" s="11" t="str">
        <f t="shared" si="29"/>
        <v xml:space="preserve">스핀들유격: </v>
      </c>
      <c r="Q157" s="11" t="str">
        <f t="shared" si="30"/>
        <v>000-000 :</v>
      </c>
      <c r="R157" s="11" t="str">
        <f t="shared" si="30"/>
        <v>000-000 :</v>
      </c>
      <c r="S157" s="11" t="str">
        <f t="shared" si="30"/>
        <v>000-000 :</v>
      </c>
      <c r="T157" s="11" t="str">
        <f t="shared" si="30"/>
        <v>000-000 :</v>
      </c>
      <c r="U157" s="11" t="str">
        <f t="shared" si="30"/>
        <v>000-000 :</v>
      </c>
      <c r="V157" s="11" t="str">
        <f t="shared" si="30"/>
        <v>000-000 :</v>
      </c>
      <c r="W157" s="11" t="str">
        <f t="shared" si="30"/>
        <v>000-000 :</v>
      </c>
      <c r="X157" s="11" t="str">
        <f t="shared" si="30"/>
        <v>000-000 :</v>
      </c>
      <c r="Y157" s="11" t="str">
        <f t="shared" si="25"/>
        <v>스핀들소음 :</v>
      </c>
      <c r="Z157" s="11" t="str">
        <f t="shared" si="26"/>
        <v>필터세척 :
FLOW   (T1, T4 : / T2, T3 : / T4 : )</v>
      </c>
      <c r="AA157" s="11" t="str">
        <f t="shared" si="27"/>
        <v/>
      </c>
      <c r="AB157" s="1"/>
      <c r="AC157" s="1"/>
      <c r="AD157" s="12"/>
      <c r="AE157" s="11" t="str">
        <f t="shared" si="28"/>
        <v/>
      </c>
      <c r="AF157" s="9"/>
      <c r="AG157" s="1"/>
      <c r="AH157" s="3"/>
    </row>
    <row r="158" spans="1:34" ht="34" x14ac:dyDescent="0.4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 t="str">
        <f>IF(LEN(A158)&gt;0, 상수!B$4, "")</f>
        <v/>
      </c>
      <c r="L158" s="1"/>
      <c r="M158" s="11" t="str">
        <f t="shared" si="29"/>
        <v xml:space="preserve">스핀들유격: </v>
      </c>
      <c r="N158" s="11" t="str">
        <f t="shared" si="29"/>
        <v xml:space="preserve">스핀들유격: </v>
      </c>
      <c r="O158" s="11" t="str">
        <f t="shared" si="29"/>
        <v xml:space="preserve">스핀들유격: </v>
      </c>
      <c r="P158" s="11" t="str">
        <f t="shared" si="29"/>
        <v xml:space="preserve">스핀들유격: </v>
      </c>
      <c r="Q158" s="11" t="str">
        <f t="shared" si="30"/>
        <v>000-000 :</v>
      </c>
      <c r="R158" s="11" t="str">
        <f t="shared" si="30"/>
        <v>000-000 :</v>
      </c>
      <c r="S158" s="11" t="str">
        <f t="shared" si="30"/>
        <v>000-000 :</v>
      </c>
      <c r="T158" s="11" t="str">
        <f t="shared" si="30"/>
        <v>000-000 :</v>
      </c>
      <c r="U158" s="11" t="str">
        <f t="shared" si="30"/>
        <v>000-000 :</v>
      </c>
      <c r="V158" s="11" t="str">
        <f t="shared" si="30"/>
        <v>000-000 :</v>
      </c>
      <c r="W158" s="11" t="str">
        <f t="shared" si="30"/>
        <v>000-000 :</v>
      </c>
      <c r="X158" s="11" t="str">
        <f t="shared" si="30"/>
        <v>000-000 :</v>
      </c>
      <c r="Y158" s="11" t="str">
        <f t="shared" si="25"/>
        <v>스핀들소음 :</v>
      </c>
      <c r="Z158" s="11" t="str">
        <f t="shared" si="26"/>
        <v>필터세척 :
FLOW   (T1, T4 : / T2, T3 : / T4 : )</v>
      </c>
      <c r="AA158" s="11" t="str">
        <f t="shared" si="27"/>
        <v/>
      </c>
      <c r="AB158" s="1"/>
      <c r="AC158" s="1"/>
      <c r="AD158" s="12"/>
      <c r="AE158" s="11" t="str">
        <f t="shared" si="28"/>
        <v/>
      </c>
      <c r="AF158" s="9"/>
      <c r="AG158" s="1"/>
      <c r="AH158" s="3"/>
    </row>
    <row r="159" spans="1:34" ht="34" x14ac:dyDescent="0.4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 t="str">
        <f>IF(LEN(A159)&gt;0, 상수!B$4, "")</f>
        <v/>
      </c>
      <c r="L159" s="1"/>
      <c r="M159" s="11" t="str">
        <f t="shared" si="29"/>
        <v xml:space="preserve">스핀들유격: </v>
      </c>
      <c r="N159" s="11" t="str">
        <f t="shared" si="29"/>
        <v xml:space="preserve">스핀들유격: </v>
      </c>
      <c r="O159" s="11" t="str">
        <f t="shared" si="29"/>
        <v xml:space="preserve">스핀들유격: </v>
      </c>
      <c r="P159" s="11" t="str">
        <f t="shared" si="29"/>
        <v xml:space="preserve">스핀들유격: </v>
      </c>
      <c r="Q159" s="11" t="str">
        <f t="shared" si="30"/>
        <v>000-000 :</v>
      </c>
      <c r="R159" s="11" t="str">
        <f t="shared" si="30"/>
        <v>000-000 :</v>
      </c>
      <c r="S159" s="11" t="str">
        <f t="shared" si="30"/>
        <v>000-000 :</v>
      </c>
      <c r="T159" s="11" t="str">
        <f t="shared" si="30"/>
        <v>000-000 :</v>
      </c>
      <c r="U159" s="11" t="str">
        <f t="shared" si="30"/>
        <v>000-000 :</v>
      </c>
      <c r="V159" s="11" t="str">
        <f t="shared" si="30"/>
        <v>000-000 :</v>
      </c>
      <c r="W159" s="11" t="str">
        <f t="shared" si="30"/>
        <v>000-000 :</v>
      </c>
      <c r="X159" s="11" t="str">
        <f t="shared" si="30"/>
        <v>000-000 :</v>
      </c>
      <c r="Y159" s="11" t="str">
        <f t="shared" si="25"/>
        <v>스핀들소음 :</v>
      </c>
      <c r="Z159" s="11" t="str">
        <f t="shared" si="26"/>
        <v>필터세척 :
FLOW   (T1, T4 : / T2, T3 : / T4 : )</v>
      </c>
      <c r="AA159" s="11" t="str">
        <f t="shared" si="27"/>
        <v/>
      </c>
      <c r="AB159" s="1"/>
      <c r="AC159" s="1"/>
      <c r="AD159" s="12"/>
      <c r="AE159" s="11" t="str">
        <f t="shared" si="28"/>
        <v/>
      </c>
      <c r="AF159" s="9"/>
      <c r="AG159" s="1"/>
      <c r="AH159" s="3"/>
    </row>
    <row r="160" spans="1:34" ht="34" x14ac:dyDescent="0.4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 t="str">
        <f>IF(LEN(A160)&gt;0, 상수!B$4, "")</f>
        <v/>
      </c>
      <c r="L160" s="1"/>
      <c r="M160" s="11" t="str">
        <f t="shared" si="29"/>
        <v xml:space="preserve">스핀들유격: </v>
      </c>
      <c r="N160" s="11" t="str">
        <f t="shared" si="29"/>
        <v xml:space="preserve">스핀들유격: </v>
      </c>
      <c r="O160" s="11" t="str">
        <f t="shared" si="29"/>
        <v xml:space="preserve">스핀들유격: </v>
      </c>
      <c r="P160" s="11" t="str">
        <f t="shared" si="29"/>
        <v xml:space="preserve">스핀들유격: </v>
      </c>
      <c r="Q160" s="11" t="str">
        <f t="shared" si="30"/>
        <v>000-000 :</v>
      </c>
      <c r="R160" s="11" t="str">
        <f t="shared" si="30"/>
        <v>000-000 :</v>
      </c>
      <c r="S160" s="11" t="str">
        <f t="shared" si="30"/>
        <v>000-000 :</v>
      </c>
      <c r="T160" s="11" t="str">
        <f t="shared" si="30"/>
        <v>000-000 :</v>
      </c>
      <c r="U160" s="11" t="str">
        <f t="shared" si="30"/>
        <v>000-000 :</v>
      </c>
      <c r="V160" s="11" t="str">
        <f t="shared" si="30"/>
        <v>000-000 :</v>
      </c>
      <c r="W160" s="11" t="str">
        <f t="shared" si="30"/>
        <v>000-000 :</v>
      </c>
      <c r="X160" s="11" t="str">
        <f t="shared" si="30"/>
        <v>000-000 :</v>
      </c>
      <c r="Y160" s="11" t="str">
        <f t="shared" si="25"/>
        <v>스핀들소음 :</v>
      </c>
      <c r="Z160" s="11" t="str">
        <f t="shared" si="26"/>
        <v>필터세척 :
FLOW   (T1, T4 : / T2, T3 : / T4 : )</v>
      </c>
      <c r="AA160" s="11" t="str">
        <f t="shared" si="27"/>
        <v/>
      </c>
      <c r="AB160" s="1"/>
      <c r="AC160" s="1"/>
      <c r="AD160" s="12"/>
      <c r="AE160" s="11" t="str">
        <f t="shared" si="28"/>
        <v/>
      </c>
      <c r="AF160" s="9"/>
      <c r="AG160" s="1"/>
      <c r="AH160" s="3"/>
    </row>
    <row r="161" spans="1:34" ht="34" x14ac:dyDescent="0.4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 t="str">
        <f>IF(LEN(A161)&gt;0, 상수!B$4, "")</f>
        <v/>
      </c>
      <c r="L161" s="1"/>
      <c r="M161" s="11" t="str">
        <f t="shared" si="29"/>
        <v xml:space="preserve">스핀들유격: </v>
      </c>
      <c r="N161" s="11" t="str">
        <f t="shared" si="29"/>
        <v xml:space="preserve">스핀들유격: </v>
      </c>
      <c r="O161" s="11" t="str">
        <f t="shared" si="29"/>
        <v xml:space="preserve">스핀들유격: </v>
      </c>
      <c r="P161" s="11" t="str">
        <f t="shared" si="29"/>
        <v xml:space="preserve">스핀들유격: </v>
      </c>
      <c r="Q161" s="11" t="str">
        <f t="shared" si="30"/>
        <v>000-000 :</v>
      </c>
      <c r="R161" s="11" t="str">
        <f t="shared" si="30"/>
        <v>000-000 :</v>
      </c>
      <c r="S161" s="11" t="str">
        <f t="shared" si="30"/>
        <v>000-000 :</v>
      </c>
      <c r="T161" s="11" t="str">
        <f t="shared" si="30"/>
        <v>000-000 :</v>
      </c>
      <c r="U161" s="11" t="str">
        <f t="shared" si="30"/>
        <v>000-000 :</v>
      </c>
      <c r="V161" s="11" t="str">
        <f t="shared" si="30"/>
        <v>000-000 :</v>
      </c>
      <c r="W161" s="11" t="str">
        <f t="shared" si="30"/>
        <v>000-000 :</v>
      </c>
      <c r="X161" s="11" t="str">
        <f t="shared" si="30"/>
        <v>000-000 :</v>
      </c>
      <c r="Y161" s="11" t="str">
        <f t="shared" si="25"/>
        <v>스핀들소음 :</v>
      </c>
      <c r="Z161" s="11" t="str">
        <f t="shared" si="26"/>
        <v>필터세척 :
FLOW   (T1, T4 : / T2, T3 : / T4 : )</v>
      </c>
      <c r="AA161" s="11" t="str">
        <f t="shared" si="27"/>
        <v/>
      </c>
      <c r="AB161" s="1"/>
      <c r="AC161" s="1"/>
      <c r="AD161" s="12"/>
      <c r="AE161" s="11" t="str">
        <f t="shared" si="28"/>
        <v/>
      </c>
      <c r="AF161" s="9"/>
      <c r="AG161" s="1"/>
      <c r="AH161" s="3"/>
    </row>
    <row r="162" spans="1:34" ht="34" x14ac:dyDescent="0.4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 t="str">
        <f>IF(LEN(A162)&gt;0, 상수!B$4, "")</f>
        <v/>
      </c>
      <c r="L162" s="1"/>
      <c r="M162" s="11" t="str">
        <f t="shared" si="29"/>
        <v xml:space="preserve">스핀들유격: </v>
      </c>
      <c r="N162" s="11" t="str">
        <f t="shared" si="29"/>
        <v xml:space="preserve">스핀들유격: </v>
      </c>
      <c r="O162" s="11" t="str">
        <f t="shared" si="29"/>
        <v xml:space="preserve">스핀들유격: </v>
      </c>
      <c r="P162" s="11" t="str">
        <f t="shared" si="29"/>
        <v xml:space="preserve">스핀들유격: </v>
      </c>
      <c r="Q162" s="11" t="str">
        <f t="shared" si="30"/>
        <v>000-000 :</v>
      </c>
      <c r="R162" s="11" t="str">
        <f t="shared" si="30"/>
        <v>000-000 :</v>
      </c>
      <c r="S162" s="11" t="str">
        <f t="shared" si="30"/>
        <v>000-000 :</v>
      </c>
      <c r="T162" s="11" t="str">
        <f t="shared" si="30"/>
        <v>000-000 :</v>
      </c>
      <c r="U162" s="11" t="str">
        <f t="shared" si="30"/>
        <v>000-000 :</v>
      </c>
      <c r="V162" s="11" t="str">
        <f t="shared" si="30"/>
        <v>000-000 :</v>
      </c>
      <c r="W162" s="11" t="str">
        <f t="shared" si="30"/>
        <v>000-000 :</v>
      </c>
      <c r="X162" s="11" t="str">
        <f t="shared" si="30"/>
        <v>000-000 :</v>
      </c>
      <c r="Y162" s="11" t="str">
        <f t="shared" si="25"/>
        <v>스핀들소음 :</v>
      </c>
      <c r="Z162" s="11" t="str">
        <f t="shared" si="26"/>
        <v>필터세척 :
FLOW   (T1, T4 : / T2, T3 : / T4 : )</v>
      </c>
      <c r="AA162" s="11" t="str">
        <f t="shared" si="27"/>
        <v/>
      </c>
      <c r="AB162" s="1"/>
      <c r="AC162" s="1"/>
      <c r="AD162" s="12"/>
      <c r="AE162" s="11" t="str">
        <f t="shared" si="28"/>
        <v/>
      </c>
      <c r="AF162" s="9"/>
      <c r="AG162" s="1"/>
      <c r="AH162" s="3"/>
    </row>
    <row r="163" spans="1:34" ht="34" x14ac:dyDescent="0.4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 t="str">
        <f>IF(LEN(A163)&gt;0, 상수!B$4, "")</f>
        <v/>
      </c>
      <c r="L163" s="1"/>
      <c r="M163" s="11" t="str">
        <f t="shared" si="29"/>
        <v xml:space="preserve">스핀들유격: </v>
      </c>
      <c r="N163" s="11" t="str">
        <f t="shared" si="29"/>
        <v xml:space="preserve">스핀들유격: </v>
      </c>
      <c r="O163" s="11" t="str">
        <f t="shared" si="29"/>
        <v xml:space="preserve">스핀들유격: </v>
      </c>
      <c r="P163" s="11" t="str">
        <f t="shared" si="29"/>
        <v xml:space="preserve">스핀들유격: </v>
      </c>
      <c r="Q163" s="11" t="str">
        <f t="shared" si="30"/>
        <v>000-000 :</v>
      </c>
      <c r="R163" s="11" t="str">
        <f t="shared" si="30"/>
        <v>000-000 :</v>
      </c>
      <c r="S163" s="11" t="str">
        <f t="shared" si="30"/>
        <v>000-000 :</v>
      </c>
      <c r="T163" s="11" t="str">
        <f t="shared" si="30"/>
        <v>000-000 :</v>
      </c>
      <c r="U163" s="11" t="str">
        <f t="shared" si="30"/>
        <v>000-000 :</v>
      </c>
      <c r="V163" s="11" t="str">
        <f t="shared" si="30"/>
        <v>000-000 :</v>
      </c>
      <c r="W163" s="11" t="str">
        <f t="shared" si="30"/>
        <v>000-000 :</v>
      </c>
      <c r="X163" s="11" t="str">
        <f t="shared" si="30"/>
        <v>000-000 :</v>
      </c>
      <c r="Y163" s="11" t="str">
        <f t="shared" si="25"/>
        <v>스핀들소음 :</v>
      </c>
      <c r="Z163" s="11" t="str">
        <f t="shared" si="26"/>
        <v>필터세척 :
FLOW   (T1, T4 : / T2, T3 : / T4 : )</v>
      </c>
      <c r="AA163" s="11" t="str">
        <f t="shared" si="27"/>
        <v/>
      </c>
      <c r="AB163" s="1"/>
      <c r="AC163" s="1"/>
      <c r="AD163" s="12"/>
      <c r="AE163" s="11" t="str">
        <f t="shared" si="28"/>
        <v/>
      </c>
      <c r="AF163" s="9"/>
      <c r="AG163" s="1"/>
      <c r="AH163" s="3"/>
    </row>
    <row r="164" spans="1:34" ht="34" x14ac:dyDescent="0.4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 t="str">
        <f>IF(LEN(A164)&gt;0, 상수!B$4, "")</f>
        <v/>
      </c>
      <c r="L164" s="1"/>
      <c r="M164" s="11" t="str">
        <f t="shared" si="29"/>
        <v xml:space="preserve">스핀들유격: </v>
      </c>
      <c r="N164" s="11" t="str">
        <f t="shared" si="29"/>
        <v xml:space="preserve">스핀들유격: </v>
      </c>
      <c r="O164" s="11" t="str">
        <f t="shared" si="29"/>
        <v xml:space="preserve">스핀들유격: </v>
      </c>
      <c r="P164" s="11" t="str">
        <f t="shared" si="29"/>
        <v xml:space="preserve">스핀들유격: </v>
      </c>
      <c r="Q164" s="11" t="str">
        <f t="shared" si="30"/>
        <v>000-000 :</v>
      </c>
      <c r="R164" s="11" t="str">
        <f t="shared" si="30"/>
        <v>000-000 :</v>
      </c>
      <c r="S164" s="11" t="str">
        <f t="shared" si="30"/>
        <v>000-000 :</v>
      </c>
      <c r="T164" s="11" t="str">
        <f t="shared" si="30"/>
        <v>000-000 :</v>
      </c>
      <c r="U164" s="11" t="str">
        <f t="shared" si="30"/>
        <v>000-000 :</v>
      </c>
      <c r="V164" s="11" t="str">
        <f t="shared" si="30"/>
        <v>000-000 :</v>
      </c>
      <c r="W164" s="11" t="str">
        <f t="shared" si="30"/>
        <v>000-000 :</v>
      </c>
      <c r="X164" s="11" t="str">
        <f t="shared" si="30"/>
        <v>000-000 :</v>
      </c>
      <c r="Y164" s="11" t="str">
        <f t="shared" si="25"/>
        <v>스핀들소음 :</v>
      </c>
      <c r="Z164" s="11" t="str">
        <f t="shared" si="26"/>
        <v>필터세척 :
FLOW   (T1, T4 : / T2, T3 : / T4 : )</v>
      </c>
      <c r="AA164" s="11" t="str">
        <f t="shared" si="27"/>
        <v/>
      </c>
      <c r="AB164" s="1"/>
      <c r="AC164" s="1"/>
      <c r="AD164" s="12"/>
      <c r="AE164" s="11" t="str">
        <f t="shared" si="28"/>
        <v/>
      </c>
      <c r="AF164" s="9"/>
      <c r="AG164" s="1"/>
      <c r="AH164" s="3"/>
    </row>
    <row r="165" spans="1:34" ht="34" x14ac:dyDescent="0.4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 t="str">
        <f>IF(LEN(A165)&gt;0, 상수!B$4, "")</f>
        <v/>
      </c>
      <c r="L165" s="1"/>
      <c r="M165" s="11" t="str">
        <f t="shared" si="29"/>
        <v xml:space="preserve">스핀들유격: </v>
      </c>
      <c r="N165" s="11" t="str">
        <f t="shared" si="29"/>
        <v xml:space="preserve">스핀들유격: </v>
      </c>
      <c r="O165" s="11" t="str">
        <f t="shared" si="29"/>
        <v xml:space="preserve">스핀들유격: </v>
      </c>
      <c r="P165" s="11" t="str">
        <f t="shared" si="29"/>
        <v xml:space="preserve">스핀들유격: </v>
      </c>
      <c r="Q165" s="11" t="str">
        <f t="shared" si="30"/>
        <v>000-000 :</v>
      </c>
      <c r="R165" s="11" t="str">
        <f t="shared" si="30"/>
        <v>000-000 :</v>
      </c>
      <c r="S165" s="11" t="str">
        <f t="shared" si="30"/>
        <v>000-000 :</v>
      </c>
      <c r="T165" s="11" t="str">
        <f t="shared" si="30"/>
        <v>000-000 :</v>
      </c>
      <c r="U165" s="11" t="str">
        <f t="shared" si="30"/>
        <v>000-000 :</v>
      </c>
      <c r="V165" s="11" t="str">
        <f t="shared" si="30"/>
        <v>000-000 :</v>
      </c>
      <c r="W165" s="11" t="str">
        <f t="shared" si="30"/>
        <v>000-000 :</v>
      </c>
      <c r="X165" s="11" t="str">
        <f t="shared" si="30"/>
        <v>000-000 :</v>
      </c>
      <c r="Y165" s="11" t="str">
        <f t="shared" si="25"/>
        <v>스핀들소음 :</v>
      </c>
      <c r="Z165" s="11" t="str">
        <f t="shared" si="26"/>
        <v>필터세척 :
FLOW   (T1, T4 : / T2, T3 : / T4 : )</v>
      </c>
      <c r="AA165" s="11" t="str">
        <f t="shared" si="27"/>
        <v/>
      </c>
      <c r="AB165" s="1"/>
      <c r="AC165" s="1"/>
      <c r="AD165" s="12"/>
      <c r="AE165" s="11" t="str">
        <f t="shared" si="28"/>
        <v/>
      </c>
      <c r="AF165" s="9"/>
      <c r="AG165" s="1"/>
      <c r="AH165" s="3"/>
    </row>
    <row r="166" spans="1:34" ht="17" customHeight="1" x14ac:dyDescent="0.4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 t="str">
        <f>IF(LEN(A166)&gt;0, 상수!B$4, "")</f>
        <v/>
      </c>
      <c r="L166" s="1"/>
      <c r="M166" s="11" t="str">
        <f t="shared" si="29"/>
        <v xml:space="preserve">스핀들유격: </v>
      </c>
      <c r="N166" s="11" t="str">
        <f t="shared" si="29"/>
        <v xml:space="preserve">스핀들유격: </v>
      </c>
      <c r="O166" s="11" t="str">
        <f t="shared" si="29"/>
        <v xml:space="preserve">스핀들유격: </v>
      </c>
      <c r="P166" s="11" t="str">
        <f t="shared" si="29"/>
        <v xml:space="preserve">스핀들유격: </v>
      </c>
      <c r="Q166" s="11" t="str">
        <f t="shared" si="30"/>
        <v>000-000 :</v>
      </c>
      <c r="R166" s="11" t="str">
        <f t="shared" si="30"/>
        <v>000-000 :</v>
      </c>
      <c r="S166" s="11" t="str">
        <f t="shared" si="30"/>
        <v>000-000 :</v>
      </c>
      <c r="T166" s="11" t="str">
        <f t="shared" si="30"/>
        <v>000-000 :</v>
      </c>
      <c r="U166" s="11" t="str">
        <f t="shared" si="30"/>
        <v>000-000 :</v>
      </c>
      <c r="V166" s="11" t="str">
        <f t="shared" si="30"/>
        <v>000-000 :</v>
      </c>
      <c r="W166" s="11" t="str">
        <f t="shared" si="30"/>
        <v>000-000 :</v>
      </c>
      <c r="X166" s="11" t="str">
        <f t="shared" si="30"/>
        <v>000-000 :</v>
      </c>
      <c r="Y166" s="11" t="str">
        <f t="shared" si="25"/>
        <v>스핀들소음 :</v>
      </c>
      <c r="Z166" s="11" t="str">
        <f t="shared" si="26"/>
        <v>필터세척 :
FLOW   (T1, T4 : / T2, T3 : / T4 : )</v>
      </c>
      <c r="AA166" s="11" t="str">
        <f t="shared" si="27"/>
        <v/>
      </c>
      <c r="AB166" s="1"/>
      <c r="AC166" s="1"/>
      <c r="AD166" s="12"/>
      <c r="AE166" s="11" t="str">
        <f t="shared" si="28"/>
        <v/>
      </c>
      <c r="AF166" s="9"/>
      <c r="AG166" s="1"/>
      <c r="AH166" s="3"/>
    </row>
    <row r="167" spans="1:34" ht="34" x14ac:dyDescent="0.4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 t="str">
        <f>IF(LEN(A167)&gt;0, 상수!B$4, "")</f>
        <v/>
      </c>
      <c r="L167" s="1"/>
      <c r="M167" s="11" t="str">
        <f t="shared" ref="M167:P186" si="31">IF(MOD($AD167,5)=0, "스핀들유격: ","-" )</f>
        <v xml:space="preserve">스핀들유격: </v>
      </c>
      <c r="N167" s="11" t="str">
        <f t="shared" si="31"/>
        <v xml:space="preserve">스핀들유격: </v>
      </c>
      <c r="O167" s="11" t="str">
        <f t="shared" si="31"/>
        <v xml:space="preserve">스핀들유격: </v>
      </c>
      <c r="P167" s="11" t="str">
        <f t="shared" si="31"/>
        <v xml:space="preserve">스핀들유격: </v>
      </c>
      <c r="Q167" s="11" t="str">
        <f t="shared" ref="Q167:X182" si="32">IF(MOD($AD167,5)=0, "000-000 :","-" )</f>
        <v>000-000 :</v>
      </c>
      <c r="R167" s="11" t="str">
        <f t="shared" si="32"/>
        <v>000-000 :</v>
      </c>
      <c r="S167" s="11" t="str">
        <f t="shared" si="32"/>
        <v>000-000 :</v>
      </c>
      <c r="T167" s="11" t="str">
        <f t="shared" si="32"/>
        <v>000-000 :</v>
      </c>
      <c r="U167" s="11" t="str">
        <f t="shared" si="32"/>
        <v>000-000 :</v>
      </c>
      <c r="V167" s="11" t="str">
        <f t="shared" si="32"/>
        <v>000-000 :</v>
      </c>
      <c r="W167" s="11" t="str">
        <f t="shared" si="32"/>
        <v>000-000 :</v>
      </c>
      <c r="X167" s="11" t="str">
        <f t="shared" si="32"/>
        <v>000-000 :</v>
      </c>
      <c r="Y167" s="11" t="str">
        <f t="shared" si="25"/>
        <v>스핀들소음 :</v>
      </c>
      <c r="Z167" s="11" t="str">
        <f t="shared" si="26"/>
        <v>필터세척 :
FLOW   (T1, T4 : / T2, T3 : / T4 : )</v>
      </c>
      <c r="AA167" s="11" t="str">
        <f t="shared" si="27"/>
        <v/>
      </c>
      <c r="AB167" s="1"/>
      <c r="AC167" s="1"/>
      <c r="AD167" s="12"/>
      <c r="AE167" s="11" t="str">
        <f t="shared" si="28"/>
        <v/>
      </c>
      <c r="AF167" s="9"/>
      <c r="AG167" s="1"/>
      <c r="AH167" s="3"/>
    </row>
    <row r="168" spans="1:34" ht="34" x14ac:dyDescent="0.4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 t="str">
        <f>IF(LEN(A168)&gt;0, 상수!B$4, "")</f>
        <v/>
      </c>
      <c r="L168" s="1"/>
      <c r="M168" s="11" t="str">
        <f t="shared" si="31"/>
        <v xml:space="preserve">스핀들유격: </v>
      </c>
      <c r="N168" s="11" t="str">
        <f t="shared" si="31"/>
        <v xml:space="preserve">스핀들유격: </v>
      </c>
      <c r="O168" s="11" t="str">
        <f t="shared" si="31"/>
        <v xml:space="preserve">스핀들유격: </v>
      </c>
      <c r="P168" s="11" t="str">
        <f t="shared" si="31"/>
        <v xml:space="preserve">스핀들유격: </v>
      </c>
      <c r="Q168" s="11" t="str">
        <f t="shared" si="32"/>
        <v>000-000 :</v>
      </c>
      <c r="R168" s="11" t="str">
        <f t="shared" si="32"/>
        <v>000-000 :</v>
      </c>
      <c r="S168" s="11" t="str">
        <f t="shared" si="32"/>
        <v>000-000 :</v>
      </c>
      <c r="T168" s="11" t="str">
        <f t="shared" si="32"/>
        <v>000-000 :</v>
      </c>
      <c r="U168" s="11" t="str">
        <f t="shared" si="32"/>
        <v>000-000 :</v>
      </c>
      <c r="V168" s="11" t="str">
        <f t="shared" si="32"/>
        <v>000-000 :</v>
      </c>
      <c r="W168" s="11" t="str">
        <f t="shared" si="32"/>
        <v>000-000 :</v>
      </c>
      <c r="X168" s="11" t="str">
        <f t="shared" si="32"/>
        <v>000-000 :</v>
      </c>
      <c r="Y168" s="11" t="str">
        <f t="shared" si="25"/>
        <v>스핀들소음 :</v>
      </c>
      <c r="Z168" s="11" t="str">
        <f t="shared" si="26"/>
        <v>필터세척 :
FLOW   (T1, T4 : / T2, T3 : / T4 : )</v>
      </c>
      <c r="AA168" s="11" t="str">
        <f t="shared" si="27"/>
        <v/>
      </c>
      <c r="AB168" s="1"/>
      <c r="AC168" s="1"/>
      <c r="AD168" s="12"/>
      <c r="AE168" s="11" t="str">
        <f t="shared" si="28"/>
        <v/>
      </c>
      <c r="AF168" s="9"/>
      <c r="AG168" s="1"/>
      <c r="AH168" s="3"/>
    </row>
    <row r="169" spans="1:34" ht="34" x14ac:dyDescent="0.4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 t="str">
        <f>IF(LEN(A169)&gt;0, 상수!B$4, "")</f>
        <v/>
      </c>
      <c r="L169" s="1"/>
      <c r="M169" s="11" t="str">
        <f t="shared" si="31"/>
        <v xml:space="preserve">스핀들유격: </v>
      </c>
      <c r="N169" s="11" t="str">
        <f t="shared" si="31"/>
        <v xml:space="preserve">스핀들유격: </v>
      </c>
      <c r="O169" s="11" t="str">
        <f t="shared" si="31"/>
        <v xml:space="preserve">스핀들유격: </v>
      </c>
      <c r="P169" s="11" t="str">
        <f t="shared" si="31"/>
        <v xml:space="preserve">스핀들유격: </v>
      </c>
      <c r="Q169" s="11" t="str">
        <f t="shared" si="32"/>
        <v>000-000 :</v>
      </c>
      <c r="R169" s="11" t="str">
        <f t="shared" si="32"/>
        <v>000-000 :</v>
      </c>
      <c r="S169" s="11" t="str">
        <f t="shared" si="32"/>
        <v>000-000 :</v>
      </c>
      <c r="T169" s="11" t="str">
        <f t="shared" si="32"/>
        <v>000-000 :</v>
      </c>
      <c r="U169" s="11" t="str">
        <f t="shared" si="32"/>
        <v>000-000 :</v>
      </c>
      <c r="V169" s="11" t="str">
        <f t="shared" si="32"/>
        <v>000-000 :</v>
      </c>
      <c r="W169" s="11" t="str">
        <f t="shared" si="32"/>
        <v>000-000 :</v>
      </c>
      <c r="X169" s="11" t="str">
        <f t="shared" si="32"/>
        <v>000-000 :</v>
      </c>
      <c r="Y169" s="11" t="str">
        <f t="shared" si="25"/>
        <v>스핀들소음 :</v>
      </c>
      <c r="Z169" s="11" t="str">
        <f t="shared" si="26"/>
        <v>필터세척 :
FLOW   (T1, T4 : / T2, T3 : / T4 : )</v>
      </c>
      <c r="AA169" s="11" t="str">
        <f t="shared" si="27"/>
        <v/>
      </c>
      <c r="AB169" s="1"/>
      <c r="AC169" s="1"/>
      <c r="AD169" s="12"/>
      <c r="AE169" s="11" t="str">
        <f t="shared" si="28"/>
        <v/>
      </c>
      <c r="AF169" s="9"/>
      <c r="AG169" s="1"/>
      <c r="AH169" s="3"/>
    </row>
    <row r="170" spans="1:34" ht="34" x14ac:dyDescent="0.4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 t="str">
        <f>IF(LEN(A170)&gt;0, 상수!B$4, "")</f>
        <v/>
      </c>
      <c r="L170" s="1"/>
      <c r="M170" s="11" t="str">
        <f t="shared" si="31"/>
        <v xml:space="preserve">스핀들유격: </v>
      </c>
      <c r="N170" s="11" t="str">
        <f t="shared" si="31"/>
        <v xml:space="preserve">스핀들유격: </v>
      </c>
      <c r="O170" s="11" t="str">
        <f t="shared" si="31"/>
        <v xml:space="preserve">스핀들유격: </v>
      </c>
      <c r="P170" s="11" t="str">
        <f t="shared" si="31"/>
        <v xml:space="preserve">스핀들유격: </v>
      </c>
      <c r="Q170" s="11" t="str">
        <f t="shared" si="32"/>
        <v>000-000 :</v>
      </c>
      <c r="R170" s="11" t="str">
        <f t="shared" si="32"/>
        <v>000-000 :</v>
      </c>
      <c r="S170" s="11" t="str">
        <f t="shared" si="32"/>
        <v>000-000 :</v>
      </c>
      <c r="T170" s="11" t="str">
        <f t="shared" si="32"/>
        <v>000-000 :</v>
      </c>
      <c r="U170" s="11" t="str">
        <f t="shared" si="32"/>
        <v>000-000 :</v>
      </c>
      <c r="V170" s="11" t="str">
        <f t="shared" si="32"/>
        <v>000-000 :</v>
      </c>
      <c r="W170" s="11" t="str">
        <f t="shared" si="32"/>
        <v>000-000 :</v>
      </c>
      <c r="X170" s="11" t="str">
        <f t="shared" si="32"/>
        <v>000-000 :</v>
      </c>
      <c r="Y170" s="11" t="str">
        <f t="shared" si="25"/>
        <v>스핀들소음 :</v>
      </c>
      <c r="Z170" s="11" t="str">
        <f t="shared" si="26"/>
        <v>필터세척 :
FLOW   (T1, T4 : / T2, T3 : / T4 : )</v>
      </c>
      <c r="AA170" s="11" t="str">
        <f t="shared" si="27"/>
        <v/>
      </c>
      <c r="AB170" s="1"/>
      <c r="AC170" s="1"/>
      <c r="AD170" s="12"/>
      <c r="AE170" s="11" t="str">
        <f t="shared" si="28"/>
        <v/>
      </c>
      <c r="AF170" s="9"/>
      <c r="AG170" s="1"/>
      <c r="AH170" s="3"/>
    </row>
    <row r="171" spans="1:34" ht="34" x14ac:dyDescent="0.4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 t="str">
        <f>IF(LEN(A171)&gt;0, 상수!B$4, "")</f>
        <v/>
      </c>
      <c r="L171" s="1"/>
      <c r="M171" s="11" t="str">
        <f t="shared" si="31"/>
        <v xml:space="preserve">스핀들유격: </v>
      </c>
      <c r="N171" s="11" t="str">
        <f t="shared" si="31"/>
        <v xml:space="preserve">스핀들유격: </v>
      </c>
      <c r="O171" s="11" t="str">
        <f t="shared" si="31"/>
        <v xml:space="preserve">스핀들유격: </v>
      </c>
      <c r="P171" s="11" t="str">
        <f t="shared" si="31"/>
        <v xml:space="preserve">스핀들유격: </v>
      </c>
      <c r="Q171" s="11" t="str">
        <f t="shared" si="32"/>
        <v>000-000 :</v>
      </c>
      <c r="R171" s="11" t="str">
        <f t="shared" si="32"/>
        <v>000-000 :</v>
      </c>
      <c r="S171" s="11" t="str">
        <f t="shared" si="32"/>
        <v>000-000 :</v>
      </c>
      <c r="T171" s="11" t="str">
        <f t="shared" si="32"/>
        <v>000-000 :</v>
      </c>
      <c r="U171" s="11" t="str">
        <f t="shared" si="32"/>
        <v>000-000 :</v>
      </c>
      <c r="V171" s="11" t="str">
        <f t="shared" si="32"/>
        <v>000-000 :</v>
      </c>
      <c r="W171" s="11" t="str">
        <f t="shared" si="32"/>
        <v>000-000 :</v>
      </c>
      <c r="X171" s="11" t="str">
        <f t="shared" si="32"/>
        <v>000-000 :</v>
      </c>
      <c r="Y171" s="11" t="str">
        <f t="shared" si="25"/>
        <v>스핀들소음 :</v>
      </c>
      <c r="Z171" s="11" t="str">
        <f t="shared" si="26"/>
        <v>필터세척 :
FLOW   (T1, T4 : / T2, T3 : / T4 : )</v>
      </c>
      <c r="AA171" s="11" t="str">
        <f t="shared" si="27"/>
        <v/>
      </c>
      <c r="AB171" s="1"/>
      <c r="AC171" s="1"/>
      <c r="AD171" s="12"/>
      <c r="AE171" s="11" t="str">
        <f t="shared" si="28"/>
        <v/>
      </c>
      <c r="AF171" s="9"/>
      <c r="AG171" s="1"/>
      <c r="AH171" s="3"/>
    </row>
    <row r="172" spans="1:34" ht="34" x14ac:dyDescent="0.4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 t="str">
        <f>IF(LEN(A172)&gt;0, 상수!B$4, "")</f>
        <v/>
      </c>
      <c r="L172" s="1"/>
      <c r="M172" s="11" t="str">
        <f t="shared" si="31"/>
        <v xml:space="preserve">스핀들유격: </v>
      </c>
      <c r="N172" s="11" t="str">
        <f t="shared" si="31"/>
        <v xml:space="preserve">스핀들유격: </v>
      </c>
      <c r="O172" s="11" t="str">
        <f t="shared" si="31"/>
        <v xml:space="preserve">스핀들유격: </v>
      </c>
      <c r="P172" s="11" t="str">
        <f t="shared" si="31"/>
        <v xml:space="preserve">스핀들유격: </v>
      </c>
      <c r="Q172" s="11" t="str">
        <f t="shared" si="32"/>
        <v>000-000 :</v>
      </c>
      <c r="R172" s="11" t="str">
        <f t="shared" si="32"/>
        <v>000-000 :</v>
      </c>
      <c r="S172" s="11" t="str">
        <f t="shared" si="32"/>
        <v>000-000 :</v>
      </c>
      <c r="T172" s="11" t="str">
        <f t="shared" si="32"/>
        <v>000-000 :</v>
      </c>
      <c r="U172" s="11" t="str">
        <f t="shared" si="32"/>
        <v>000-000 :</v>
      </c>
      <c r="V172" s="11" t="str">
        <f t="shared" si="32"/>
        <v>000-000 :</v>
      </c>
      <c r="W172" s="11" t="str">
        <f t="shared" si="32"/>
        <v>000-000 :</v>
      </c>
      <c r="X172" s="11" t="str">
        <f t="shared" si="32"/>
        <v>000-000 :</v>
      </c>
      <c r="Y172" s="11" t="str">
        <f t="shared" si="25"/>
        <v>스핀들소음 :</v>
      </c>
      <c r="Z172" s="11" t="str">
        <f t="shared" si="26"/>
        <v>필터세척 :
FLOW   (T1, T4 : / T2, T3 : / T4 : )</v>
      </c>
      <c r="AA172" s="11" t="str">
        <f t="shared" si="27"/>
        <v/>
      </c>
      <c r="AB172" s="1"/>
      <c r="AC172" s="1"/>
      <c r="AD172" s="12"/>
      <c r="AE172" s="11" t="str">
        <f t="shared" si="28"/>
        <v/>
      </c>
      <c r="AF172" s="9"/>
      <c r="AG172" s="1"/>
      <c r="AH172" s="3"/>
    </row>
    <row r="173" spans="1:34" ht="34" x14ac:dyDescent="0.4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 t="str">
        <f>IF(LEN(A173)&gt;0, 상수!B$4, "")</f>
        <v/>
      </c>
      <c r="L173" s="1"/>
      <c r="M173" s="11" t="str">
        <f t="shared" si="31"/>
        <v xml:space="preserve">스핀들유격: </v>
      </c>
      <c r="N173" s="11" t="str">
        <f t="shared" si="31"/>
        <v xml:space="preserve">스핀들유격: </v>
      </c>
      <c r="O173" s="11" t="str">
        <f t="shared" si="31"/>
        <v xml:space="preserve">스핀들유격: </v>
      </c>
      <c r="P173" s="11" t="str">
        <f t="shared" si="31"/>
        <v xml:space="preserve">스핀들유격: </v>
      </c>
      <c r="Q173" s="11" t="str">
        <f t="shared" si="32"/>
        <v>000-000 :</v>
      </c>
      <c r="R173" s="11" t="str">
        <f t="shared" si="32"/>
        <v>000-000 :</v>
      </c>
      <c r="S173" s="11" t="str">
        <f t="shared" si="32"/>
        <v>000-000 :</v>
      </c>
      <c r="T173" s="11" t="str">
        <f t="shared" si="32"/>
        <v>000-000 :</v>
      </c>
      <c r="U173" s="11" t="str">
        <f t="shared" si="32"/>
        <v>000-000 :</v>
      </c>
      <c r="V173" s="11" t="str">
        <f t="shared" si="32"/>
        <v>000-000 :</v>
      </c>
      <c r="W173" s="11" t="str">
        <f t="shared" si="32"/>
        <v>000-000 :</v>
      </c>
      <c r="X173" s="11" t="str">
        <f t="shared" si="32"/>
        <v>000-000 :</v>
      </c>
      <c r="Y173" s="11" t="str">
        <f t="shared" si="25"/>
        <v>스핀들소음 :</v>
      </c>
      <c r="Z173" s="11" t="str">
        <f t="shared" si="26"/>
        <v>필터세척 :
FLOW   (T1, T4 : / T2, T3 : / T4 : )</v>
      </c>
      <c r="AA173" s="11" t="str">
        <f t="shared" si="27"/>
        <v/>
      </c>
      <c r="AB173" s="1"/>
      <c r="AC173" s="1"/>
      <c r="AD173" s="12"/>
      <c r="AE173" s="11" t="str">
        <f t="shared" si="28"/>
        <v/>
      </c>
      <c r="AF173" s="9"/>
      <c r="AG173" s="1"/>
      <c r="AH173" s="3"/>
    </row>
    <row r="174" spans="1:34" ht="34" x14ac:dyDescent="0.4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 t="str">
        <f>IF(LEN(A174)&gt;0, 상수!B$4, "")</f>
        <v/>
      </c>
      <c r="L174" s="1"/>
      <c r="M174" s="11" t="str">
        <f t="shared" si="31"/>
        <v xml:space="preserve">스핀들유격: </v>
      </c>
      <c r="N174" s="11" t="str">
        <f t="shared" si="31"/>
        <v xml:space="preserve">스핀들유격: </v>
      </c>
      <c r="O174" s="11" t="str">
        <f t="shared" si="31"/>
        <v xml:space="preserve">스핀들유격: </v>
      </c>
      <c r="P174" s="11" t="str">
        <f t="shared" si="31"/>
        <v xml:space="preserve">스핀들유격: </v>
      </c>
      <c r="Q174" s="11" t="str">
        <f t="shared" si="32"/>
        <v>000-000 :</v>
      </c>
      <c r="R174" s="11" t="str">
        <f t="shared" si="32"/>
        <v>000-000 :</v>
      </c>
      <c r="S174" s="11" t="str">
        <f t="shared" si="32"/>
        <v>000-000 :</v>
      </c>
      <c r="T174" s="11" t="str">
        <f t="shared" si="32"/>
        <v>000-000 :</v>
      </c>
      <c r="U174" s="11" t="str">
        <f t="shared" si="32"/>
        <v>000-000 :</v>
      </c>
      <c r="V174" s="11" t="str">
        <f t="shared" si="32"/>
        <v>000-000 :</v>
      </c>
      <c r="W174" s="11" t="str">
        <f t="shared" si="32"/>
        <v>000-000 :</v>
      </c>
      <c r="X174" s="11" t="str">
        <f t="shared" si="32"/>
        <v>000-000 :</v>
      </c>
      <c r="Y174" s="11" t="str">
        <f t="shared" si="25"/>
        <v>스핀들소음 :</v>
      </c>
      <c r="Z174" s="11" t="str">
        <f t="shared" si="26"/>
        <v>필터세척 :
FLOW   (T1, T4 : / T2, T3 : / T4 : )</v>
      </c>
      <c r="AA174" s="11" t="str">
        <f t="shared" si="27"/>
        <v/>
      </c>
      <c r="AB174" s="1"/>
      <c r="AC174" s="1"/>
      <c r="AD174" s="12"/>
      <c r="AE174" s="11" t="str">
        <f t="shared" si="28"/>
        <v/>
      </c>
      <c r="AF174" s="9"/>
      <c r="AG174" s="1"/>
      <c r="AH174" s="3"/>
    </row>
    <row r="175" spans="1:34" ht="34" x14ac:dyDescent="0.4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 t="str">
        <f>IF(LEN(A175)&gt;0, 상수!B$4, "")</f>
        <v/>
      </c>
      <c r="L175" s="1"/>
      <c r="M175" s="11" t="str">
        <f t="shared" si="31"/>
        <v xml:space="preserve">스핀들유격: </v>
      </c>
      <c r="N175" s="11" t="str">
        <f t="shared" si="31"/>
        <v xml:space="preserve">스핀들유격: </v>
      </c>
      <c r="O175" s="11" t="str">
        <f t="shared" si="31"/>
        <v xml:space="preserve">스핀들유격: </v>
      </c>
      <c r="P175" s="11" t="str">
        <f t="shared" si="31"/>
        <v xml:space="preserve">스핀들유격: </v>
      </c>
      <c r="Q175" s="11" t="str">
        <f t="shared" si="32"/>
        <v>000-000 :</v>
      </c>
      <c r="R175" s="11" t="str">
        <f t="shared" si="32"/>
        <v>000-000 :</v>
      </c>
      <c r="S175" s="11" t="str">
        <f t="shared" si="32"/>
        <v>000-000 :</v>
      </c>
      <c r="T175" s="11" t="str">
        <f t="shared" si="32"/>
        <v>000-000 :</v>
      </c>
      <c r="U175" s="11" t="str">
        <f t="shared" si="32"/>
        <v>000-000 :</v>
      </c>
      <c r="V175" s="11" t="str">
        <f t="shared" si="32"/>
        <v>000-000 :</v>
      </c>
      <c r="W175" s="11" t="str">
        <f t="shared" si="32"/>
        <v>000-000 :</v>
      </c>
      <c r="X175" s="11" t="str">
        <f t="shared" si="32"/>
        <v>000-000 :</v>
      </c>
      <c r="Y175" s="11" t="str">
        <f t="shared" si="25"/>
        <v>스핀들소음 :</v>
      </c>
      <c r="Z175" s="11" t="str">
        <f t="shared" si="26"/>
        <v>필터세척 :
FLOW   (T1, T4 : / T2, T3 : / T4 : )</v>
      </c>
      <c r="AA175" s="11" t="str">
        <f t="shared" si="27"/>
        <v/>
      </c>
      <c r="AB175" s="1"/>
      <c r="AC175" s="1"/>
      <c r="AD175" s="12"/>
      <c r="AE175" s="11" t="str">
        <f t="shared" si="28"/>
        <v/>
      </c>
      <c r="AF175" s="9"/>
      <c r="AG175" s="1"/>
      <c r="AH175" s="3"/>
    </row>
    <row r="176" spans="1:34" ht="34" x14ac:dyDescent="0.4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 t="str">
        <f>IF(LEN(A176)&gt;0, 상수!B$4, "")</f>
        <v/>
      </c>
      <c r="L176" s="1"/>
      <c r="M176" s="11" t="str">
        <f t="shared" si="31"/>
        <v xml:space="preserve">스핀들유격: </v>
      </c>
      <c r="N176" s="11" t="str">
        <f t="shared" si="31"/>
        <v xml:space="preserve">스핀들유격: </v>
      </c>
      <c r="O176" s="11" t="str">
        <f t="shared" si="31"/>
        <v xml:space="preserve">스핀들유격: </v>
      </c>
      <c r="P176" s="11" t="str">
        <f t="shared" si="31"/>
        <v xml:space="preserve">스핀들유격: </v>
      </c>
      <c r="Q176" s="11" t="str">
        <f t="shared" si="32"/>
        <v>000-000 :</v>
      </c>
      <c r="R176" s="11" t="str">
        <f t="shared" si="32"/>
        <v>000-000 :</v>
      </c>
      <c r="S176" s="11" t="str">
        <f t="shared" si="32"/>
        <v>000-000 :</v>
      </c>
      <c r="T176" s="11" t="str">
        <f t="shared" si="32"/>
        <v>000-000 :</v>
      </c>
      <c r="U176" s="11" t="str">
        <f t="shared" si="32"/>
        <v>000-000 :</v>
      </c>
      <c r="V176" s="11" t="str">
        <f t="shared" si="32"/>
        <v>000-000 :</v>
      </c>
      <c r="W176" s="11" t="str">
        <f t="shared" si="32"/>
        <v>000-000 :</v>
      </c>
      <c r="X176" s="11" t="str">
        <f t="shared" si="32"/>
        <v>000-000 :</v>
      </c>
      <c r="Y176" s="11" t="str">
        <f t="shared" si="25"/>
        <v>스핀들소음 :</v>
      </c>
      <c r="Z176" s="11" t="str">
        <f t="shared" si="26"/>
        <v>필터세척 :
FLOW   (T1, T4 : / T2, T3 : / T4 : )</v>
      </c>
      <c r="AA176" s="11" t="str">
        <f t="shared" si="27"/>
        <v/>
      </c>
      <c r="AB176" s="1"/>
      <c r="AC176" s="1"/>
      <c r="AD176" s="12"/>
      <c r="AE176" s="11" t="str">
        <f t="shared" si="28"/>
        <v/>
      </c>
      <c r="AF176" s="9"/>
      <c r="AG176" s="1"/>
      <c r="AH176" s="3"/>
    </row>
    <row r="177" spans="1:34" ht="34" x14ac:dyDescent="0.4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 t="str">
        <f>IF(LEN(A177)&gt;0, 상수!B$4, "")</f>
        <v/>
      </c>
      <c r="L177" s="1"/>
      <c r="M177" s="11" t="str">
        <f t="shared" si="31"/>
        <v xml:space="preserve">스핀들유격: </v>
      </c>
      <c r="N177" s="11" t="str">
        <f t="shared" si="31"/>
        <v xml:space="preserve">스핀들유격: </v>
      </c>
      <c r="O177" s="11" t="str">
        <f t="shared" si="31"/>
        <v xml:space="preserve">스핀들유격: </v>
      </c>
      <c r="P177" s="11" t="str">
        <f t="shared" si="31"/>
        <v xml:space="preserve">스핀들유격: </v>
      </c>
      <c r="Q177" s="11" t="str">
        <f t="shared" si="32"/>
        <v>000-000 :</v>
      </c>
      <c r="R177" s="11" t="str">
        <f t="shared" si="32"/>
        <v>000-000 :</v>
      </c>
      <c r="S177" s="11" t="str">
        <f t="shared" si="32"/>
        <v>000-000 :</v>
      </c>
      <c r="T177" s="11" t="str">
        <f t="shared" si="32"/>
        <v>000-000 :</v>
      </c>
      <c r="U177" s="11" t="str">
        <f t="shared" si="32"/>
        <v>000-000 :</v>
      </c>
      <c r="V177" s="11" t="str">
        <f t="shared" si="32"/>
        <v>000-000 :</v>
      </c>
      <c r="W177" s="11" t="str">
        <f t="shared" si="32"/>
        <v>000-000 :</v>
      </c>
      <c r="X177" s="11" t="str">
        <f t="shared" si="32"/>
        <v>000-000 :</v>
      </c>
      <c r="Y177" s="11" t="str">
        <f t="shared" si="25"/>
        <v>스핀들소음 :</v>
      </c>
      <c r="Z177" s="11" t="str">
        <f t="shared" si="26"/>
        <v>필터세척 :
FLOW   (T1, T4 : / T2, T3 : / T4 : )</v>
      </c>
      <c r="AA177" s="11" t="str">
        <f t="shared" si="27"/>
        <v/>
      </c>
      <c r="AB177" s="1"/>
      <c r="AC177" s="1"/>
      <c r="AD177" s="12"/>
      <c r="AE177" s="11" t="str">
        <f t="shared" si="28"/>
        <v/>
      </c>
      <c r="AF177" s="9"/>
      <c r="AG177" s="1"/>
      <c r="AH177" s="3"/>
    </row>
    <row r="178" spans="1:34" ht="34" x14ac:dyDescent="0.4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 t="str">
        <f>IF(LEN(A178)&gt;0, 상수!B$4, "")</f>
        <v/>
      </c>
      <c r="L178" s="1"/>
      <c r="M178" s="11" t="str">
        <f t="shared" si="31"/>
        <v xml:space="preserve">스핀들유격: </v>
      </c>
      <c r="N178" s="11" t="str">
        <f t="shared" si="31"/>
        <v xml:space="preserve">스핀들유격: </v>
      </c>
      <c r="O178" s="11" t="str">
        <f t="shared" si="31"/>
        <v xml:space="preserve">스핀들유격: </v>
      </c>
      <c r="P178" s="11" t="str">
        <f t="shared" si="31"/>
        <v xml:space="preserve">스핀들유격: </v>
      </c>
      <c r="Q178" s="11" t="str">
        <f t="shared" si="32"/>
        <v>000-000 :</v>
      </c>
      <c r="R178" s="11" t="str">
        <f t="shared" si="32"/>
        <v>000-000 :</v>
      </c>
      <c r="S178" s="11" t="str">
        <f t="shared" si="32"/>
        <v>000-000 :</v>
      </c>
      <c r="T178" s="11" t="str">
        <f t="shared" si="32"/>
        <v>000-000 :</v>
      </c>
      <c r="U178" s="11" t="str">
        <f t="shared" si="32"/>
        <v>000-000 :</v>
      </c>
      <c r="V178" s="11" t="str">
        <f t="shared" si="32"/>
        <v>000-000 :</v>
      </c>
      <c r="W178" s="11" t="str">
        <f t="shared" si="32"/>
        <v>000-000 :</v>
      </c>
      <c r="X178" s="11" t="str">
        <f t="shared" si="32"/>
        <v>000-000 :</v>
      </c>
      <c r="Y178" s="11" t="str">
        <f t="shared" si="25"/>
        <v>스핀들소음 :</v>
      </c>
      <c r="Z178" s="11" t="str">
        <f t="shared" si="26"/>
        <v>필터세척 :
FLOW   (T1, T4 : / T2, T3 : / T4 : )</v>
      </c>
      <c r="AA178" s="11" t="str">
        <f t="shared" si="27"/>
        <v/>
      </c>
      <c r="AB178" s="1"/>
      <c r="AC178" s="1"/>
      <c r="AD178" s="12"/>
      <c r="AE178" s="11" t="str">
        <f t="shared" si="28"/>
        <v/>
      </c>
      <c r="AF178" s="9"/>
      <c r="AG178" s="1"/>
      <c r="AH178" s="3"/>
    </row>
    <row r="179" spans="1:34" ht="34" x14ac:dyDescent="0.4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 t="str">
        <f>IF(LEN(A179)&gt;0, 상수!B$4, "")</f>
        <v/>
      </c>
      <c r="L179" s="1"/>
      <c r="M179" s="11" t="str">
        <f t="shared" si="31"/>
        <v xml:space="preserve">스핀들유격: </v>
      </c>
      <c r="N179" s="11" t="str">
        <f t="shared" si="31"/>
        <v xml:space="preserve">스핀들유격: </v>
      </c>
      <c r="O179" s="11" t="str">
        <f t="shared" si="31"/>
        <v xml:space="preserve">스핀들유격: </v>
      </c>
      <c r="P179" s="11" t="str">
        <f t="shared" si="31"/>
        <v xml:space="preserve">스핀들유격: </v>
      </c>
      <c r="Q179" s="11" t="str">
        <f t="shared" si="32"/>
        <v>000-000 :</v>
      </c>
      <c r="R179" s="11" t="str">
        <f t="shared" si="32"/>
        <v>000-000 :</v>
      </c>
      <c r="S179" s="11" t="str">
        <f t="shared" si="32"/>
        <v>000-000 :</v>
      </c>
      <c r="T179" s="11" t="str">
        <f t="shared" si="32"/>
        <v>000-000 :</v>
      </c>
      <c r="U179" s="11" t="str">
        <f t="shared" si="32"/>
        <v>000-000 :</v>
      </c>
      <c r="V179" s="11" t="str">
        <f t="shared" si="32"/>
        <v>000-000 :</v>
      </c>
      <c r="W179" s="11" t="str">
        <f t="shared" si="32"/>
        <v>000-000 :</v>
      </c>
      <c r="X179" s="11" t="str">
        <f t="shared" si="32"/>
        <v>000-000 :</v>
      </c>
      <c r="Y179" s="11" t="str">
        <f t="shared" si="25"/>
        <v>스핀들소음 :</v>
      </c>
      <c r="Z179" s="11" t="str">
        <f t="shared" si="26"/>
        <v>필터세척 :
FLOW   (T1, T4 : / T2, T3 : / T4 : )</v>
      </c>
      <c r="AA179" s="11" t="str">
        <f t="shared" si="27"/>
        <v/>
      </c>
      <c r="AB179" s="1"/>
      <c r="AC179" s="1"/>
      <c r="AD179" s="12"/>
      <c r="AE179" s="11" t="str">
        <f t="shared" si="28"/>
        <v/>
      </c>
      <c r="AF179" s="9"/>
      <c r="AG179" s="1"/>
      <c r="AH179" s="3"/>
    </row>
    <row r="180" spans="1:34" ht="34" x14ac:dyDescent="0.4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 t="str">
        <f>IF(LEN(A180)&gt;0, 상수!B$4, "")</f>
        <v/>
      </c>
      <c r="L180" s="1"/>
      <c r="M180" s="11" t="str">
        <f t="shared" si="31"/>
        <v xml:space="preserve">스핀들유격: </v>
      </c>
      <c r="N180" s="11" t="str">
        <f t="shared" si="31"/>
        <v xml:space="preserve">스핀들유격: </v>
      </c>
      <c r="O180" s="11" t="str">
        <f t="shared" si="31"/>
        <v xml:space="preserve">스핀들유격: </v>
      </c>
      <c r="P180" s="11" t="str">
        <f t="shared" si="31"/>
        <v xml:space="preserve">스핀들유격: </v>
      </c>
      <c r="Q180" s="11" t="str">
        <f t="shared" si="32"/>
        <v>000-000 :</v>
      </c>
      <c r="R180" s="11" t="str">
        <f t="shared" si="32"/>
        <v>000-000 :</v>
      </c>
      <c r="S180" s="11" t="str">
        <f t="shared" si="32"/>
        <v>000-000 :</v>
      </c>
      <c r="T180" s="11" t="str">
        <f t="shared" si="32"/>
        <v>000-000 :</v>
      </c>
      <c r="U180" s="11" t="str">
        <f t="shared" si="32"/>
        <v>000-000 :</v>
      </c>
      <c r="V180" s="11" t="str">
        <f t="shared" si="32"/>
        <v>000-000 :</v>
      </c>
      <c r="W180" s="11" t="str">
        <f t="shared" si="32"/>
        <v>000-000 :</v>
      </c>
      <c r="X180" s="11" t="str">
        <f t="shared" si="32"/>
        <v>000-000 :</v>
      </c>
      <c r="Y180" s="11" t="str">
        <f t="shared" si="25"/>
        <v>스핀들소음 :</v>
      </c>
      <c r="Z180" s="11" t="str">
        <f t="shared" si="26"/>
        <v>필터세척 :
FLOW   (T1, T4 : / T2, T3 : / T4 : )</v>
      </c>
      <c r="AA180" s="11" t="str">
        <f t="shared" si="27"/>
        <v/>
      </c>
      <c r="AB180" s="1"/>
      <c r="AC180" s="1"/>
      <c r="AD180" s="12"/>
      <c r="AE180" s="11" t="str">
        <f t="shared" si="28"/>
        <v/>
      </c>
      <c r="AF180" s="9"/>
      <c r="AG180" s="1"/>
      <c r="AH180" s="3"/>
    </row>
    <row r="181" spans="1:34" ht="34" x14ac:dyDescent="0.4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 t="str">
        <f>IF(LEN(A181)&gt;0, 상수!B$4, "")</f>
        <v/>
      </c>
      <c r="L181" s="1"/>
      <c r="M181" s="11" t="str">
        <f t="shared" si="31"/>
        <v xml:space="preserve">스핀들유격: </v>
      </c>
      <c r="N181" s="11" t="str">
        <f t="shared" si="31"/>
        <v xml:space="preserve">스핀들유격: </v>
      </c>
      <c r="O181" s="11" t="str">
        <f t="shared" si="31"/>
        <v xml:space="preserve">스핀들유격: </v>
      </c>
      <c r="P181" s="11" t="str">
        <f t="shared" si="31"/>
        <v xml:space="preserve">스핀들유격: </v>
      </c>
      <c r="Q181" s="11" t="str">
        <f t="shared" si="32"/>
        <v>000-000 :</v>
      </c>
      <c r="R181" s="11" t="str">
        <f t="shared" si="32"/>
        <v>000-000 :</v>
      </c>
      <c r="S181" s="11" t="str">
        <f t="shared" si="32"/>
        <v>000-000 :</v>
      </c>
      <c r="T181" s="11" t="str">
        <f t="shared" si="32"/>
        <v>000-000 :</v>
      </c>
      <c r="U181" s="11" t="str">
        <f t="shared" si="32"/>
        <v>000-000 :</v>
      </c>
      <c r="V181" s="11" t="str">
        <f t="shared" si="32"/>
        <v>000-000 :</v>
      </c>
      <c r="W181" s="11" t="str">
        <f t="shared" si="32"/>
        <v>000-000 :</v>
      </c>
      <c r="X181" s="11" t="str">
        <f t="shared" si="32"/>
        <v>000-000 :</v>
      </c>
      <c r="Y181" s="11" t="str">
        <f t="shared" si="25"/>
        <v>스핀들소음 :</v>
      </c>
      <c r="Z181" s="11" t="str">
        <f t="shared" si="26"/>
        <v>필터세척 :
FLOW   (T1, T4 : / T2, T3 : / T4 : )</v>
      </c>
      <c r="AA181" s="11" t="str">
        <f t="shared" si="27"/>
        <v/>
      </c>
      <c r="AB181" s="1"/>
      <c r="AC181" s="1"/>
      <c r="AD181" s="12"/>
      <c r="AE181" s="11" t="str">
        <f t="shared" si="28"/>
        <v/>
      </c>
      <c r="AF181" s="9"/>
      <c r="AG181" s="1"/>
      <c r="AH181" s="3"/>
    </row>
    <row r="182" spans="1:34" ht="34" x14ac:dyDescent="0.4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 t="str">
        <f>IF(LEN(A182)&gt;0, 상수!B$4, "")</f>
        <v/>
      </c>
      <c r="L182" s="1"/>
      <c r="M182" s="11" t="str">
        <f t="shared" si="31"/>
        <v xml:space="preserve">스핀들유격: </v>
      </c>
      <c r="N182" s="11" t="str">
        <f t="shared" si="31"/>
        <v xml:space="preserve">스핀들유격: </v>
      </c>
      <c r="O182" s="11" t="str">
        <f t="shared" si="31"/>
        <v xml:space="preserve">스핀들유격: </v>
      </c>
      <c r="P182" s="11" t="str">
        <f t="shared" si="31"/>
        <v xml:space="preserve">스핀들유격: </v>
      </c>
      <c r="Q182" s="11" t="str">
        <f t="shared" si="32"/>
        <v>000-000 :</v>
      </c>
      <c r="R182" s="11" t="str">
        <f t="shared" si="32"/>
        <v>000-000 :</v>
      </c>
      <c r="S182" s="11" t="str">
        <f t="shared" si="32"/>
        <v>000-000 :</v>
      </c>
      <c r="T182" s="11" t="str">
        <f t="shared" si="32"/>
        <v>000-000 :</v>
      </c>
      <c r="U182" s="11" t="str">
        <f t="shared" si="32"/>
        <v>000-000 :</v>
      </c>
      <c r="V182" s="11" t="str">
        <f t="shared" si="32"/>
        <v>000-000 :</v>
      </c>
      <c r="W182" s="11" t="str">
        <f t="shared" si="32"/>
        <v>000-000 :</v>
      </c>
      <c r="X182" s="11" t="str">
        <f t="shared" si="32"/>
        <v>000-000 :</v>
      </c>
      <c r="Y182" s="11" t="str">
        <f t="shared" si="25"/>
        <v>스핀들소음 :</v>
      </c>
      <c r="Z182" s="11" t="str">
        <f t="shared" si="26"/>
        <v>필터세척 :
FLOW   (T1, T4 : / T2, T3 : / T4 : )</v>
      </c>
      <c r="AA182" s="11" t="str">
        <f t="shared" si="27"/>
        <v/>
      </c>
      <c r="AB182" s="1"/>
      <c r="AC182" s="1"/>
      <c r="AD182" s="12"/>
      <c r="AE182" s="11" t="str">
        <f t="shared" si="28"/>
        <v/>
      </c>
      <c r="AF182" s="9"/>
      <c r="AG182" s="1"/>
      <c r="AH182" s="3"/>
    </row>
    <row r="183" spans="1:34" ht="34" x14ac:dyDescent="0.4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 t="str">
        <f>IF(LEN(A183)&gt;0, 상수!B$4, "")</f>
        <v/>
      </c>
      <c r="L183" s="1"/>
      <c r="M183" s="11" t="str">
        <f t="shared" si="31"/>
        <v xml:space="preserve">스핀들유격: </v>
      </c>
      <c r="N183" s="11" t="str">
        <f t="shared" si="31"/>
        <v xml:space="preserve">스핀들유격: </v>
      </c>
      <c r="O183" s="11" t="str">
        <f t="shared" si="31"/>
        <v xml:space="preserve">스핀들유격: </v>
      </c>
      <c r="P183" s="11" t="str">
        <f t="shared" si="31"/>
        <v xml:space="preserve">스핀들유격: </v>
      </c>
      <c r="Q183" s="11" t="str">
        <f t="shared" ref="Q183:X198" si="33">IF(MOD($AD183,5)=0, "000-000 :","-" )</f>
        <v>000-000 :</v>
      </c>
      <c r="R183" s="11" t="str">
        <f t="shared" si="33"/>
        <v>000-000 :</v>
      </c>
      <c r="S183" s="11" t="str">
        <f t="shared" si="33"/>
        <v>000-000 :</v>
      </c>
      <c r="T183" s="11" t="str">
        <f t="shared" si="33"/>
        <v>000-000 :</v>
      </c>
      <c r="U183" s="11" t="str">
        <f t="shared" si="33"/>
        <v>000-000 :</v>
      </c>
      <c r="V183" s="11" t="str">
        <f t="shared" si="33"/>
        <v>000-000 :</v>
      </c>
      <c r="W183" s="11" t="str">
        <f t="shared" si="33"/>
        <v>000-000 :</v>
      </c>
      <c r="X183" s="11" t="str">
        <f t="shared" si="33"/>
        <v>000-000 :</v>
      </c>
      <c r="Y183" s="11" t="str">
        <f t="shared" si="25"/>
        <v>스핀들소음 :</v>
      </c>
      <c r="Z183" s="11" t="str">
        <f t="shared" si="26"/>
        <v>필터세척 :
FLOW   (T1, T4 : / T2, T3 : / T4 : )</v>
      </c>
      <c r="AA183" s="11" t="str">
        <f t="shared" si="27"/>
        <v/>
      </c>
      <c r="AB183" s="1"/>
      <c r="AC183" s="1"/>
      <c r="AD183" s="12"/>
      <c r="AE183" s="11" t="str">
        <f t="shared" si="28"/>
        <v/>
      </c>
      <c r="AF183" s="9"/>
      <c r="AG183" s="1"/>
      <c r="AH183" s="3"/>
    </row>
    <row r="184" spans="1:34" ht="34" x14ac:dyDescent="0.4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 t="str">
        <f>IF(LEN(A184)&gt;0, 상수!B$4, "")</f>
        <v/>
      </c>
      <c r="L184" s="1"/>
      <c r="M184" s="11" t="str">
        <f t="shared" si="31"/>
        <v xml:space="preserve">스핀들유격: </v>
      </c>
      <c r="N184" s="11" t="str">
        <f t="shared" si="31"/>
        <v xml:space="preserve">스핀들유격: </v>
      </c>
      <c r="O184" s="11" t="str">
        <f t="shared" si="31"/>
        <v xml:space="preserve">스핀들유격: </v>
      </c>
      <c r="P184" s="11" t="str">
        <f t="shared" si="31"/>
        <v xml:space="preserve">스핀들유격: </v>
      </c>
      <c r="Q184" s="11" t="str">
        <f t="shared" si="33"/>
        <v>000-000 :</v>
      </c>
      <c r="R184" s="11" t="str">
        <f t="shared" si="33"/>
        <v>000-000 :</v>
      </c>
      <c r="S184" s="11" t="str">
        <f t="shared" si="33"/>
        <v>000-000 :</v>
      </c>
      <c r="T184" s="11" t="str">
        <f t="shared" si="33"/>
        <v>000-000 :</v>
      </c>
      <c r="U184" s="11" t="str">
        <f t="shared" si="33"/>
        <v>000-000 :</v>
      </c>
      <c r="V184" s="11" t="str">
        <f t="shared" si="33"/>
        <v>000-000 :</v>
      </c>
      <c r="W184" s="11" t="str">
        <f t="shared" si="33"/>
        <v>000-000 :</v>
      </c>
      <c r="X184" s="11" t="str">
        <f t="shared" si="33"/>
        <v>000-000 :</v>
      </c>
      <c r="Y184" s="11" t="str">
        <f t="shared" si="25"/>
        <v>스핀들소음 :</v>
      </c>
      <c r="Z184" s="11" t="str">
        <f t="shared" si="26"/>
        <v>필터세척 :
FLOW   (T1, T4 : / T2, T3 : / T4 : )</v>
      </c>
      <c r="AA184" s="11" t="str">
        <f t="shared" si="27"/>
        <v/>
      </c>
      <c r="AB184" s="1"/>
      <c r="AC184" s="1"/>
      <c r="AD184" s="12"/>
      <c r="AE184" s="11" t="str">
        <f t="shared" si="28"/>
        <v/>
      </c>
      <c r="AF184" s="9"/>
      <c r="AG184" s="1"/>
      <c r="AH184" s="3"/>
    </row>
    <row r="185" spans="1:34" ht="34" x14ac:dyDescent="0.4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 t="str">
        <f>IF(LEN(A185)&gt;0, 상수!B$4, "")</f>
        <v/>
      </c>
      <c r="L185" s="1"/>
      <c r="M185" s="11" t="str">
        <f t="shared" si="31"/>
        <v xml:space="preserve">스핀들유격: </v>
      </c>
      <c r="N185" s="11" t="str">
        <f t="shared" si="31"/>
        <v xml:space="preserve">스핀들유격: </v>
      </c>
      <c r="O185" s="11" t="str">
        <f t="shared" si="31"/>
        <v xml:space="preserve">스핀들유격: </v>
      </c>
      <c r="P185" s="11" t="str">
        <f t="shared" si="31"/>
        <v xml:space="preserve">스핀들유격: </v>
      </c>
      <c r="Q185" s="11" t="str">
        <f t="shared" si="33"/>
        <v>000-000 :</v>
      </c>
      <c r="R185" s="11" t="str">
        <f t="shared" si="33"/>
        <v>000-000 :</v>
      </c>
      <c r="S185" s="11" t="str">
        <f t="shared" si="33"/>
        <v>000-000 :</v>
      </c>
      <c r="T185" s="11" t="str">
        <f t="shared" si="33"/>
        <v>000-000 :</v>
      </c>
      <c r="U185" s="11" t="str">
        <f t="shared" si="33"/>
        <v>000-000 :</v>
      </c>
      <c r="V185" s="11" t="str">
        <f t="shared" si="33"/>
        <v>000-000 :</v>
      </c>
      <c r="W185" s="11" t="str">
        <f t="shared" si="33"/>
        <v>000-000 :</v>
      </c>
      <c r="X185" s="11" t="str">
        <f t="shared" si="33"/>
        <v>000-000 :</v>
      </c>
      <c r="Y185" s="11" t="str">
        <f t="shared" si="25"/>
        <v>스핀들소음 :</v>
      </c>
      <c r="Z185" s="11" t="str">
        <f t="shared" si="26"/>
        <v>필터세척 :
FLOW   (T1, T4 : / T2, T3 : / T4 : )</v>
      </c>
      <c r="AA185" s="11" t="str">
        <f t="shared" si="27"/>
        <v/>
      </c>
      <c r="AB185" s="1"/>
      <c r="AC185" s="1"/>
      <c r="AD185" s="12"/>
      <c r="AE185" s="11" t="str">
        <f t="shared" si="28"/>
        <v/>
      </c>
      <c r="AF185" s="9"/>
      <c r="AG185" s="1"/>
      <c r="AH185" s="3"/>
    </row>
    <row r="186" spans="1:34" ht="34" x14ac:dyDescent="0.4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 t="str">
        <f>IF(LEN(A186)&gt;0, 상수!B$4, "")</f>
        <v/>
      </c>
      <c r="L186" s="1"/>
      <c r="M186" s="11" t="str">
        <f t="shared" si="31"/>
        <v xml:space="preserve">스핀들유격: </v>
      </c>
      <c r="N186" s="11" t="str">
        <f t="shared" si="31"/>
        <v xml:space="preserve">스핀들유격: </v>
      </c>
      <c r="O186" s="11" t="str">
        <f t="shared" si="31"/>
        <v xml:space="preserve">스핀들유격: </v>
      </c>
      <c r="P186" s="11" t="str">
        <f t="shared" si="31"/>
        <v xml:space="preserve">스핀들유격: </v>
      </c>
      <c r="Q186" s="11" t="str">
        <f t="shared" si="33"/>
        <v>000-000 :</v>
      </c>
      <c r="R186" s="11" t="str">
        <f t="shared" si="33"/>
        <v>000-000 :</v>
      </c>
      <c r="S186" s="11" t="str">
        <f t="shared" si="33"/>
        <v>000-000 :</v>
      </c>
      <c r="T186" s="11" t="str">
        <f t="shared" si="33"/>
        <v>000-000 :</v>
      </c>
      <c r="U186" s="11" t="str">
        <f t="shared" si="33"/>
        <v>000-000 :</v>
      </c>
      <c r="V186" s="11" t="str">
        <f t="shared" si="33"/>
        <v>000-000 :</v>
      </c>
      <c r="W186" s="11" t="str">
        <f t="shared" si="33"/>
        <v>000-000 :</v>
      </c>
      <c r="X186" s="11" t="str">
        <f t="shared" si="33"/>
        <v>000-000 :</v>
      </c>
      <c r="Y186" s="11" t="str">
        <f t="shared" si="25"/>
        <v>스핀들소음 :</v>
      </c>
      <c r="Z186" s="11" t="str">
        <f t="shared" si="26"/>
        <v>필터세척 :
FLOW   (T1, T4 : / T2, T3 : / T4 : )</v>
      </c>
      <c r="AA186" s="11" t="str">
        <f t="shared" si="27"/>
        <v/>
      </c>
      <c r="AB186" s="1"/>
      <c r="AC186" s="1"/>
      <c r="AD186" s="12"/>
      <c r="AE186" s="11" t="str">
        <f t="shared" si="28"/>
        <v/>
      </c>
      <c r="AF186" s="9"/>
      <c r="AG186" s="1"/>
      <c r="AH186" s="3"/>
    </row>
    <row r="187" spans="1:34" ht="34" x14ac:dyDescent="0.4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 t="str">
        <f>IF(LEN(A187)&gt;0, 상수!B$4, "")</f>
        <v/>
      </c>
      <c r="L187" s="1"/>
      <c r="M187" s="11" t="str">
        <f t="shared" ref="M187:P206" si="34">IF(MOD($AD187,5)=0, "스핀들유격: ","-" )</f>
        <v xml:space="preserve">스핀들유격: </v>
      </c>
      <c r="N187" s="11" t="str">
        <f t="shared" si="34"/>
        <v xml:space="preserve">스핀들유격: </v>
      </c>
      <c r="O187" s="11" t="str">
        <f t="shared" si="34"/>
        <v xml:space="preserve">스핀들유격: </v>
      </c>
      <c r="P187" s="11" t="str">
        <f t="shared" si="34"/>
        <v xml:space="preserve">스핀들유격: </v>
      </c>
      <c r="Q187" s="11" t="str">
        <f t="shared" si="33"/>
        <v>000-000 :</v>
      </c>
      <c r="R187" s="11" t="str">
        <f t="shared" si="33"/>
        <v>000-000 :</v>
      </c>
      <c r="S187" s="11" t="str">
        <f t="shared" si="33"/>
        <v>000-000 :</v>
      </c>
      <c r="T187" s="11" t="str">
        <f t="shared" si="33"/>
        <v>000-000 :</v>
      </c>
      <c r="U187" s="11" t="str">
        <f t="shared" si="33"/>
        <v>000-000 :</v>
      </c>
      <c r="V187" s="11" t="str">
        <f t="shared" si="33"/>
        <v>000-000 :</v>
      </c>
      <c r="W187" s="11" t="str">
        <f t="shared" si="33"/>
        <v>000-000 :</v>
      </c>
      <c r="X187" s="11" t="str">
        <f t="shared" si="33"/>
        <v>000-000 :</v>
      </c>
      <c r="Y187" s="11" t="str">
        <f t="shared" si="25"/>
        <v>스핀들소음 :</v>
      </c>
      <c r="Z187" s="11" t="str">
        <f t="shared" si="26"/>
        <v>필터세척 :
FLOW   (T1, T4 : / T2, T3 : / T4 : )</v>
      </c>
      <c r="AA187" s="11" t="str">
        <f t="shared" si="27"/>
        <v/>
      </c>
      <c r="AB187" s="1"/>
      <c r="AC187" s="1"/>
      <c r="AD187" s="12"/>
      <c r="AE187" s="11" t="str">
        <f t="shared" si="28"/>
        <v/>
      </c>
      <c r="AF187" s="9"/>
      <c r="AG187" s="1"/>
      <c r="AH187" s="3"/>
    </row>
    <row r="188" spans="1:34" ht="34" x14ac:dyDescent="0.4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 t="str">
        <f>IF(LEN(A188)&gt;0, 상수!B$4, "")</f>
        <v/>
      </c>
      <c r="L188" s="1"/>
      <c r="M188" s="11" t="str">
        <f t="shared" si="34"/>
        <v xml:space="preserve">스핀들유격: </v>
      </c>
      <c r="N188" s="11" t="str">
        <f t="shared" si="34"/>
        <v xml:space="preserve">스핀들유격: </v>
      </c>
      <c r="O188" s="11" t="str">
        <f t="shared" si="34"/>
        <v xml:space="preserve">스핀들유격: </v>
      </c>
      <c r="P188" s="11" t="str">
        <f t="shared" si="34"/>
        <v xml:space="preserve">스핀들유격: </v>
      </c>
      <c r="Q188" s="11" t="str">
        <f t="shared" si="33"/>
        <v>000-000 :</v>
      </c>
      <c r="R188" s="11" t="str">
        <f t="shared" si="33"/>
        <v>000-000 :</v>
      </c>
      <c r="S188" s="11" t="str">
        <f t="shared" si="33"/>
        <v>000-000 :</v>
      </c>
      <c r="T188" s="11" t="str">
        <f t="shared" si="33"/>
        <v>000-000 :</v>
      </c>
      <c r="U188" s="11" t="str">
        <f t="shared" si="33"/>
        <v>000-000 :</v>
      </c>
      <c r="V188" s="11" t="str">
        <f t="shared" si="33"/>
        <v>000-000 :</v>
      </c>
      <c r="W188" s="11" t="str">
        <f t="shared" si="33"/>
        <v>000-000 :</v>
      </c>
      <c r="X188" s="11" t="str">
        <f t="shared" si="33"/>
        <v>000-000 :</v>
      </c>
      <c r="Y188" s="11" t="str">
        <f t="shared" si="25"/>
        <v>스핀들소음 :</v>
      </c>
      <c r="Z188" s="11" t="str">
        <f t="shared" si="26"/>
        <v>필터세척 :
FLOW   (T1, T4 : / T2, T3 : / T4 : )</v>
      </c>
      <c r="AA188" s="11" t="str">
        <f t="shared" si="27"/>
        <v/>
      </c>
      <c r="AB188" s="1"/>
      <c r="AC188" s="1"/>
      <c r="AD188" s="12"/>
      <c r="AE188" s="11" t="str">
        <f t="shared" si="28"/>
        <v/>
      </c>
      <c r="AF188" s="9"/>
      <c r="AG188" s="1"/>
      <c r="AH188" s="3"/>
    </row>
    <row r="189" spans="1:34" ht="34" x14ac:dyDescent="0.4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 t="str">
        <f>IF(LEN(A189)&gt;0, 상수!B$4, "")</f>
        <v/>
      </c>
      <c r="L189" s="1"/>
      <c r="M189" s="11" t="str">
        <f t="shared" si="34"/>
        <v xml:space="preserve">스핀들유격: </v>
      </c>
      <c r="N189" s="11" t="str">
        <f t="shared" si="34"/>
        <v xml:space="preserve">스핀들유격: </v>
      </c>
      <c r="O189" s="11" t="str">
        <f t="shared" si="34"/>
        <v xml:space="preserve">스핀들유격: </v>
      </c>
      <c r="P189" s="11" t="str">
        <f t="shared" si="34"/>
        <v xml:space="preserve">스핀들유격: </v>
      </c>
      <c r="Q189" s="11" t="str">
        <f t="shared" si="33"/>
        <v>000-000 :</v>
      </c>
      <c r="R189" s="11" t="str">
        <f t="shared" si="33"/>
        <v>000-000 :</v>
      </c>
      <c r="S189" s="11" t="str">
        <f t="shared" si="33"/>
        <v>000-000 :</v>
      </c>
      <c r="T189" s="11" t="str">
        <f t="shared" si="33"/>
        <v>000-000 :</v>
      </c>
      <c r="U189" s="11" t="str">
        <f t="shared" si="33"/>
        <v>000-000 :</v>
      </c>
      <c r="V189" s="11" t="str">
        <f t="shared" si="33"/>
        <v>000-000 :</v>
      </c>
      <c r="W189" s="11" t="str">
        <f t="shared" si="33"/>
        <v>000-000 :</v>
      </c>
      <c r="X189" s="11" t="str">
        <f t="shared" si="33"/>
        <v>000-000 :</v>
      </c>
      <c r="Y189" s="11" t="str">
        <f t="shared" si="25"/>
        <v>스핀들소음 :</v>
      </c>
      <c r="Z189" s="11" t="str">
        <f t="shared" si="26"/>
        <v>필터세척 :
FLOW   (T1, T4 : / T2, T3 : / T4 : )</v>
      </c>
      <c r="AA189" s="11" t="str">
        <f t="shared" si="27"/>
        <v/>
      </c>
      <c r="AB189" s="1"/>
      <c r="AC189" s="1"/>
      <c r="AD189" s="12"/>
      <c r="AE189" s="11" t="str">
        <f t="shared" si="28"/>
        <v/>
      </c>
      <c r="AF189" s="9"/>
      <c r="AG189" s="1"/>
      <c r="AH189" s="3"/>
    </row>
    <row r="190" spans="1:34" ht="34" x14ac:dyDescent="0.4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 t="str">
        <f>IF(LEN(A190)&gt;0, 상수!B$4, "")</f>
        <v/>
      </c>
      <c r="L190" s="1"/>
      <c r="M190" s="11" t="str">
        <f t="shared" si="34"/>
        <v xml:space="preserve">스핀들유격: </v>
      </c>
      <c r="N190" s="11" t="str">
        <f t="shared" si="34"/>
        <v xml:space="preserve">스핀들유격: </v>
      </c>
      <c r="O190" s="11" t="str">
        <f t="shared" si="34"/>
        <v xml:space="preserve">스핀들유격: </v>
      </c>
      <c r="P190" s="11" t="str">
        <f t="shared" si="34"/>
        <v xml:space="preserve">스핀들유격: </v>
      </c>
      <c r="Q190" s="11" t="str">
        <f t="shared" si="33"/>
        <v>000-000 :</v>
      </c>
      <c r="R190" s="11" t="str">
        <f t="shared" si="33"/>
        <v>000-000 :</v>
      </c>
      <c r="S190" s="11" t="str">
        <f t="shared" si="33"/>
        <v>000-000 :</v>
      </c>
      <c r="T190" s="11" t="str">
        <f t="shared" si="33"/>
        <v>000-000 :</v>
      </c>
      <c r="U190" s="11" t="str">
        <f t="shared" si="33"/>
        <v>000-000 :</v>
      </c>
      <c r="V190" s="11" t="str">
        <f t="shared" si="33"/>
        <v>000-000 :</v>
      </c>
      <c r="W190" s="11" t="str">
        <f t="shared" si="33"/>
        <v>000-000 :</v>
      </c>
      <c r="X190" s="11" t="str">
        <f t="shared" si="33"/>
        <v>000-000 :</v>
      </c>
      <c r="Y190" s="11" t="str">
        <f t="shared" si="25"/>
        <v>스핀들소음 :</v>
      </c>
      <c r="Z190" s="11" t="str">
        <f t="shared" si="26"/>
        <v>필터세척 :
FLOW   (T1, T4 : / T2, T3 : / T4 : )</v>
      </c>
      <c r="AA190" s="11" t="str">
        <f t="shared" si="27"/>
        <v/>
      </c>
      <c r="AB190" s="1"/>
      <c r="AC190" s="1"/>
      <c r="AD190" s="12"/>
      <c r="AE190" s="11" t="str">
        <f t="shared" si="28"/>
        <v/>
      </c>
      <c r="AF190" s="9"/>
      <c r="AG190" s="1"/>
      <c r="AH190" s="3"/>
    </row>
    <row r="191" spans="1:34" ht="34" x14ac:dyDescent="0.4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 t="str">
        <f>IF(LEN(A191)&gt;0, 상수!B$4, "")</f>
        <v/>
      </c>
      <c r="L191" s="1"/>
      <c r="M191" s="11" t="str">
        <f t="shared" si="34"/>
        <v xml:space="preserve">스핀들유격: </v>
      </c>
      <c r="N191" s="11" t="str">
        <f t="shared" si="34"/>
        <v xml:space="preserve">스핀들유격: </v>
      </c>
      <c r="O191" s="11" t="str">
        <f t="shared" si="34"/>
        <v xml:space="preserve">스핀들유격: </v>
      </c>
      <c r="P191" s="11" t="str">
        <f t="shared" si="34"/>
        <v xml:space="preserve">스핀들유격: </v>
      </c>
      <c r="Q191" s="11" t="str">
        <f t="shared" si="33"/>
        <v>000-000 :</v>
      </c>
      <c r="R191" s="11" t="str">
        <f t="shared" si="33"/>
        <v>000-000 :</v>
      </c>
      <c r="S191" s="11" t="str">
        <f t="shared" si="33"/>
        <v>000-000 :</v>
      </c>
      <c r="T191" s="11" t="str">
        <f t="shared" si="33"/>
        <v>000-000 :</v>
      </c>
      <c r="U191" s="11" t="str">
        <f t="shared" si="33"/>
        <v>000-000 :</v>
      </c>
      <c r="V191" s="11" t="str">
        <f t="shared" si="33"/>
        <v>000-000 :</v>
      </c>
      <c r="W191" s="11" t="str">
        <f t="shared" si="33"/>
        <v>000-000 :</v>
      </c>
      <c r="X191" s="11" t="str">
        <f t="shared" si="33"/>
        <v>000-000 :</v>
      </c>
      <c r="Y191" s="11" t="str">
        <f t="shared" si="25"/>
        <v>스핀들소음 :</v>
      </c>
      <c r="Z191" s="11" t="str">
        <f t="shared" si="26"/>
        <v>필터세척 :
FLOW   (T1, T4 : / T2, T3 : / T4 : )</v>
      </c>
      <c r="AA191" s="11" t="str">
        <f t="shared" si="27"/>
        <v/>
      </c>
      <c r="AB191" s="1"/>
      <c r="AC191" s="1"/>
      <c r="AD191" s="12"/>
      <c r="AE191" s="11" t="str">
        <f t="shared" si="28"/>
        <v/>
      </c>
      <c r="AF191" s="9"/>
      <c r="AG191" s="1"/>
      <c r="AH191" s="3"/>
    </row>
    <row r="192" spans="1:34" ht="34" x14ac:dyDescent="0.4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 t="str">
        <f>IF(LEN(A192)&gt;0, 상수!B$4, "")</f>
        <v/>
      </c>
      <c r="L192" s="1"/>
      <c r="M192" s="11" t="str">
        <f t="shared" si="34"/>
        <v xml:space="preserve">스핀들유격: </v>
      </c>
      <c r="N192" s="11" t="str">
        <f t="shared" si="34"/>
        <v xml:space="preserve">스핀들유격: </v>
      </c>
      <c r="O192" s="11" t="str">
        <f t="shared" si="34"/>
        <v xml:space="preserve">스핀들유격: </v>
      </c>
      <c r="P192" s="11" t="str">
        <f t="shared" si="34"/>
        <v xml:space="preserve">스핀들유격: </v>
      </c>
      <c r="Q192" s="11" t="str">
        <f t="shared" si="33"/>
        <v>000-000 :</v>
      </c>
      <c r="R192" s="11" t="str">
        <f t="shared" si="33"/>
        <v>000-000 :</v>
      </c>
      <c r="S192" s="11" t="str">
        <f t="shared" si="33"/>
        <v>000-000 :</v>
      </c>
      <c r="T192" s="11" t="str">
        <f t="shared" si="33"/>
        <v>000-000 :</v>
      </c>
      <c r="U192" s="11" t="str">
        <f t="shared" si="33"/>
        <v>000-000 :</v>
      </c>
      <c r="V192" s="11" t="str">
        <f t="shared" si="33"/>
        <v>000-000 :</v>
      </c>
      <c r="W192" s="11" t="str">
        <f t="shared" si="33"/>
        <v>000-000 :</v>
      </c>
      <c r="X192" s="11" t="str">
        <f t="shared" si="33"/>
        <v>000-000 :</v>
      </c>
      <c r="Y192" s="11" t="str">
        <f t="shared" si="25"/>
        <v>스핀들소음 :</v>
      </c>
      <c r="Z192" s="11" t="str">
        <f t="shared" si="26"/>
        <v>필터세척 :
FLOW   (T1, T4 : / T2, T3 : / T4 : )</v>
      </c>
      <c r="AA192" s="11" t="str">
        <f t="shared" si="27"/>
        <v/>
      </c>
      <c r="AB192" s="1"/>
      <c r="AC192" s="1"/>
      <c r="AD192" s="12"/>
      <c r="AE192" s="11" t="str">
        <f t="shared" si="28"/>
        <v/>
      </c>
      <c r="AF192" s="9"/>
      <c r="AG192" s="1"/>
      <c r="AH192" s="3"/>
    </row>
    <row r="193" spans="1:34" ht="34" x14ac:dyDescent="0.4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 t="str">
        <f>IF(LEN(A193)&gt;0, 상수!B$4, "")</f>
        <v/>
      </c>
      <c r="L193" s="1"/>
      <c r="M193" s="11" t="str">
        <f t="shared" si="34"/>
        <v xml:space="preserve">스핀들유격: </v>
      </c>
      <c r="N193" s="11" t="str">
        <f t="shared" si="34"/>
        <v xml:space="preserve">스핀들유격: </v>
      </c>
      <c r="O193" s="11" t="str">
        <f t="shared" si="34"/>
        <v xml:space="preserve">스핀들유격: </v>
      </c>
      <c r="P193" s="11" t="str">
        <f t="shared" si="34"/>
        <v xml:space="preserve">스핀들유격: </v>
      </c>
      <c r="Q193" s="11" t="str">
        <f t="shared" si="33"/>
        <v>000-000 :</v>
      </c>
      <c r="R193" s="11" t="str">
        <f t="shared" si="33"/>
        <v>000-000 :</v>
      </c>
      <c r="S193" s="11" t="str">
        <f t="shared" si="33"/>
        <v>000-000 :</v>
      </c>
      <c r="T193" s="11" t="str">
        <f t="shared" si="33"/>
        <v>000-000 :</v>
      </c>
      <c r="U193" s="11" t="str">
        <f t="shared" si="33"/>
        <v>000-000 :</v>
      </c>
      <c r="V193" s="11" t="str">
        <f t="shared" si="33"/>
        <v>000-000 :</v>
      </c>
      <c r="W193" s="11" t="str">
        <f t="shared" si="33"/>
        <v>000-000 :</v>
      </c>
      <c r="X193" s="11" t="str">
        <f t="shared" si="33"/>
        <v>000-000 :</v>
      </c>
      <c r="Y193" s="11" t="str">
        <f t="shared" si="25"/>
        <v>스핀들소음 :</v>
      </c>
      <c r="Z193" s="11" t="str">
        <f t="shared" si="26"/>
        <v>필터세척 :
FLOW   (T1, T4 : / T2, T3 : / T4 : )</v>
      </c>
      <c r="AA193" s="11" t="str">
        <f t="shared" si="27"/>
        <v/>
      </c>
      <c r="AB193" s="1"/>
      <c r="AC193" s="1"/>
      <c r="AD193" s="12"/>
      <c r="AE193" s="11" t="str">
        <f t="shared" si="28"/>
        <v/>
      </c>
      <c r="AF193" s="9"/>
      <c r="AG193" s="1"/>
      <c r="AH193" s="3"/>
    </row>
    <row r="194" spans="1:34" ht="34" x14ac:dyDescent="0.4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IF(LEN(A194)&gt;0, 상수!B$4, "")</f>
        <v/>
      </c>
      <c r="L194" s="1"/>
      <c r="M194" s="11" t="str">
        <f t="shared" si="34"/>
        <v xml:space="preserve">스핀들유격: </v>
      </c>
      <c r="N194" s="11" t="str">
        <f t="shared" si="34"/>
        <v xml:space="preserve">스핀들유격: </v>
      </c>
      <c r="O194" s="11" t="str">
        <f t="shared" si="34"/>
        <v xml:space="preserve">스핀들유격: </v>
      </c>
      <c r="P194" s="11" t="str">
        <f t="shared" si="34"/>
        <v xml:space="preserve">스핀들유격: </v>
      </c>
      <c r="Q194" s="11" t="str">
        <f t="shared" si="33"/>
        <v>000-000 :</v>
      </c>
      <c r="R194" s="11" t="str">
        <f t="shared" si="33"/>
        <v>000-000 :</v>
      </c>
      <c r="S194" s="11" t="str">
        <f t="shared" si="33"/>
        <v>000-000 :</v>
      </c>
      <c r="T194" s="11" t="str">
        <f t="shared" si="33"/>
        <v>000-000 :</v>
      </c>
      <c r="U194" s="11" t="str">
        <f t="shared" si="33"/>
        <v>000-000 :</v>
      </c>
      <c r="V194" s="11" t="str">
        <f t="shared" si="33"/>
        <v>000-000 :</v>
      </c>
      <c r="W194" s="11" t="str">
        <f t="shared" si="33"/>
        <v>000-000 :</v>
      </c>
      <c r="X194" s="11" t="str">
        <f t="shared" si="33"/>
        <v>000-000 :</v>
      </c>
      <c r="Y194" s="11" t="str">
        <f t="shared" si="25"/>
        <v>스핀들소음 :</v>
      </c>
      <c r="Z194" s="11" t="str">
        <f t="shared" si="26"/>
        <v>필터세척 :
FLOW   (T1, T4 : / T2, T3 : / T4 : )</v>
      </c>
      <c r="AA194" s="11" t="str">
        <f t="shared" si="27"/>
        <v/>
      </c>
      <c r="AB194" s="1"/>
      <c r="AC194" s="1"/>
      <c r="AD194" s="12"/>
      <c r="AE194" s="11" t="str">
        <f t="shared" si="28"/>
        <v/>
      </c>
      <c r="AF194" s="9"/>
      <c r="AG194" s="1"/>
      <c r="AH194" s="3"/>
    </row>
    <row r="195" spans="1:34" ht="34" x14ac:dyDescent="0.4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IF(LEN(A195)&gt;0, 상수!B$4, "")</f>
        <v/>
      </c>
      <c r="L195" s="1"/>
      <c r="M195" s="11" t="str">
        <f t="shared" si="34"/>
        <v xml:space="preserve">스핀들유격: </v>
      </c>
      <c r="N195" s="11" t="str">
        <f t="shared" si="34"/>
        <v xml:space="preserve">스핀들유격: </v>
      </c>
      <c r="O195" s="11" t="str">
        <f t="shared" si="34"/>
        <v xml:space="preserve">스핀들유격: </v>
      </c>
      <c r="P195" s="11" t="str">
        <f t="shared" si="34"/>
        <v xml:space="preserve">스핀들유격: </v>
      </c>
      <c r="Q195" s="11" t="str">
        <f t="shared" si="33"/>
        <v>000-000 :</v>
      </c>
      <c r="R195" s="11" t="str">
        <f t="shared" si="33"/>
        <v>000-000 :</v>
      </c>
      <c r="S195" s="11" t="str">
        <f t="shared" si="33"/>
        <v>000-000 :</v>
      </c>
      <c r="T195" s="11" t="str">
        <f t="shared" si="33"/>
        <v>000-000 :</v>
      </c>
      <c r="U195" s="11" t="str">
        <f t="shared" si="33"/>
        <v>000-000 :</v>
      </c>
      <c r="V195" s="11" t="str">
        <f t="shared" si="33"/>
        <v>000-000 :</v>
      </c>
      <c r="W195" s="11" t="str">
        <f t="shared" si="33"/>
        <v>000-000 :</v>
      </c>
      <c r="X195" s="11" t="str">
        <f t="shared" si="33"/>
        <v>000-000 :</v>
      </c>
      <c r="Y195" s="11" t="str">
        <f t="shared" si="25"/>
        <v>스핀들소음 :</v>
      </c>
      <c r="Z195" s="11" t="str">
        <f t="shared" si="26"/>
        <v>필터세척 :
FLOW   (T1, T4 : / T2, T3 : / T4 : )</v>
      </c>
      <c r="AA195" s="11" t="str">
        <f t="shared" si="27"/>
        <v/>
      </c>
      <c r="AB195" s="1"/>
      <c r="AC195" s="1"/>
      <c r="AD195" s="12"/>
      <c r="AE195" s="11" t="str">
        <f t="shared" si="28"/>
        <v/>
      </c>
      <c r="AF195" s="9"/>
      <c r="AG195" s="1"/>
      <c r="AH195" s="3"/>
    </row>
    <row r="196" spans="1:34" ht="34" x14ac:dyDescent="0.4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IF(LEN(A196)&gt;0, 상수!B$4, "")</f>
        <v/>
      </c>
      <c r="L196" s="1"/>
      <c r="M196" s="11" t="str">
        <f t="shared" si="34"/>
        <v xml:space="preserve">스핀들유격: </v>
      </c>
      <c r="N196" s="11" t="str">
        <f t="shared" si="34"/>
        <v xml:space="preserve">스핀들유격: </v>
      </c>
      <c r="O196" s="11" t="str">
        <f t="shared" si="34"/>
        <v xml:space="preserve">스핀들유격: </v>
      </c>
      <c r="P196" s="11" t="str">
        <f t="shared" si="34"/>
        <v xml:space="preserve">스핀들유격: </v>
      </c>
      <c r="Q196" s="11" t="str">
        <f t="shared" si="33"/>
        <v>000-000 :</v>
      </c>
      <c r="R196" s="11" t="str">
        <f t="shared" si="33"/>
        <v>000-000 :</v>
      </c>
      <c r="S196" s="11" t="str">
        <f t="shared" si="33"/>
        <v>000-000 :</v>
      </c>
      <c r="T196" s="11" t="str">
        <f t="shared" si="33"/>
        <v>000-000 :</v>
      </c>
      <c r="U196" s="11" t="str">
        <f t="shared" si="33"/>
        <v>000-000 :</v>
      </c>
      <c r="V196" s="11" t="str">
        <f t="shared" si="33"/>
        <v>000-000 :</v>
      </c>
      <c r="W196" s="11" t="str">
        <f t="shared" si="33"/>
        <v>000-000 :</v>
      </c>
      <c r="X196" s="11" t="str">
        <f t="shared" si="33"/>
        <v>000-000 :</v>
      </c>
      <c r="Y196" s="11" t="str">
        <f t="shared" si="25"/>
        <v>스핀들소음 :</v>
      </c>
      <c r="Z196" s="11" t="str">
        <f t="shared" si="26"/>
        <v>필터세척 :
FLOW   (T1, T4 : / T2, T3 : / T4 : )</v>
      </c>
      <c r="AA196" s="11" t="str">
        <f t="shared" si="27"/>
        <v/>
      </c>
      <c r="AB196" s="1"/>
      <c r="AC196" s="1"/>
      <c r="AD196" s="12"/>
      <c r="AE196" s="11" t="str">
        <f t="shared" si="28"/>
        <v/>
      </c>
      <c r="AF196" s="9"/>
      <c r="AG196" s="1"/>
      <c r="AH196" s="3"/>
    </row>
    <row r="197" spans="1:34" ht="34" x14ac:dyDescent="0.4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IF(LEN(A197)&gt;0, 상수!B$4, "")</f>
        <v/>
      </c>
      <c r="L197" s="1"/>
      <c r="M197" s="11" t="str">
        <f t="shared" si="34"/>
        <v xml:space="preserve">스핀들유격: </v>
      </c>
      <c r="N197" s="11" t="str">
        <f t="shared" si="34"/>
        <v xml:space="preserve">스핀들유격: </v>
      </c>
      <c r="O197" s="11" t="str">
        <f t="shared" si="34"/>
        <v xml:space="preserve">스핀들유격: </v>
      </c>
      <c r="P197" s="11" t="str">
        <f t="shared" si="34"/>
        <v xml:space="preserve">스핀들유격: </v>
      </c>
      <c r="Q197" s="11" t="str">
        <f t="shared" si="33"/>
        <v>000-000 :</v>
      </c>
      <c r="R197" s="11" t="str">
        <f t="shared" si="33"/>
        <v>000-000 :</v>
      </c>
      <c r="S197" s="11" t="str">
        <f t="shared" si="33"/>
        <v>000-000 :</v>
      </c>
      <c r="T197" s="11" t="str">
        <f t="shared" si="33"/>
        <v>000-000 :</v>
      </c>
      <c r="U197" s="11" t="str">
        <f t="shared" si="33"/>
        <v>000-000 :</v>
      </c>
      <c r="V197" s="11" t="str">
        <f t="shared" si="33"/>
        <v>000-000 :</v>
      </c>
      <c r="W197" s="11" t="str">
        <f t="shared" si="33"/>
        <v>000-000 :</v>
      </c>
      <c r="X197" s="11" t="str">
        <f t="shared" si="33"/>
        <v>000-000 :</v>
      </c>
      <c r="Y197" s="11" t="str">
        <f t="shared" si="25"/>
        <v>스핀들소음 :</v>
      </c>
      <c r="Z197" s="11" t="str">
        <f t="shared" si="26"/>
        <v>필터세척 :
FLOW   (T1, T4 : / T2, T3 : / T4 : )</v>
      </c>
      <c r="AA197" s="11" t="str">
        <f t="shared" si="27"/>
        <v/>
      </c>
      <c r="AB197" s="1"/>
      <c r="AC197" s="1"/>
      <c r="AD197" s="12"/>
      <c r="AE197" s="11" t="str">
        <f t="shared" si="28"/>
        <v/>
      </c>
      <c r="AF197" s="9"/>
      <c r="AG197" s="1"/>
      <c r="AH197" s="3"/>
    </row>
    <row r="198" spans="1:34" ht="34" x14ac:dyDescent="0.4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IF(LEN(A198)&gt;0, 상수!B$4, "")</f>
        <v/>
      </c>
      <c r="L198" s="1"/>
      <c r="M198" s="11" t="str">
        <f t="shared" si="34"/>
        <v xml:space="preserve">스핀들유격: </v>
      </c>
      <c r="N198" s="11" t="str">
        <f t="shared" si="34"/>
        <v xml:space="preserve">스핀들유격: </v>
      </c>
      <c r="O198" s="11" t="str">
        <f t="shared" si="34"/>
        <v xml:space="preserve">스핀들유격: </v>
      </c>
      <c r="P198" s="11" t="str">
        <f t="shared" si="34"/>
        <v xml:space="preserve">스핀들유격: </v>
      </c>
      <c r="Q198" s="11" t="str">
        <f t="shared" si="33"/>
        <v>000-000 :</v>
      </c>
      <c r="R198" s="11" t="str">
        <f t="shared" si="33"/>
        <v>000-000 :</v>
      </c>
      <c r="S198" s="11" t="str">
        <f t="shared" si="33"/>
        <v>000-000 :</v>
      </c>
      <c r="T198" s="11" t="str">
        <f t="shared" si="33"/>
        <v>000-000 :</v>
      </c>
      <c r="U198" s="11" t="str">
        <f t="shared" si="33"/>
        <v>000-000 :</v>
      </c>
      <c r="V198" s="11" t="str">
        <f t="shared" si="33"/>
        <v>000-000 :</v>
      </c>
      <c r="W198" s="11" t="str">
        <f t="shared" si="33"/>
        <v>000-000 :</v>
      </c>
      <c r="X198" s="11" t="str">
        <f t="shared" si="33"/>
        <v>000-000 :</v>
      </c>
      <c r="Y198" s="11" t="str">
        <f t="shared" si="25"/>
        <v>스핀들소음 :</v>
      </c>
      <c r="Z198" s="11" t="str">
        <f t="shared" si="26"/>
        <v>필터세척 :
FLOW   (T1, T4 : / T2, T3 : / T4 : )</v>
      </c>
      <c r="AA198" s="11" t="str">
        <f t="shared" si="27"/>
        <v/>
      </c>
      <c r="AB198" s="1"/>
      <c r="AC198" s="1"/>
      <c r="AD198" s="12"/>
      <c r="AE198" s="11" t="str">
        <f t="shared" si="28"/>
        <v/>
      </c>
      <c r="AF198" s="9"/>
      <c r="AG198" s="1"/>
      <c r="AH198" s="3"/>
    </row>
    <row r="199" spans="1:34" ht="34" x14ac:dyDescent="0.4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IF(LEN(A199)&gt;0, 상수!B$4, "")</f>
        <v/>
      </c>
      <c r="L199" s="1"/>
      <c r="M199" s="11" t="str">
        <f t="shared" si="34"/>
        <v xml:space="preserve">스핀들유격: </v>
      </c>
      <c r="N199" s="11" t="str">
        <f t="shared" si="34"/>
        <v xml:space="preserve">스핀들유격: </v>
      </c>
      <c r="O199" s="11" t="str">
        <f t="shared" si="34"/>
        <v xml:space="preserve">스핀들유격: </v>
      </c>
      <c r="P199" s="11" t="str">
        <f t="shared" si="34"/>
        <v xml:space="preserve">스핀들유격: </v>
      </c>
      <c r="Q199" s="11" t="str">
        <f t="shared" ref="Q199:X214" si="35">IF(MOD($AD199,5)=0, "000-000 :","-" )</f>
        <v>000-000 :</v>
      </c>
      <c r="R199" s="11" t="str">
        <f t="shared" si="35"/>
        <v>000-000 :</v>
      </c>
      <c r="S199" s="11" t="str">
        <f t="shared" si="35"/>
        <v>000-000 :</v>
      </c>
      <c r="T199" s="11" t="str">
        <f t="shared" si="35"/>
        <v>000-000 :</v>
      </c>
      <c r="U199" s="11" t="str">
        <f t="shared" si="35"/>
        <v>000-000 :</v>
      </c>
      <c r="V199" s="11" t="str">
        <f t="shared" si="35"/>
        <v>000-000 :</v>
      </c>
      <c r="W199" s="11" t="str">
        <f t="shared" si="35"/>
        <v>000-000 :</v>
      </c>
      <c r="X199" s="11" t="str">
        <f t="shared" si="35"/>
        <v>000-000 :</v>
      </c>
      <c r="Y199" s="11" t="str">
        <f t="shared" ref="Y199:Y214" si="36">IF(MOD($AD199,5)=0, "스핀들소음 :","-" )</f>
        <v>스핀들소음 :</v>
      </c>
      <c r="Z199" s="11" t="str">
        <f t="shared" ref="Z199:Z214" si="37">IF(MOD($AD199,40)=0, "필터세척 :"&amp; CHAR(10) &amp; "FLOW   (T1, T4 : / T2, T3 : / T4 : )","-" )</f>
        <v>필터세척 :
FLOW   (T1, T4 : / T2, T3 : / T4 : )</v>
      </c>
      <c r="AA199" s="11" t="str">
        <f t="shared" si="27"/>
        <v/>
      </c>
      <c r="AB199" s="1"/>
      <c r="AC199" s="1"/>
      <c r="AD199" s="12"/>
      <c r="AE199" s="11" t="str">
        <f t="shared" si="28"/>
        <v/>
      </c>
      <c r="AF199" s="9"/>
      <c r="AG199" s="1"/>
      <c r="AH199" s="3"/>
    </row>
    <row r="200" spans="1:34" ht="34" x14ac:dyDescent="0.45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IF(LEN(A200)&gt;0, 상수!B$4, "")</f>
        <v/>
      </c>
      <c r="L200" s="1"/>
      <c r="M200" s="11" t="str">
        <f t="shared" si="34"/>
        <v xml:space="preserve">스핀들유격: </v>
      </c>
      <c r="N200" s="11" t="str">
        <f t="shared" si="34"/>
        <v xml:space="preserve">스핀들유격: </v>
      </c>
      <c r="O200" s="11" t="str">
        <f t="shared" si="34"/>
        <v xml:space="preserve">스핀들유격: </v>
      </c>
      <c r="P200" s="11" t="str">
        <f t="shared" si="34"/>
        <v xml:space="preserve">스핀들유격: </v>
      </c>
      <c r="Q200" s="11" t="str">
        <f t="shared" si="35"/>
        <v>000-000 :</v>
      </c>
      <c r="R200" s="11" t="str">
        <f t="shared" si="35"/>
        <v>000-000 :</v>
      </c>
      <c r="S200" s="11" t="str">
        <f t="shared" si="35"/>
        <v>000-000 :</v>
      </c>
      <c r="T200" s="11" t="str">
        <f t="shared" si="35"/>
        <v>000-000 :</v>
      </c>
      <c r="U200" s="11" t="str">
        <f t="shared" si="35"/>
        <v>000-000 :</v>
      </c>
      <c r="V200" s="11" t="str">
        <f t="shared" si="35"/>
        <v>000-000 :</v>
      </c>
      <c r="W200" s="11" t="str">
        <f t="shared" si="35"/>
        <v>000-000 :</v>
      </c>
      <c r="X200" s="11" t="str">
        <f t="shared" si="35"/>
        <v>000-000 :</v>
      </c>
      <c r="Y200" s="11" t="str">
        <f t="shared" si="36"/>
        <v>스핀들소음 :</v>
      </c>
      <c r="Z200" s="11" t="str">
        <f t="shared" si="37"/>
        <v>필터세척 :
FLOW   (T1, T4 : / T2, T3 : / T4 : )</v>
      </c>
      <c r="AA200" s="11" t="str">
        <f t="shared" ref="AA200:AA214" si="38">IF($AD200="","",
  IF(MOD(AD200,160)=0,
    "TENSION (XL : / ZL : / XR : / ZR : / Y : )" &amp; CHAR(10) &amp;
    "필터교체",
    "-"
  )
)</f>
        <v/>
      </c>
      <c r="AB200" s="1"/>
      <c r="AC200" s="1"/>
      <c r="AD200" s="12"/>
      <c r="AE200" s="11" t="str">
        <f t="shared" ref="AE200:AE214" si="39">IF(AD200="","",
  IF(MOD($AD200,1)=0,
    "Dimensions: L W H",
    "-"
  )
)</f>
        <v/>
      </c>
      <c r="AF200" s="9"/>
      <c r="AG200" s="1"/>
      <c r="AH200" s="3"/>
    </row>
    <row r="201" spans="1:34" ht="34" x14ac:dyDescent="0.45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IF(LEN(A201)&gt;0, 상수!B$4, "")</f>
        <v/>
      </c>
      <c r="L201" s="1"/>
      <c r="M201" s="11" t="str">
        <f t="shared" si="34"/>
        <v xml:space="preserve">스핀들유격: </v>
      </c>
      <c r="N201" s="11" t="str">
        <f t="shared" si="34"/>
        <v xml:space="preserve">스핀들유격: </v>
      </c>
      <c r="O201" s="11" t="str">
        <f t="shared" si="34"/>
        <v xml:space="preserve">스핀들유격: </v>
      </c>
      <c r="P201" s="11" t="str">
        <f t="shared" si="34"/>
        <v xml:space="preserve">스핀들유격: </v>
      </c>
      <c r="Q201" s="11" t="str">
        <f t="shared" si="35"/>
        <v>000-000 :</v>
      </c>
      <c r="R201" s="11" t="str">
        <f t="shared" si="35"/>
        <v>000-000 :</v>
      </c>
      <c r="S201" s="11" t="str">
        <f t="shared" si="35"/>
        <v>000-000 :</v>
      </c>
      <c r="T201" s="11" t="str">
        <f t="shared" si="35"/>
        <v>000-000 :</v>
      </c>
      <c r="U201" s="11" t="str">
        <f t="shared" si="35"/>
        <v>000-000 :</v>
      </c>
      <c r="V201" s="11" t="str">
        <f t="shared" si="35"/>
        <v>000-000 :</v>
      </c>
      <c r="W201" s="11" t="str">
        <f t="shared" si="35"/>
        <v>000-000 :</v>
      </c>
      <c r="X201" s="11" t="str">
        <f t="shared" si="35"/>
        <v>000-000 :</v>
      </c>
      <c r="Y201" s="11" t="str">
        <f t="shared" si="36"/>
        <v>스핀들소음 :</v>
      </c>
      <c r="Z201" s="11" t="str">
        <f t="shared" si="37"/>
        <v>필터세척 :
FLOW   (T1, T4 : / T2, T3 : / T4 : )</v>
      </c>
      <c r="AA201" s="11" t="str">
        <f t="shared" si="38"/>
        <v/>
      </c>
      <c r="AB201" s="1"/>
      <c r="AC201" s="1"/>
      <c r="AD201" s="12"/>
      <c r="AE201" s="11" t="str">
        <f t="shared" si="39"/>
        <v/>
      </c>
      <c r="AF201" s="9"/>
      <c r="AG201" s="1"/>
      <c r="AH201" s="3"/>
    </row>
    <row r="202" spans="1:34" ht="34" x14ac:dyDescent="0.45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IF(LEN(A202)&gt;0, 상수!B$4, "")</f>
        <v/>
      </c>
      <c r="L202" s="1"/>
      <c r="M202" s="11" t="str">
        <f t="shared" si="34"/>
        <v xml:space="preserve">스핀들유격: </v>
      </c>
      <c r="N202" s="11" t="str">
        <f t="shared" si="34"/>
        <v xml:space="preserve">스핀들유격: </v>
      </c>
      <c r="O202" s="11" t="str">
        <f t="shared" si="34"/>
        <v xml:space="preserve">스핀들유격: </v>
      </c>
      <c r="P202" s="11" t="str">
        <f t="shared" si="34"/>
        <v xml:space="preserve">스핀들유격: </v>
      </c>
      <c r="Q202" s="11" t="str">
        <f t="shared" si="35"/>
        <v>000-000 :</v>
      </c>
      <c r="R202" s="11" t="str">
        <f t="shared" si="35"/>
        <v>000-000 :</v>
      </c>
      <c r="S202" s="11" t="str">
        <f t="shared" si="35"/>
        <v>000-000 :</v>
      </c>
      <c r="T202" s="11" t="str">
        <f t="shared" si="35"/>
        <v>000-000 :</v>
      </c>
      <c r="U202" s="11" t="str">
        <f t="shared" si="35"/>
        <v>000-000 :</v>
      </c>
      <c r="V202" s="11" t="str">
        <f t="shared" si="35"/>
        <v>000-000 :</v>
      </c>
      <c r="W202" s="11" t="str">
        <f t="shared" si="35"/>
        <v>000-000 :</v>
      </c>
      <c r="X202" s="11" t="str">
        <f t="shared" si="35"/>
        <v>000-000 :</v>
      </c>
      <c r="Y202" s="11" t="str">
        <f t="shared" si="36"/>
        <v>스핀들소음 :</v>
      </c>
      <c r="Z202" s="11" t="str">
        <f t="shared" si="37"/>
        <v>필터세척 :
FLOW   (T1, T4 : / T2, T3 : / T4 : )</v>
      </c>
      <c r="AA202" s="11" t="str">
        <f t="shared" si="38"/>
        <v/>
      </c>
      <c r="AB202" s="1"/>
      <c r="AC202" s="1"/>
      <c r="AD202" s="12"/>
      <c r="AE202" s="11" t="str">
        <f t="shared" si="39"/>
        <v/>
      </c>
      <c r="AF202" s="9"/>
      <c r="AG202" s="1"/>
      <c r="AH202" s="3"/>
    </row>
    <row r="203" spans="1:34" ht="34" x14ac:dyDescent="0.45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IF(LEN(A203)&gt;0, 상수!B$4, "")</f>
        <v/>
      </c>
      <c r="L203" s="1"/>
      <c r="M203" s="11" t="str">
        <f t="shared" si="34"/>
        <v xml:space="preserve">스핀들유격: </v>
      </c>
      <c r="N203" s="11" t="str">
        <f t="shared" si="34"/>
        <v xml:space="preserve">스핀들유격: </v>
      </c>
      <c r="O203" s="11" t="str">
        <f t="shared" si="34"/>
        <v xml:space="preserve">스핀들유격: </v>
      </c>
      <c r="P203" s="11" t="str">
        <f t="shared" si="34"/>
        <v xml:space="preserve">스핀들유격: </v>
      </c>
      <c r="Q203" s="11" t="str">
        <f t="shared" si="35"/>
        <v>000-000 :</v>
      </c>
      <c r="R203" s="11" t="str">
        <f t="shared" si="35"/>
        <v>000-000 :</v>
      </c>
      <c r="S203" s="11" t="str">
        <f t="shared" si="35"/>
        <v>000-000 :</v>
      </c>
      <c r="T203" s="11" t="str">
        <f t="shared" si="35"/>
        <v>000-000 :</v>
      </c>
      <c r="U203" s="11" t="str">
        <f t="shared" si="35"/>
        <v>000-000 :</v>
      </c>
      <c r="V203" s="11" t="str">
        <f t="shared" si="35"/>
        <v>000-000 :</v>
      </c>
      <c r="W203" s="11" t="str">
        <f t="shared" si="35"/>
        <v>000-000 :</v>
      </c>
      <c r="X203" s="11" t="str">
        <f t="shared" si="35"/>
        <v>000-000 :</v>
      </c>
      <c r="Y203" s="11" t="str">
        <f t="shared" si="36"/>
        <v>스핀들소음 :</v>
      </c>
      <c r="Z203" s="11" t="str">
        <f t="shared" si="37"/>
        <v>필터세척 :
FLOW   (T1, T4 : / T2, T3 : / T4 : )</v>
      </c>
      <c r="AA203" s="11" t="str">
        <f t="shared" si="38"/>
        <v/>
      </c>
      <c r="AB203" s="1"/>
      <c r="AC203" s="1"/>
      <c r="AD203" s="12"/>
      <c r="AE203" s="11" t="str">
        <f t="shared" si="39"/>
        <v/>
      </c>
      <c r="AF203" s="9"/>
      <c r="AG203" s="1"/>
      <c r="AH203" s="3"/>
    </row>
    <row r="204" spans="1:34" ht="34" x14ac:dyDescent="0.45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IF(LEN(A204)&gt;0, 상수!B$4, "")</f>
        <v/>
      </c>
      <c r="L204" s="1"/>
      <c r="M204" s="11" t="str">
        <f t="shared" si="34"/>
        <v xml:space="preserve">스핀들유격: </v>
      </c>
      <c r="N204" s="11" t="str">
        <f t="shared" si="34"/>
        <v xml:space="preserve">스핀들유격: </v>
      </c>
      <c r="O204" s="11" t="str">
        <f t="shared" si="34"/>
        <v xml:space="preserve">스핀들유격: </v>
      </c>
      <c r="P204" s="11" t="str">
        <f t="shared" si="34"/>
        <v xml:space="preserve">스핀들유격: </v>
      </c>
      <c r="Q204" s="11" t="str">
        <f t="shared" si="35"/>
        <v>000-000 :</v>
      </c>
      <c r="R204" s="11" t="str">
        <f t="shared" si="35"/>
        <v>000-000 :</v>
      </c>
      <c r="S204" s="11" t="str">
        <f t="shared" si="35"/>
        <v>000-000 :</v>
      </c>
      <c r="T204" s="11" t="str">
        <f t="shared" si="35"/>
        <v>000-000 :</v>
      </c>
      <c r="U204" s="11" t="str">
        <f t="shared" si="35"/>
        <v>000-000 :</v>
      </c>
      <c r="V204" s="11" t="str">
        <f t="shared" si="35"/>
        <v>000-000 :</v>
      </c>
      <c r="W204" s="11" t="str">
        <f t="shared" si="35"/>
        <v>000-000 :</v>
      </c>
      <c r="X204" s="11" t="str">
        <f t="shared" si="35"/>
        <v>000-000 :</v>
      </c>
      <c r="Y204" s="11" t="str">
        <f t="shared" si="36"/>
        <v>스핀들소음 :</v>
      </c>
      <c r="Z204" s="11" t="str">
        <f t="shared" si="37"/>
        <v>필터세척 :
FLOW   (T1, T4 : / T2, T3 : / T4 : )</v>
      </c>
      <c r="AA204" s="11" t="str">
        <f t="shared" si="38"/>
        <v/>
      </c>
      <c r="AB204" s="1"/>
      <c r="AC204" s="1"/>
      <c r="AD204" s="12"/>
      <c r="AE204" s="11" t="str">
        <f t="shared" si="39"/>
        <v/>
      </c>
      <c r="AF204" s="9"/>
      <c r="AG204" s="1"/>
      <c r="AH204" s="3"/>
    </row>
    <row r="205" spans="1:34" ht="34" x14ac:dyDescent="0.45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IF(LEN(A205)&gt;0, 상수!B$4, "")</f>
        <v/>
      </c>
      <c r="L205" s="1"/>
      <c r="M205" s="11" t="str">
        <f t="shared" si="34"/>
        <v xml:space="preserve">스핀들유격: </v>
      </c>
      <c r="N205" s="11" t="str">
        <f t="shared" si="34"/>
        <v xml:space="preserve">스핀들유격: </v>
      </c>
      <c r="O205" s="11" t="str">
        <f t="shared" si="34"/>
        <v xml:space="preserve">스핀들유격: </v>
      </c>
      <c r="P205" s="11" t="str">
        <f t="shared" si="34"/>
        <v xml:space="preserve">스핀들유격: </v>
      </c>
      <c r="Q205" s="11" t="str">
        <f t="shared" si="35"/>
        <v>000-000 :</v>
      </c>
      <c r="R205" s="11" t="str">
        <f t="shared" si="35"/>
        <v>000-000 :</v>
      </c>
      <c r="S205" s="11" t="str">
        <f t="shared" si="35"/>
        <v>000-000 :</v>
      </c>
      <c r="T205" s="11" t="str">
        <f t="shared" si="35"/>
        <v>000-000 :</v>
      </c>
      <c r="U205" s="11" t="str">
        <f t="shared" si="35"/>
        <v>000-000 :</v>
      </c>
      <c r="V205" s="11" t="str">
        <f t="shared" si="35"/>
        <v>000-000 :</v>
      </c>
      <c r="W205" s="11" t="str">
        <f t="shared" si="35"/>
        <v>000-000 :</v>
      </c>
      <c r="X205" s="11" t="str">
        <f t="shared" si="35"/>
        <v>000-000 :</v>
      </c>
      <c r="Y205" s="11" t="str">
        <f t="shared" si="36"/>
        <v>스핀들소음 :</v>
      </c>
      <c r="Z205" s="11" t="str">
        <f t="shared" si="37"/>
        <v>필터세척 :
FLOW   (T1, T4 : / T2, T3 : / T4 : )</v>
      </c>
      <c r="AA205" s="11" t="str">
        <f t="shared" si="38"/>
        <v/>
      </c>
      <c r="AB205" s="1"/>
      <c r="AC205" s="1"/>
      <c r="AD205" s="12"/>
      <c r="AE205" s="11" t="str">
        <f t="shared" si="39"/>
        <v/>
      </c>
      <c r="AF205" s="9"/>
      <c r="AG205" s="1"/>
      <c r="AH205" s="3"/>
    </row>
    <row r="206" spans="1:34" ht="60" customHeight="1" x14ac:dyDescent="0.45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 t="str">
        <f>IF(LEN(A206)&gt;0, 상수!B$4, "")</f>
        <v/>
      </c>
      <c r="L206" s="1"/>
      <c r="M206" s="11" t="str">
        <f t="shared" si="34"/>
        <v xml:space="preserve">스핀들유격: </v>
      </c>
      <c r="N206" s="11" t="str">
        <f t="shared" si="34"/>
        <v xml:space="preserve">스핀들유격: </v>
      </c>
      <c r="O206" s="11" t="str">
        <f t="shared" si="34"/>
        <v xml:space="preserve">스핀들유격: </v>
      </c>
      <c r="P206" s="11" t="str">
        <f t="shared" si="34"/>
        <v xml:space="preserve">스핀들유격: </v>
      </c>
      <c r="Q206" s="11" t="str">
        <f t="shared" si="35"/>
        <v>000-000 :</v>
      </c>
      <c r="R206" s="11" t="str">
        <f t="shared" si="35"/>
        <v>000-000 :</v>
      </c>
      <c r="S206" s="11" t="str">
        <f t="shared" si="35"/>
        <v>000-000 :</v>
      </c>
      <c r="T206" s="11" t="str">
        <f t="shared" si="35"/>
        <v>000-000 :</v>
      </c>
      <c r="U206" s="11" t="str">
        <f t="shared" si="35"/>
        <v>000-000 :</v>
      </c>
      <c r="V206" s="11" t="str">
        <f t="shared" si="35"/>
        <v>000-000 :</v>
      </c>
      <c r="W206" s="11" t="str">
        <f t="shared" si="35"/>
        <v>000-000 :</v>
      </c>
      <c r="X206" s="11" t="str">
        <f t="shared" si="35"/>
        <v>000-000 :</v>
      </c>
      <c r="Y206" s="11" t="str">
        <f t="shared" si="36"/>
        <v>스핀들소음 :</v>
      </c>
      <c r="Z206" s="11" t="str">
        <f t="shared" si="37"/>
        <v>필터세척 :
FLOW   (T1, T4 : / T2, T3 : / T4 : )</v>
      </c>
      <c r="AA206" s="11" t="str">
        <f t="shared" si="38"/>
        <v/>
      </c>
      <c r="AB206" s="1"/>
      <c r="AC206" s="1"/>
      <c r="AD206" s="12"/>
      <c r="AE206" s="11" t="str">
        <f t="shared" si="39"/>
        <v/>
      </c>
      <c r="AF206" s="9"/>
      <c r="AG206" s="1"/>
      <c r="AH206" s="3"/>
    </row>
    <row r="207" spans="1:34" ht="34" x14ac:dyDescent="0.45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 t="str">
        <f>IF(LEN(A207)&gt;0, 상수!B$4, "")</f>
        <v/>
      </c>
      <c r="L207" s="1"/>
      <c r="M207" s="11" t="str">
        <f t="shared" ref="M207:P214" si="40">IF(MOD($AD207,5)=0, "스핀들유격: ","-" )</f>
        <v xml:space="preserve">스핀들유격: </v>
      </c>
      <c r="N207" s="11" t="str">
        <f t="shared" si="40"/>
        <v xml:space="preserve">스핀들유격: </v>
      </c>
      <c r="O207" s="11" t="str">
        <f t="shared" si="40"/>
        <v xml:space="preserve">스핀들유격: </v>
      </c>
      <c r="P207" s="11" t="str">
        <f t="shared" si="40"/>
        <v xml:space="preserve">스핀들유격: </v>
      </c>
      <c r="Q207" s="11" t="str">
        <f t="shared" si="35"/>
        <v>000-000 :</v>
      </c>
      <c r="R207" s="11" t="str">
        <f t="shared" si="35"/>
        <v>000-000 :</v>
      </c>
      <c r="S207" s="11" t="str">
        <f t="shared" si="35"/>
        <v>000-000 :</v>
      </c>
      <c r="T207" s="11" t="str">
        <f t="shared" si="35"/>
        <v>000-000 :</v>
      </c>
      <c r="U207" s="11" t="str">
        <f t="shared" si="35"/>
        <v>000-000 :</v>
      </c>
      <c r="V207" s="11" t="str">
        <f t="shared" si="35"/>
        <v>000-000 :</v>
      </c>
      <c r="W207" s="11" t="str">
        <f t="shared" si="35"/>
        <v>000-000 :</v>
      </c>
      <c r="X207" s="11" t="str">
        <f t="shared" si="35"/>
        <v>000-000 :</v>
      </c>
      <c r="Y207" s="11" t="str">
        <f t="shared" si="36"/>
        <v>스핀들소음 :</v>
      </c>
      <c r="Z207" s="11" t="str">
        <f t="shared" si="37"/>
        <v>필터세척 :
FLOW   (T1, T4 : / T2, T3 : / T4 : )</v>
      </c>
      <c r="AA207" s="11" t="str">
        <f t="shared" si="38"/>
        <v/>
      </c>
      <c r="AB207" s="1"/>
      <c r="AC207" s="1"/>
      <c r="AD207" s="12"/>
      <c r="AE207" s="11" t="str">
        <f t="shared" si="39"/>
        <v/>
      </c>
      <c r="AF207" s="9"/>
      <c r="AG207" s="1"/>
      <c r="AH207" s="3"/>
    </row>
    <row r="208" spans="1:34" ht="34" x14ac:dyDescent="0.45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 t="str">
        <f>IF(LEN(A208)&gt;0, 상수!B$4, "")</f>
        <v/>
      </c>
      <c r="L208" s="1"/>
      <c r="M208" s="11" t="str">
        <f t="shared" si="40"/>
        <v xml:space="preserve">스핀들유격: </v>
      </c>
      <c r="N208" s="11" t="str">
        <f t="shared" si="40"/>
        <v xml:space="preserve">스핀들유격: </v>
      </c>
      <c r="O208" s="11" t="str">
        <f t="shared" si="40"/>
        <v xml:space="preserve">스핀들유격: </v>
      </c>
      <c r="P208" s="11" t="str">
        <f t="shared" si="40"/>
        <v xml:space="preserve">스핀들유격: </v>
      </c>
      <c r="Q208" s="11" t="str">
        <f t="shared" si="35"/>
        <v>000-000 :</v>
      </c>
      <c r="R208" s="11" t="str">
        <f t="shared" si="35"/>
        <v>000-000 :</v>
      </c>
      <c r="S208" s="11" t="str">
        <f t="shared" si="35"/>
        <v>000-000 :</v>
      </c>
      <c r="T208" s="11" t="str">
        <f t="shared" si="35"/>
        <v>000-000 :</v>
      </c>
      <c r="U208" s="11" t="str">
        <f t="shared" si="35"/>
        <v>000-000 :</v>
      </c>
      <c r="V208" s="11" t="str">
        <f t="shared" si="35"/>
        <v>000-000 :</v>
      </c>
      <c r="W208" s="11" t="str">
        <f t="shared" si="35"/>
        <v>000-000 :</v>
      </c>
      <c r="X208" s="11" t="str">
        <f t="shared" si="35"/>
        <v>000-000 :</v>
      </c>
      <c r="Y208" s="11" t="str">
        <f t="shared" si="36"/>
        <v>스핀들소음 :</v>
      </c>
      <c r="Z208" s="11" t="str">
        <f t="shared" si="37"/>
        <v>필터세척 :
FLOW   (T1, T4 : / T2, T3 : / T4 : )</v>
      </c>
      <c r="AA208" s="11" t="str">
        <f t="shared" si="38"/>
        <v/>
      </c>
      <c r="AB208" s="1"/>
      <c r="AC208" s="1"/>
      <c r="AD208" s="12"/>
      <c r="AE208" s="11" t="str">
        <f t="shared" si="39"/>
        <v/>
      </c>
      <c r="AF208" s="9"/>
      <c r="AG208" s="1"/>
      <c r="AH208" s="3"/>
    </row>
    <row r="209" spans="1:34" ht="34" x14ac:dyDescent="0.45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 t="str">
        <f>IF(LEN(A209)&gt;0, 상수!B$4, "")</f>
        <v/>
      </c>
      <c r="L209" s="1"/>
      <c r="M209" s="11" t="str">
        <f t="shared" si="40"/>
        <v xml:space="preserve">스핀들유격: </v>
      </c>
      <c r="N209" s="11" t="str">
        <f t="shared" si="40"/>
        <v xml:space="preserve">스핀들유격: </v>
      </c>
      <c r="O209" s="11" t="str">
        <f t="shared" si="40"/>
        <v xml:space="preserve">스핀들유격: </v>
      </c>
      <c r="P209" s="11" t="str">
        <f t="shared" si="40"/>
        <v xml:space="preserve">스핀들유격: </v>
      </c>
      <c r="Q209" s="11" t="str">
        <f t="shared" si="35"/>
        <v>000-000 :</v>
      </c>
      <c r="R209" s="11" t="str">
        <f t="shared" si="35"/>
        <v>000-000 :</v>
      </c>
      <c r="S209" s="11" t="str">
        <f t="shared" si="35"/>
        <v>000-000 :</v>
      </c>
      <c r="T209" s="11" t="str">
        <f t="shared" si="35"/>
        <v>000-000 :</v>
      </c>
      <c r="U209" s="11" t="str">
        <f t="shared" si="35"/>
        <v>000-000 :</v>
      </c>
      <c r="V209" s="11" t="str">
        <f t="shared" si="35"/>
        <v>000-000 :</v>
      </c>
      <c r="W209" s="11" t="str">
        <f t="shared" si="35"/>
        <v>000-000 :</v>
      </c>
      <c r="X209" s="11" t="str">
        <f t="shared" si="35"/>
        <v>000-000 :</v>
      </c>
      <c r="Y209" s="11" t="str">
        <f t="shared" si="36"/>
        <v>스핀들소음 :</v>
      </c>
      <c r="Z209" s="11" t="str">
        <f t="shared" si="37"/>
        <v>필터세척 :
FLOW   (T1, T4 : / T2, T3 : / T4 : )</v>
      </c>
      <c r="AA209" s="11" t="str">
        <f t="shared" si="38"/>
        <v/>
      </c>
      <c r="AB209" s="1"/>
      <c r="AC209" s="1"/>
      <c r="AD209" s="12"/>
      <c r="AE209" s="11" t="str">
        <f t="shared" si="39"/>
        <v/>
      </c>
      <c r="AF209" s="9"/>
      <c r="AG209" s="1"/>
      <c r="AH209" s="3"/>
    </row>
    <row r="210" spans="1:34" ht="34" x14ac:dyDescent="0.45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 t="str">
        <f>IF(LEN(A210)&gt;0, 상수!B$4, "")</f>
        <v/>
      </c>
      <c r="L210" s="1"/>
      <c r="M210" s="11" t="str">
        <f t="shared" si="40"/>
        <v xml:space="preserve">스핀들유격: </v>
      </c>
      <c r="N210" s="11" t="str">
        <f t="shared" si="40"/>
        <v xml:space="preserve">스핀들유격: </v>
      </c>
      <c r="O210" s="11" t="str">
        <f t="shared" si="40"/>
        <v xml:space="preserve">스핀들유격: </v>
      </c>
      <c r="P210" s="11" t="str">
        <f t="shared" si="40"/>
        <v xml:space="preserve">스핀들유격: </v>
      </c>
      <c r="Q210" s="11" t="str">
        <f t="shared" si="35"/>
        <v>000-000 :</v>
      </c>
      <c r="R210" s="11" t="str">
        <f t="shared" si="35"/>
        <v>000-000 :</v>
      </c>
      <c r="S210" s="11" t="str">
        <f t="shared" si="35"/>
        <v>000-000 :</v>
      </c>
      <c r="T210" s="11" t="str">
        <f t="shared" si="35"/>
        <v>000-000 :</v>
      </c>
      <c r="U210" s="11" t="str">
        <f t="shared" si="35"/>
        <v>000-000 :</v>
      </c>
      <c r="V210" s="11" t="str">
        <f t="shared" si="35"/>
        <v>000-000 :</v>
      </c>
      <c r="W210" s="11" t="str">
        <f t="shared" si="35"/>
        <v>000-000 :</v>
      </c>
      <c r="X210" s="11" t="str">
        <f t="shared" si="35"/>
        <v>000-000 :</v>
      </c>
      <c r="Y210" s="11" t="str">
        <f t="shared" si="36"/>
        <v>스핀들소음 :</v>
      </c>
      <c r="Z210" s="11" t="str">
        <f t="shared" si="37"/>
        <v>필터세척 :
FLOW   (T1, T4 : / T2, T3 : / T4 : )</v>
      </c>
      <c r="AA210" s="11" t="str">
        <f t="shared" si="38"/>
        <v/>
      </c>
      <c r="AB210" s="1"/>
      <c r="AC210" s="1"/>
      <c r="AD210" s="12"/>
      <c r="AE210" s="11" t="str">
        <f t="shared" si="39"/>
        <v/>
      </c>
      <c r="AF210" s="9"/>
      <c r="AG210" s="1"/>
      <c r="AH210" s="3"/>
    </row>
    <row r="211" spans="1:34" ht="34" x14ac:dyDescent="0.45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 t="str">
        <f>IF(LEN(A211)&gt;0, 상수!B$4, "")</f>
        <v/>
      </c>
      <c r="L211" s="1"/>
      <c r="M211" s="11" t="str">
        <f t="shared" si="40"/>
        <v xml:space="preserve">스핀들유격: </v>
      </c>
      <c r="N211" s="11" t="str">
        <f t="shared" si="40"/>
        <v xml:space="preserve">스핀들유격: </v>
      </c>
      <c r="O211" s="11" t="str">
        <f t="shared" si="40"/>
        <v xml:space="preserve">스핀들유격: </v>
      </c>
      <c r="P211" s="11" t="str">
        <f t="shared" si="40"/>
        <v xml:space="preserve">스핀들유격: </v>
      </c>
      <c r="Q211" s="11" t="str">
        <f t="shared" si="35"/>
        <v>000-000 :</v>
      </c>
      <c r="R211" s="11" t="str">
        <f t="shared" si="35"/>
        <v>000-000 :</v>
      </c>
      <c r="S211" s="11" t="str">
        <f t="shared" si="35"/>
        <v>000-000 :</v>
      </c>
      <c r="T211" s="11" t="str">
        <f t="shared" si="35"/>
        <v>000-000 :</v>
      </c>
      <c r="U211" s="11" t="str">
        <f t="shared" si="35"/>
        <v>000-000 :</v>
      </c>
      <c r="V211" s="11" t="str">
        <f t="shared" si="35"/>
        <v>000-000 :</v>
      </c>
      <c r="W211" s="11" t="str">
        <f t="shared" si="35"/>
        <v>000-000 :</v>
      </c>
      <c r="X211" s="11" t="str">
        <f t="shared" si="35"/>
        <v>000-000 :</v>
      </c>
      <c r="Y211" s="11" t="str">
        <f t="shared" si="36"/>
        <v>스핀들소음 :</v>
      </c>
      <c r="Z211" s="11" t="str">
        <f t="shared" si="37"/>
        <v>필터세척 :
FLOW   (T1, T4 : / T2, T3 : / T4 : )</v>
      </c>
      <c r="AA211" s="11" t="str">
        <f t="shared" si="38"/>
        <v/>
      </c>
      <c r="AB211" s="1"/>
      <c r="AC211" s="1"/>
      <c r="AD211" s="12"/>
      <c r="AE211" s="11" t="str">
        <f t="shared" si="39"/>
        <v/>
      </c>
      <c r="AF211" s="9"/>
      <c r="AG211" s="1"/>
      <c r="AH211" s="3"/>
    </row>
    <row r="212" spans="1:34" ht="34" x14ac:dyDescent="0.45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 t="str">
        <f>IF(LEN(A212)&gt;0, 상수!B$4, "")</f>
        <v/>
      </c>
      <c r="L212" s="1"/>
      <c r="M212" s="11" t="str">
        <f t="shared" si="40"/>
        <v xml:space="preserve">스핀들유격: </v>
      </c>
      <c r="N212" s="11" t="str">
        <f t="shared" si="40"/>
        <v xml:space="preserve">스핀들유격: </v>
      </c>
      <c r="O212" s="11" t="str">
        <f t="shared" si="40"/>
        <v xml:space="preserve">스핀들유격: </v>
      </c>
      <c r="P212" s="11" t="str">
        <f t="shared" si="40"/>
        <v xml:space="preserve">스핀들유격: </v>
      </c>
      <c r="Q212" s="11" t="str">
        <f t="shared" si="35"/>
        <v>000-000 :</v>
      </c>
      <c r="R212" s="11" t="str">
        <f t="shared" si="35"/>
        <v>000-000 :</v>
      </c>
      <c r="S212" s="11" t="str">
        <f t="shared" si="35"/>
        <v>000-000 :</v>
      </c>
      <c r="T212" s="11" t="str">
        <f t="shared" si="35"/>
        <v>000-000 :</v>
      </c>
      <c r="U212" s="11" t="str">
        <f t="shared" si="35"/>
        <v>000-000 :</v>
      </c>
      <c r="V212" s="11" t="str">
        <f t="shared" si="35"/>
        <v>000-000 :</v>
      </c>
      <c r="W212" s="11" t="str">
        <f t="shared" si="35"/>
        <v>000-000 :</v>
      </c>
      <c r="X212" s="11" t="str">
        <f t="shared" si="35"/>
        <v>000-000 :</v>
      </c>
      <c r="Y212" s="11" t="str">
        <f t="shared" si="36"/>
        <v>스핀들소음 :</v>
      </c>
      <c r="Z212" s="11" t="str">
        <f t="shared" si="37"/>
        <v>필터세척 :
FLOW   (T1, T4 : / T2, T3 : / T4 : )</v>
      </c>
      <c r="AA212" s="11" t="str">
        <f t="shared" si="38"/>
        <v/>
      </c>
      <c r="AB212" s="1"/>
      <c r="AC212" s="1"/>
      <c r="AD212" s="12"/>
      <c r="AE212" s="11" t="str">
        <f t="shared" si="39"/>
        <v/>
      </c>
      <c r="AF212" s="9"/>
      <c r="AG212" s="1"/>
      <c r="AH212" s="3"/>
    </row>
    <row r="213" spans="1:34" ht="34" x14ac:dyDescent="0.45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 t="str">
        <f>IF(LEN(A213)&gt;0, 상수!B$4, "")</f>
        <v/>
      </c>
      <c r="L213" s="1"/>
      <c r="M213" s="11" t="str">
        <f t="shared" si="40"/>
        <v xml:space="preserve">스핀들유격: </v>
      </c>
      <c r="N213" s="11" t="str">
        <f t="shared" si="40"/>
        <v xml:space="preserve">스핀들유격: </v>
      </c>
      <c r="O213" s="11" t="str">
        <f t="shared" si="40"/>
        <v xml:space="preserve">스핀들유격: </v>
      </c>
      <c r="P213" s="11" t="str">
        <f t="shared" si="40"/>
        <v xml:space="preserve">스핀들유격: </v>
      </c>
      <c r="Q213" s="11" t="str">
        <f t="shared" si="35"/>
        <v>000-000 :</v>
      </c>
      <c r="R213" s="11" t="str">
        <f t="shared" si="35"/>
        <v>000-000 :</v>
      </c>
      <c r="S213" s="11" t="str">
        <f t="shared" si="35"/>
        <v>000-000 :</v>
      </c>
      <c r="T213" s="11" t="str">
        <f t="shared" si="35"/>
        <v>000-000 :</v>
      </c>
      <c r="U213" s="11" t="str">
        <f t="shared" si="35"/>
        <v>000-000 :</v>
      </c>
      <c r="V213" s="11" t="str">
        <f t="shared" si="35"/>
        <v>000-000 :</v>
      </c>
      <c r="W213" s="11" t="str">
        <f t="shared" si="35"/>
        <v>000-000 :</v>
      </c>
      <c r="X213" s="11" t="str">
        <f t="shared" si="35"/>
        <v>000-000 :</v>
      </c>
      <c r="Y213" s="11" t="str">
        <f t="shared" si="36"/>
        <v>스핀들소음 :</v>
      </c>
      <c r="Z213" s="11" t="str">
        <f t="shared" si="37"/>
        <v>필터세척 :
FLOW   (T1, T4 : / T2, T3 : / T4 : )</v>
      </c>
      <c r="AA213" s="11" t="str">
        <f t="shared" si="38"/>
        <v/>
      </c>
      <c r="AB213" s="1"/>
      <c r="AC213" s="1"/>
      <c r="AD213" s="12"/>
      <c r="AE213" s="11" t="str">
        <f t="shared" si="39"/>
        <v/>
      </c>
      <c r="AF213" s="9"/>
      <c r="AG213" s="1"/>
      <c r="AH213" s="3"/>
    </row>
    <row r="214" spans="1:34" ht="34" x14ac:dyDescent="0.45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 t="str">
        <f>IF(LEN(A214)&gt;0, 상수!B$4, "")</f>
        <v/>
      </c>
      <c r="L214" s="1"/>
      <c r="M214" s="11" t="str">
        <f t="shared" si="40"/>
        <v xml:space="preserve">스핀들유격: </v>
      </c>
      <c r="N214" s="11" t="str">
        <f t="shared" si="40"/>
        <v xml:space="preserve">스핀들유격: </v>
      </c>
      <c r="O214" s="11" t="str">
        <f t="shared" si="40"/>
        <v xml:space="preserve">스핀들유격: </v>
      </c>
      <c r="P214" s="11" t="str">
        <f t="shared" si="40"/>
        <v xml:space="preserve">스핀들유격: </v>
      </c>
      <c r="Q214" s="11" t="str">
        <f t="shared" si="35"/>
        <v>000-000 :</v>
      </c>
      <c r="R214" s="11" t="str">
        <f t="shared" si="35"/>
        <v>000-000 :</v>
      </c>
      <c r="S214" s="11" t="str">
        <f t="shared" si="35"/>
        <v>000-000 :</v>
      </c>
      <c r="T214" s="11" t="str">
        <f t="shared" si="35"/>
        <v>000-000 :</v>
      </c>
      <c r="U214" s="11" t="str">
        <f t="shared" si="35"/>
        <v>000-000 :</v>
      </c>
      <c r="V214" s="11" t="str">
        <f t="shared" si="35"/>
        <v>000-000 :</v>
      </c>
      <c r="W214" s="11" t="str">
        <f t="shared" si="35"/>
        <v>000-000 :</v>
      </c>
      <c r="X214" s="11" t="str">
        <f t="shared" si="35"/>
        <v>000-000 :</v>
      </c>
      <c r="Y214" s="11" t="str">
        <f t="shared" si="36"/>
        <v>스핀들소음 :</v>
      </c>
      <c r="Z214" s="11" t="str">
        <f t="shared" si="37"/>
        <v>필터세척 :
FLOW   (T1, T4 : / T2, T3 : / T4 : )</v>
      </c>
      <c r="AA214" s="11" t="str">
        <f t="shared" si="38"/>
        <v/>
      </c>
      <c r="AB214" s="1"/>
      <c r="AC214" s="1"/>
      <c r="AD214" s="12"/>
      <c r="AE214" s="11" t="str">
        <f t="shared" si="39"/>
        <v/>
      </c>
      <c r="AF214" s="9"/>
      <c r="AG214" s="1"/>
      <c r="AH214" s="3"/>
    </row>
    <row r="215" spans="1:34" x14ac:dyDescent="0.45">
      <c r="A215" s="8" t="s">
        <v>22</v>
      </c>
      <c r="B215" s="8" t="s">
        <v>22</v>
      </c>
      <c r="C215" s="8" t="s">
        <v>22</v>
      </c>
      <c r="D215" s="8" t="s">
        <v>22</v>
      </c>
      <c r="E215" s="8" t="s">
        <v>22</v>
      </c>
      <c r="F215" s="8" t="s">
        <v>22</v>
      </c>
      <c r="G215" s="8" t="s">
        <v>22</v>
      </c>
      <c r="H215" s="8" t="s">
        <v>22</v>
      </c>
      <c r="I215" s="8" t="s">
        <v>22</v>
      </c>
      <c r="J215" s="8" t="s">
        <v>22</v>
      </c>
      <c r="K215" s="8" t="s">
        <v>22</v>
      </c>
      <c r="L215" s="8" t="s">
        <v>22</v>
      </c>
      <c r="M215" s="8" t="s">
        <v>22</v>
      </c>
      <c r="N215" s="8" t="s">
        <v>22</v>
      </c>
      <c r="O215" s="8" t="s">
        <v>22</v>
      </c>
      <c r="P215" s="8" t="s">
        <v>22</v>
      </c>
      <c r="Q215" s="8" t="s">
        <v>22</v>
      </c>
      <c r="R215" s="8" t="s">
        <v>22</v>
      </c>
      <c r="S215" s="8" t="s">
        <v>22</v>
      </c>
      <c r="T215" s="8" t="s">
        <v>22</v>
      </c>
      <c r="U215" s="8" t="s">
        <v>22</v>
      </c>
      <c r="V215" s="8" t="s">
        <v>22</v>
      </c>
      <c r="W215" s="8" t="s">
        <v>22</v>
      </c>
      <c r="X215" s="8" t="s">
        <v>22</v>
      </c>
      <c r="Y215" s="8" t="s">
        <v>22</v>
      </c>
      <c r="Z215" s="8" t="s">
        <v>22</v>
      </c>
      <c r="AA215" s="8" t="s">
        <v>22</v>
      </c>
      <c r="AB215" s="8" t="s">
        <v>22</v>
      </c>
      <c r="AC215" s="8" t="s">
        <v>22</v>
      </c>
      <c r="AD215" s="8" t="s">
        <v>22</v>
      </c>
      <c r="AE215" s="8" t="s">
        <v>22</v>
      </c>
      <c r="AF215" s="8" t="s">
        <v>22</v>
      </c>
      <c r="AG215" s="8" t="s">
        <v>22</v>
      </c>
      <c r="AH215" s="8" t="s">
        <v>22</v>
      </c>
    </row>
    <row r="216" spans="1:34" x14ac:dyDescent="0.45">
      <c r="AF216" s="9" t="s">
        <v>27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214">
    <cfRule type="containsText" dxfId="25" priority="7" operator="containsText" text="완료">
      <formula>NOT(ISERROR(SEARCH("완료",AF7)))</formula>
    </cfRule>
    <cfRule type="containsText" dxfId="24" priority="8" operator="containsText" text="중단">
      <formula>NOT(ISERROR(SEARCH("중단",AF7)))</formula>
    </cfRule>
  </conditionalFormatting>
  <conditionalFormatting sqref="D7 C14:E20 B7:B22 C8:D13">
    <cfRule type="containsText" dxfId="23" priority="5" operator="containsText" text="신품">
      <formula>NOT(ISERROR(SEARCH("신품",B7)))</formula>
    </cfRule>
    <cfRule type="containsText" dxfId="22" priority="6" operator="containsText" text="중고">
      <formula>NOT(ISERROR(SEARCH("중고",B7)))</formula>
    </cfRule>
  </conditionalFormatting>
  <conditionalFormatting sqref="E7:E13">
    <cfRule type="containsText" dxfId="21" priority="3" operator="containsText" text="신품">
      <formula>NOT(ISERROR(SEARCH("신품",E7)))</formula>
    </cfRule>
    <cfRule type="containsText" dxfId="20" priority="4" operator="containsText" text="중고">
      <formula>NOT(ISERROR(SEARCH("중고",E7)))</formula>
    </cfRule>
  </conditionalFormatting>
  <conditionalFormatting sqref="AF216">
    <cfRule type="containsText" dxfId="19" priority="1" operator="containsText" text="완료">
      <formula>NOT(ISERROR(SEARCH("완료",AF216)))</formula>
    </cfRule>
    <cfRule type="containsText" dxfId="18" priority="2" operator="containsText" text="중단">
      <formula>NOT(ISERROR(SEARCH("중단",AF216)))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상수</vt:lpstr>
      <vt:lpstr>작성 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2025-11-10T08:34:12Z</dcterms:modified>
</cp:coreProperties>
</file>