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"/>
    </mc:Choice>
  </mc:AlternateContent>
  <xr:revisionPtr revIDLastSave="0" documentId="13_ncr:1_{0BA3DFE8-0FF7-42AA-B11C-19AF5F84FD15}" xr6:coauthVersionLast="47" xr6:coauthVersionMax="47" xr10:uidLastSave="{00000000-0000-0000-0000-000000000000}"/>
  <bookViews>
    <workbookView xWindow="-110" yWindow="-110" windowWidth="25820" windowHeight="15500" firstSheet="1" activeTab="7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</sheets>
  <definedNames>
    <definedName name="_xlnm._FilterDatabase" localSheetId="1" hidden="1">'ES#8'!$A$2:$AQ$6</definedName>
    <definedName name="_xlnm._FilterDatabase" localSheetId="2" hidden="1">'ES#9'!$A$2:$AQ$6</definedName>
    <definedName name="_xlnm._FilterDatabase" localSheetId="3" hidden="1">'PP#2'!$A$2:$AQ$6</definedName>
    <definedName name="_xlnm._FilterDatabase" localSheetId="4" hidden="1">'PP#3'!$A$2:$AQ$6</definedName>
    <definedName name="_xlnm._FilterDatabase" localSheetId="5" hidden="1">'PP#4'!$A$2:$AQ$6</definedName>
    <definedName name="_xlnm._FilterDatabase" localSheetId="6" hidden="1">'PP#5'!$A$2:$AQ$6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10" l="1"/>
  <c r="B19" i="10"/>
  <c r="D13" i="16"/>
  <c r="D12" i="16"/>
  <c r="D11" i="16"/>
  <c r="D10" i="16"/>
  <c r="D9" i="16"/>
  <c r="D8" i="16"/>
  <c r="D7" i="16"/>
  <c r="D13" i="17"/>
  <c r="D12" i="17"/>
  <c r="D11" i="17"/>
  <c r="D10" i="17"/>
  <c r="D9" i="17"/>
  <c r="D8" i="17"/>
  <c r="D7" i="17"/>
  <c r="D13" i="15"/>
  <c r="D12" i="15"/>
  <c r="D11" i="15"/>
  <c r="D10" i="15"/>
  <c r="D9" i="15"/>
  <c r="D8" i="15"/>
  <c r="D7" i="15"/>
  <c r="D11" i="19"/>
  <c r="D10" i="19"/>
  <c r="D9" i="19"/>
  <c r="D8" i="19"/>
  <c r="D7" i="19"/>
  <c r="AC14" i="17"/>
  <c r="AB14" i="17"/>
  <c r="AA14" i="17"/>
  <c r="Z14" i="17"/>
  <c r="Y14" i="17"/>
  <c r="X14" i="17"/>
  <c r="W14" i="17"/>
  <c r="V14" i="17"/>
  <c r="AC13" i="17"/>
  <c r="AB13" i="17"/>
  <c r="AA13" i="17"/>
  <c r="Z13" i="17"/>
  <c r="Y13" i="17"/>
  <c r="X13" i="17"/>
  <c r="W13" i="17"/>
  <c r="V13" i="17"/>
  <c r="AC12" i="17"/>
  <c r="AB12" i="17"/>
  <c r="AA12" i="17"/>
  <c r="Z12" i="17"/>
  <c r="Y12" i="17"/>
  <c r="X12" i="17"/>
  <c r="W12" i="17"/>
  <c r="V12" i="17"/>
  <c r="AC11" i="17"/>
  <c r="AB11" i="17"/>
  <c r="AA11" i="17"/>
  <c r="Z11" i="17"/>
  <c r="AC10" i="17"/>
  <c r="AB10" i="17"/>
  <c r="AA10" i="17"/>
  <c r="Z10" i="17"/>
  <c r="Y10" i="17"/>
  <c r="X10" i="17"/>
  <c r="W10" i="17"/>
  <c r="V10" i="17"/>
  <c r="AC9" i="17"/>
  <c r="AB9" i="17"/>
  <c r="AA9" i="17"/>
  <c r="Z9" i="17"/>
  <c r="Y9" i="17"/>
  <c r="X9" i="17"/>
  <c r="W9" i="17"/>
  <c r="V9" i="17"/>
  <c r="AC8" i="17"/>
  <c r="AB8" i="17"/>
  <c r="AA8" i="17"/>
  <c r="Z8" i="17"/>
  <c r="Y8" i="17"/>
  <c r="X8" i="17"/>
  <c r="W8" i="17"/>
  <c r="V8" i="17"/>
  <c r="AC7" i="17"/>
  <c r="AB7" i="17"/>
  <c r="AA7" i="17"/>
  <c r="Z7" i="17"/>
  <c r="Y7" i="17"/>
  <c r="X7" i="17"/>
  <c r="W7" i="17"/>
  <c r="V7" i="17"/>
  <c r="AC14" i="16"/>
  <c r="AB14" i="16"/>
  <c r="AA14" i="16"/>
  <c r="Z14" i="16"/>
  <c r="Y14" i="16"/>
  <c r="X14" i="16"/>
  <c r="W14" i="16"/>
  <c r="V14" i="16"/>
  <c r="AC13" i="16"/>
  <c r="AB13" i="16"/>
  <c r="AA13" i="16"/>
  <c r="Z13" i="16"/>
  <c r="Y13" i="16"/>
  <c r="X13" i="16"/>
  <c r="W13" i="16"/>
  <c r="V13" i="16"/>
  <c r="AC12" i="16"/>
  <c r="AB12" i="16"/>
  <c r="AA12" i="16"/>
  <c r="Z12" i="16"/>
  <c r="Y12" i="16"/>
  <c r="X12" i="16"/>
  <c r="W12" i="16"/>
  <c r="V12" i="16"/>
  <c r="AC11" i="16"/>
  <c r="AB11" i="16"/>
  <c r="AA11" i="16"/>
  <c r="Z11" i="16"/>
  <c r="AC10" i="16"/>
  <c r="AB10" i="16"/>
  <c r="AA10" i="16"/>
  <c r="Z10" i="16"/>
  <c r="Y10" i="16"/>
  <c r="X10" i="16"/>
  <c r="W10" i="16"/>
  <c r="V10" i="16"/>
  <c r="AC9" i="16"/>
  <c r="AB9" i="16"/>
  <c r="AA9" i="16"/>
  <c r="Z9" i="16"/>
  <c r="Y9" i="16"/>
  <c r="X9" i="16"/>
  <c r="W9" i="16"/>
  <c r="V9" i="16"/>
  <c r="AC8" i="16"/>
  <c r="AB8" i="16"/>
  <c r="AA8" i="16"/>
  <c r="Z8" i="16"/>
  <c r="Y8" i="16"/>
  <c r="X8" i="16"/>
  <c r="W8" i="16"/>
  <c r="V8" i="16"/>
  <c r="AC7" i="16"/>
  <c r="AB7" i="16"/>
  <c r="AA7" i="16"/>
  <c r="Z7" i="16"/>
  <c r="Y7" i="16"/>
  <c r="X7" i="16"/>
  <c r="W7" i="16"/>
  <c r="V7" i="16"/>
  <c r="AC14" i="15"/>
  <c r="AB14" i="15"/>
  <c r="AA14" i="15"/>
  <c r="Z14" i="15"/>
  <c r="Y14" i="15"/>
  <c r="X14" i="15"/>
  <c r="W14" i="15"/>
  <c r="V14" i="15"/>
  <c r="AC13" i="15"/>
  <c r="AB13" i="15"/>
  <c r="AA13" i="15"/>
  <c r="Z13" i="15"/>
  <c r="Y13" i="15"/>
  <c r="X13" i="15"/>
  <c r="W13" i="15"/>
  <c r="V13" i="15"/>
  <c r="AC12" i="15"/>
  <c r="AB12" i="15"/>
  <c r="AA12" i="15"/>
  <c r="Z12" i="15"/>
  <c r="Y12" i="15"/>
  <c r="X12" i="15"/>
  <c r="W12" i="15"/>
  <c r="V12" i="15"/>
  <c r="AC10" i="15"/>
  <c r="AB10" i="15"/>
  <c r="AA10" i="15"/>
  <c r="Z10" i="15"/>
  <c r="Y10" i="15"/>
  <c r="X10" i="15"/>
  <c r="W10" i="15"/>
  <c r="V10" i="15"/>
  <c r="AC9" i="15"/>
  <c r="AB9" i="15"/>
  <c r="AA9" i="15"/>
  <c r="Z9" i="15"/>
  <c r="Y9" i="15"/>
  <c r="X9" i="15"/>
  <c r="W9" i="15"/>
  <c r="V9" i="15"/>
  <c r="AC8" i="15"/>
  <c r="AB8" i="15"/>
  <c r="AA8" i="15"/>
  <c r="Z8" i="15"/>
  <c r="Y8" i="15"/>
  <c r="X8" i="15"/>
  <c r="W8" i="15"/>
  <c r="V8" i="15"/>
  <c r="AC7" i="15"/>
  <c r="AB7" i="15"/>
  <c r="AA7" i="15"/>
  <c r="Z7" i="15"/>
  <c r="Y7" i="15"/>
  <c r="X7" i="15"/>
  <c r="W7" i="15"/>
  <c r="V7" i="15"/>
  <c r="AC14" i="2"/>
  <c r="AB14" i="2"/>
  <c r="AA14" i="2"/>
  <c r="Z14" i="2"/>
  <c r="Y14" i="2"/>
  <c r="X14" i="2"/>
  <c r="W14" i="2"/>
  <c r="V14" i="2"/>
  <c r="AC13" i="2"/>
  <c r="AB13" i="2"/>
  <c r="AA13" i="2"/>
  <c r="Z13" i="2"/>
  <c r="Y13" i="2"/>
  <c r="X13" i="2"/>
  <c r="W13" i="2"/>
  <c r="V13" i="2"/>
  <c r="AC12" i="2"/>
  <c r="AB12" i="2"/>
  <c r="AA12" i="2"/>
  <c r="Z12" i="2"/>
  <c r="Y12" i="2"/>
  <c r="X12" i="2"/>
  <c r="W12" i="2"/>
  <c r="V12" i="2"/>
  <c r="AC10" i="2"/>
  <c r="AB10" i="2"/>
  <c r="AA10" i="2"/>
  <c r="Z10" i="2"/>
  <c r="Y10" i="2"/>
  <c r="X10" i="2"/>
  <c r="W10" i="2"/>
  <c r="V10" i="2"/>
  <c r="AC9" i="2"/>
  <c r="AB9" i="2"/>
  <c r="AA9" i="2"/>
  <c r="Z9" i="2"/>
  <c r="Y9" i="2"/>
  <c r="X9" i="2"/>
  <c r="W9" i="2"/>
  <c r="V9" i="2"/>
  <c r="AC8" i="2"/>
  <c r="AB8" i="2"/>
  <c r="AA8" i="2"/>
  <c r="Z8" i="2"/>
  <c r="Y8" i="2"/>
  <c r="X8" i="2"/>
  <c r="W8" i="2"/>
  <c r="V8" i="2"/>
  <c r="AC7" i="2"/>
  <c r="AB7" i="2"/>
  <c r="AA7" i="2"/>
  <c r="Z7" i="2"/>
  <c r="Y7" i="2"/>
  <c r="X7" i="2"/>
  <c r="W7" i="2"/>
  <c r="V7" i="2"/>
  <c r="AC12" i="19"/>
  <c r="AB12" i="19"/>
  <c r="AA12" i="19"/>
  <c r="Z12" i="19"/>
  <c r="Y12" i="19"/>
  <c r="X12" i="19"/>
  <c r="W12" i="19"/>
  <c r="V12" i="19"/>
  <c r="AC10" i="19"/>
  <c r="AB10" i="19"/>
  <c r="AA10" i="19"/>
  <c r="Z10" i="19"/>
  <c r="Y10" i="19"/>
  <c r="X10" i="19"/>
  <c r="W10" i="19"/>
  <c r="V10" i="19"/>
  <c r="AC9" i="19"/>
  <c r="AB9" i="19"/>
  <c r="AA9" i="19"/>
  <c r="Z9" i="19"/>
  <c r="Y9" i="19"/>
  <c r="X9" i="19"/>
  <c r="W9" i="19"/>
  <c r="V9" i="19"/>
  <c r="AC8" i="19"/>
  <c r="AB8" i="19"/>
  <c r="AA8" i="19"/>
  <c r="Z8" i="19"/>
  <c r="Y8" i="19"/>
  <c r="X8" i="19"/>
  <c r="W8" i="19"/>
  <c r="V8" i="19"/>
  <c r="AC7" i="19"/>
  <c r="AB7" i="19"/>
  <c r="AA7" i="19"/>
  <c r="Z7" i="19"/>
  <c r="Y7" i="19"/>
  <c r="X7" i="19"/>
  <c r="W7" i="19"/>
  <c r="V7" i="19"/>
  <c r="AC12" i="18"/>
  <c r="AB12" i="18"/>
  <c r="AA12" i="18"/>
  <c r="Z12" i="18"/>
  <c r="Y12" i="18"/>
  <c r="X12" i="18"/>
  <c r="W12" i="18"/>
  <c r="V12" i="18"/>
  <c r="AC10" i="18"/>
  <c r="AB10" i="18"/>
  <c r="AA10" i="18"/>
  <c r="Z10" i="18"/>
  <c r="Y10" i="18"/>
  <c r="X10" i="18"/>
  <c r="W10" i="18"/>
  <c r="V10" i="18"/>
  <c r="AC9" i="18"/>
  <c r="AB9" i="18"/>
  <c r="AA9" i="18"/>
  <c r="Z9" i="18"/>
  <c r="Y9" i="18"/>
  <c r="X9" i="18"/>
  <c r="W9" i="18"/>
  <c r="V9" i="18"/>
  <c r="AC8" i="18"/>
  <c r="AB8" i="18"/>
  <c r="AA8" i="18"/>
  <c r="Z8" i="18"/>
  <c r="Y8" i="18"/>
  <c r="X8" i="18"/>
  <c r="W8" i="18"/>
  <c r="V8" i="18"/>
  <c r="AC7" i="18"/>
  <c r="AB7" i="18"/>
  <c r="AA7" i="18"/>
  <c r="Z7" i="18"/>
  <c r="Y7" i="18"/>
  <c r="X7" i="18"/>
  <c r="W7" i="18"/>
  <c r="V7" i="18"/>
  <c r="C13" i="15"/>
  <c r="AF13" i="15"/>
  <c r="AE13" i="15"/>
  <c r="AD13" i="15"/>
  <c r="U13" i="15"/>
  <c r="T13" i="15"/>
  <c r="S13" i="15"/>
  <c r="R13" i="15"/>
  <c r="P13" i="15"/>
  <c r="C13" i="16"/>
  <c r="AF13" i="16"/>
  <c r="AE13" i="16"/>
  <c r="AD13" i="16"/>
  <c r="U13" i="16"/>
  <c r="T13" i="16"/>
  <c r="S13" i="16"/>
  <c r="R13" i="16"/>
  <c r="P13" i="16"/>
  <c r="C13" i="17"/>
  <c r="AF13" i="17"/>
  <c r="AE13" i="17"/>
  <c r="AD13" i="17"/>
  <c r="U13" i="17"/>
  <c r="T13" i="17"/>
  <c r="S13" i="17"/>
  <c r="R13" i="17"/>
  <c r="P13" i="17"/>
  <c r="D13" i="2"/>
  <c r="C13" i="2"/>
  <c r="AF13" i="2"/>
  <c r="AE13" i="2"/>
  <c r="AD13" i="2"/>
  <c r="U13" i="2"/>
  <c r="T13" i="2"/>
  <c r="S13" i="2"/>
  <c r="R13" i="2"/>
  <c r="P13" i="2"/>
  <c r="AD12" i="19"/>
  <c r="U12" i="19"/>
  <c r="T12" i="19"/>
  <c r="S12" i="19"/>
  <c r="R12" i="19"/>
  <c r="AD12" i="18"/>
  <c r="AE12" i="18"/>
  <c r="AF12" i="18"/>
  <c r="U12" i="18"/>
  <c r="T12" i="18"/>
  <c r="S12" i="18"/>
  <c r="R12" i="18"/>
  <c r="C12" i="19"/>
  <c r="AF12" i="19"/>
  <c r="AE12" i="19"/>
  <c r="P12" i="19"/>
  <c r="C12" i="18"/>
  <c r="P12" i="18"/>
  <c r="P8" i="18"/>
  <c r="P9" i="18"/>
  <c r="P10" i="18"/>
  <c r="P11" i="18"/>
  <c r="P8" i="19"/>
  <c r="P9" i="19"/>
  <c r="P10" i="19"/>
  <c r="P11" i="19"/>
  <c r="P8" i="2"/>
  <c r="P9" i="2"/>
  <c r="P10" i="2"/>
  <c r="P11" i="2"/>
  <c r="P12" i="2"/>
  <c r="P14" i="2"/>
  <c r="P8" i="15"/>
  <c r="P9" i="15"/>
  <c r="P10" i="15"/>
  <c r="P11" i="15"/>
  <c r="P12" i="15"/>
  <c r="P14" i="15"/>
  <c r="P8" i="16"/>
  <c r="P9" i="16"/>
  <c r="P10" i="16"/>
  <c r="P11" i="16"/>
  <c r="P12" i="16"/>
  <c r="P14" i="16"/>
  <c r="P8" i="17"/>
  <c r="P9" i="17"/>
  <c r="P10" i="17"/>
  <c r="P11" i="17"/>
  <c r="P12" i="17"/>
  <c r="P14" i="17"/>
  <c r="P7" i="18"/>
  <c r="P7" i="19"/>
  <c r="P7" i="2"/>
  <c r="P7" i="15"/>
  <c r="P7" i="16"/>
  <c r="P7" i="17"/>
  <c r="C11" i="19"/>
  <c r="AF11" i="19"/>
  <c r="AE11" i="19"/>
  <c r="D11" i="18"/>
  <c r="C11" i="18"/>
  <c r="AF11" i="18"/>
  <c r="AE11" i="18"/>
  <c r="B5" i="10"/>
  <c r="C5" i="10"/>
  <c r="D5" i="10"/>
  <c r="E5" i="10"/>
  <c r="F5" i="10"/>
  <c r="G5" i="10"/>
  <c r="G4" i="10"/>
  <c r="F4" i="10"/>
  <c r="E4" i="10"/>
  <c r="D4" i="10"/>
  <c r="C4" i="10"/>
  <c r="B4" i="10"/>
  <c r="G14" i="10"/>
  <c r="F14" i="10"/>
  <c r="E14" i="10"/>
  <c r="D14" i="10"/>
  <c r="B14" i="10"/>
  <c r="C14" i="10"/>
  <c r="C12" i="15"/>
  <c r="AF12" i="15"/>
  <c r="AE12" i="15"/>
  <c r="AD12" i="15"/>
  <c r="U12" i="15"/>
  <c r="T12" i="15"/>
  <c r="S12" i="15"/>
  <c r="R12" i="15"/>
  <c r="C12" i="16"/>
  <c r="AF12" i="16"/>
  <c r="AE12" i="16"/>
  <c r="AD12" i="16"/>
  <c r="U12" i="16"/>
  <c r="T12" i="16"/>
  <c r="S12" i="16"/>
  <c r="R12" i="16"/>
  <c r="C12" i="17"/>
  <c r="AF12" i="17"/>
  <c r="AE12" i="17"/>
  <c r="AD12" i="17"/>
  <c r="U12" i="17"/>
  <c r="T12" i="17"/>
  <c r="S12" i="17"/>
  <c r="R12" i="17"/>
  <c r="D12" i="2"/>
  <c r="C12" i="2"/>
  <c r="AF12" i="2"/>
  <c r="AE12" i="2"/>
  <c r="AD12" i="2"/>
  <c r="U12" i="2"/>
  <c r="T12" i="2"/>
  <c r="S12" i="2"/>
  <c r="R12" i="2"/>
  <c r="C11" i="15"/>
  <c r="AF11" i="15"/>
  <c r="AE11" i="15"/>
  <c r="C11" i="16"/>
  <c r="AF11" i="16"/>
  <c r="AE11" i="16"/>
  <c r="C11" i="17"/>
  <c r="AF11" i="17"/>
  <c r="AE11" i="17"/>
  <c r="D11" i="2"/>
  <c r="C11" i="2"/>
  <c r="AF11" i="2"/>
  <c r="AE11" i="2"/>
  <c r="D10" i="18"/>
  <c r="C10" i="18"/>
  <c r="AF10" i="18"/>
  <c r="AE10" i="18"/>
  <c r="AD10" i="18"/>
  <c r="U10" i="18"/>
  <c r="T10" i="18"/>
  <c r="S10" i="18"/>
  <c r="R10" i="18"/>
  <c r="C10" i="19"/>
  <c r="AF10" i="19"/>
  <c r="AE10" i="19"/>
  <c r="AD10" i="19"/>
  <c r="U10" i="19"/>
  <c r="T10" i="19"/>
  <c r="S10" i="19"/>
  <c r="R10" i="19"/>
  <c r="C10" i="16"/>
  <c r="AF10" i="16"/>
  <c r="AE10" i="16"/>
  <c r="AD10" i="16"/>
  <c r="U10" i="16"/>
  <c r="T10" i="16"/>
  <c r="S10" i="16"/>
  <c r="R10" i="16"/>
  <c r="C10" i="17"/>
  <c r="AF10" i="17"/>
  <c r="AE10" i="17"/>
  <c r="AD10" i="17"/>
  <c r="U10" i="17"/>
  <c r="T10" i="17"/>
  <c r="S10" i="17"/>
  <c r="R10" i="17"/>
  <c r="C10" i="15"/>
  <c r="AF10" i="15"/>
  <c r="AE10" i="15"/>
  <c r="AD10" i="15"/>
  <c r="U10" i="15"/>
  <c r="T10" i="15"/>
  <c r="S10" i="15"/>
  <c r="R10" i="15"/>
  <c r="R14" i="2"/>
  <c r="S14" i="2"/>
  <c r="T14" i="2"/>
  <c r="U14" i="2"/>
  <c r="AD14" i="2"/>
  <c r="AE14" i="2"/>
  <c r="AF14" i="2"/>
  <c r="C14" i="2"/>
  <c r="C9" i="19"/>
  <c r="AF9" i="19"/>
  <c r="AE9" i="19"/>
  <c r="AD9" i="19"/>
  <c r="U9" i="19"/>
  <c r="T9" i="19"/>
  <c r="S9" i="19"/>
  <c r="R9" i="19"/>
  <c r="C8" i="19"/>
  <c r="AF8" i="19"/>
  <c r="AE8" i="19"/>
  <c r="AD8" i="19"/>
  <c r="U8" i="19"/>
  <c r="T8" i="19"/>
  <c r="S8" i="19"/>
  <c r="R8" i="19"/>
  <c r="C7" i="19"/>
  <c r="AF7" i="19"/>
  <c r="AE7" i="19"/>
  <c r="AD7" i="19"/>
  <c r="U7" i="19"/>
  <c r="T7" i="19"/>
  <c r="S7" i="19"/>
  <c r="R7" i="19"/>
  <c r="D9" i="18"/>
  <c r="C9" i="18"/>
  <c r="AF9" i="18"/>
  <c r="AE9" i="18"/>
  <c r="AD9" i="18"/>
  <c r="U9" i="18"/>
  <c r="T9" i="18"/>
  <c r="S9" i="18"/>
  <c r="R9" i="18"/>
  <c r="D8" i="18"/>
  <c r="C8" i="18"/>
  <c r="AF8" i="18"/>
  <c r="AE8" i="18"/>
  <c r="AD8" i="18"/>
  <c r="U8" i="18"/>
  <c r="T8" i="18"/>
  <c r="S8" i="18"/>
  <c r="R8" i="18"/>
  <c r="D7" i="18"/>
  <c r="C7" i="18"/>
  <c r="AF7" i="18"/>
  <c r="AE7" i="18"/>
  <c r="AD7" i="18"/>
  <c r="U7" i="18"/>
  <c r="T7" i="18"/>
  <c r="S7" i="18"/>
  <c r="R7" i="18"/>
  <c r="C14" i="17"/>
  <c r="AF14" i="17"/>
  <c r="AE14" i="17"/>
  <c r="AD14" i="17"/>
  <c r="U14" i="17"/>
  <c r="T14" i="17"/>
  <c r="S14" i="17"/>
  <c r="R14" i="17"/>
  <c r="C9" i="17"/>
  <c r="AF9" i="17"/>
  <c r="AE9" i="17"/>
  <c r="AD9" i="17"/>
  <c r="U9" i="17"/>
  <c r="T9" i="17"/>
  <c r="S9" i="17"/>
  <c r="R9" i="17"/>
  <c r="C8" i="17"/>
  <c r="AF8" i="17"/>
  <c r="AE8" i="17"/>
  <c r="AD8" i="17"/>
  <c r="U8" i="17"/>
  <c r="T8" i="17"/>
  <c r="S8" i="17"/>
  <c r="R8" i="17"/>
  <c r="C7" i="17"/>
  <c r="AF7" i="17"/>
  <c r="AE7" i="17"/>
  <c r="AD7" i="17"/>
  <c r="U7" i="17"/>
  <c r="T7" i="17"/>
  <c r="S7" i="17"/>
  <c r="R7" i="17"/>
  <c r="C14" i="16"/>
  <c r="AF14" i="16"/>
  <c r="AE14" i="16"/>
  <c r="AD14" i="16"/>
  <c r="U14" i="16"/>
  <c r="T14" i="16"/>
  <c r="S14" i="16"/>
  <c r="R14" i="16"/>
  <c r="C9" i="16"/>
  <c r="AF9" i="16"/>
  <c r="AE9" i="16"/>
  <c r="AD9" i="16"/>
  <c r="U9" i="16"/>
  <c r="T9" i="16"/>
  <c r="S9" i="16"/>
  <c r="R9" i="16"/>
  <c r="C8" i="16"/>
  <c r="AF8" i="16"/>
  <c r="AE8" i="16"/>
  <c r="AD8" i="16"/>
  <c r="U8" i="16"/>
  <c r="T8" i="16"/>
  <c r="S8" i="16"/>
  <c r="R8" i="16"/>
  <c r="C7" i="16"/>
  <c r="AF7" i="16"/>
  <c r="AE7" i="16"/>
  <c r="AD7" i="16"/>
  <c r="U7" i="16"/>
  <c r="T7" i="16"/>
  <c r="S7" i="16"/>
  <c r="R7" i="16"/>
  <c r="C14" i="15"/>
  <c r="AF14" i="15"/>
  <c r="AE14" i="15"/>
  <c r="AD14" i="15"/>
  <c r="U14" i="15"/>
  <c r="T14" i="15"/>
  <c r="S14" i="15"/>
  <c r="R14" i="15"/>
  <c r="C9" i="15"/>
  <c r="AF9" i="15"/>
  <c r="AE9" i="15"/>
  <c r="AD9" i="15"/>
  <c r="U9" i="15"/>
  <c r="T9" i="15"/>
  <c r="S9" i="15"/>
  <c r="R9" i="15"/>
  <c r="C8" i="15"/>
  <c r="AF8" i="15"/>
  <c r="AE8" i="15"/>
  <c r="AD8" i="15"/>
  <c r="U8" i="15"/>
  <c r="T8" i="15"/>
  <c r="S8" i="15"/>
  <c r="R8" i="15"/>
  <c r="C7" i="15"/>
  <c r="AF7" i="15"/>
  <c r="AE7" i="15"/>
  <c r="AD7" i="15"/>
  <c r="U7" i="15"/>
  <c r="T7" i="15"/>
  <c r="S7" i="15"/>
  <c r="R7" i="15"/>
  <c r="R9" i="2"/>
  <c r="S9" i="2"/>
  <c r="T9" i="2"/>
  <c r="U9" i="2"/>
  <c r="AD9" i="2"/>
  <c r="AE9" i="2"/>
  <c r="AF9" i="2"/>
  <c r="C9" i="2"/>
  <c r="D9" i="2"/>
  <c r="R7" i="2"/>
  <c r="D8" i="2"/>
  <c r="D10" i="2"/>
  <c r="D7" i="2"/>
  <c r="C7" i="2"/>
  <c r="C8" i="2"/>
  <c r="C10" i="2"/>
  <c r="U10" i="2"/>
  <c r="U8" i="2"/>
  <c r="U7" i="2"/>
  <c r="T10" i="2"/>
  <c r="T8" i="2"/>
  <c r="T7" i="2"/>
  <c r="S10" i="2"/>
  <c r="S8" i="2"/>
  <c r="S7" i="2"/>
  <c r="R8" i="2"/>
  <c r="R10" i="2"/>
  <c r="AE8" i="2"/>
  <c r="AE10" i="2"/>
  <c r="AE7" i="2"/>
  <c r="AF7" i="2"/>
  <c r="AF8" i="2"/>
  <c r="AF10" i="2"/>
  <c r="AD8" i="2"/>
  <c r="AD10" i="2"/>
  <c r="AD7" i="2"/>
  <c r="B9" i="10" l="1"/>
  <c r="E9" i="10"/>
  <c r="C13" i="10"/>
  <c r="F9" i="10"/>
  <c r="H4" i="10"/>
  <c r="D9" i="10"/>
  <c r="H5" i="10"/>
  <c r="D13" i="10"/>
  <c r="G9" i="10"/>
  <c r="C9" i="10"/>
  <c r="B13" i="10"/>
  <c r="E13" i="10"/>
  <c r="F13" i="10"/>
  <c r="G13" i="10"/>
  <c r="H14" i="10"/>
  <c r="H13" i="10" l="1"/>
  <c r="H9" i="10"/>
  <c r="B21" i="10" l="1"/>
</calcChain>
</file>

<file path=xl/sharedStrings.xml><?xml version="1.0" encoding="utf-8"?>
<sst xmlns="http://schemas.openxmlformats.org/spreadsheetml/2006/main" count="992" uniqueCount="115">
  <si>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</si>
  <si>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</si>
  <si>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</si>
  <si>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</si>
  <si>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</si>
  <si>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</si>
  <si>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</si>
  <si>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</si>
  <si>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</si>
  <si>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비고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</si>
  <si>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</si>
  <si>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</si>
  <si>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</si>
  <si>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</si>
  <si>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</si>
  <si>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</si>
  <si>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</si>
  <si>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</si>
  <si>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가공시간(분단위 반올림)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</si>
  <si>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</si>
  <si>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</si>
  <si>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</si>
  <si>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</si>
  <si>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</si>
  <si>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</si>
  <si>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</si>
  <si>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</si>
  <si>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</si>
  <si>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</si>
  <si>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</si>
  <si>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</si>
  <si>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</si>
  <si>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</si>
  <si>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</si>
  <si>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35000 RPM Current(min-max) and 스핀들 소음</t>
    <phoneticPr fontId="1" type="noConversion"/>
  </si>
  <si>
    <t>실험가정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</si>
  <si>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</si>
  <si>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</si>
  <si>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</si>
  <si>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</si>
  <si>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</si>
  <si>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</si>
  <si>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</si>
  <si>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</si>
  <si>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19분</t>
    <phoneticPr fontId="1" type="noConversion"/>
  </si>
  <si>
    <t>21분</t>
    <phoneticPr fontId="1" type="noConversion"/>
  </si>
  <si>
    <t>버교체 주기</t>
    <phoneticPr fontId="1" type="noConversion"/>
  </si>
  <si>
    <t>통계</t>
    <phoneticPr fontId="1" type="noConversion"/>
  </si>
  <si>
    <t>스핀들 유격 점검</t>
    <phoneticPr fontId="1" type="noConversion"/>
  </si>
  <si>
    <t>23분</t>
    <phoneticPr fontId="1" type="noConversion"/>
  </si>
  <si>
    <t>스핀들유격: 적정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</si>
  <si>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</si>
  <si>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</si>
  <si>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</si>
  <si>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</si>
  <si>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2025-11-10 가공수량</t>
    <phoneticPr fontId="1" type="noConversion"/>
  </si>
  <si>
    <t>2025-11 가공수량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</si>
  <si>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</si>
  <si>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</si>
  <si>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</si>
  <si>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</si>
  <si>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</si>
  <si>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</si>
  <si>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2025-11-11 가공수량</t>
    <phoneticPr fontId="1" type="noConversion"/>
  </si>
  <si>
    <t>2025-11 가공수량(크로스체크용 수식)</t>
    <phoneticPr fontId="1" type="noConversion"/>
  </si>
  <si>
    <t>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</si>
  <si>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가공일 수</t>
    <phoneticPr fontId="1" type="noConversion"/>
  </si>
  <si>
    <t>일별가공수량 합계</t>
    <phoneticPr fontId="1" type="noConversion"/>
  </si>
  <si>
    <t xml:space="preserve">*산출식 : 일평균 가공수량=가공일 수 *  </t>
    <phoneticPr fontId="1" type="noConversion"/>
  </si>
  <si>
    <t>기대</t>
  </si>
  <si>
    <t>실험통제변수</t>
    <phoneticPr fontId="1" type="noConversion"/>
  </si>
  <si>
    <t>일별 가공기 전수 가공수량</t>
    <phoneticPr fontId="1" type="noConversion"/>
  </si>
  <si>
    <t>월별 가공기 개별 가공수량</t>
    <phoneticPr fontId="1" type="noConversion"/>
  </si>
  <si>
    <t>일별 가공기 개별 가공수량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</si>
  <si>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</si>
  <si>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</si>
  <si>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</si>
  <si>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</si>
  <si>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</si>
  <si>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</si>
  <si>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</si>
  <si>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</si>
  <si>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스핀들소음: 적정</t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</si>
  <si>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</si>
  <si>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</si>
  <si>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</si>
  <si>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</si>
  <si>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</si>
  <si>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</si>
  <si>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</si>
  <si>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</si>
  <si>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</si>
  <si>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</si>
  <si>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</si>
  <si>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</si>
  <si>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</si>
  <si>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</si>
  <si>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</si>
  <si>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</si>
  <si>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</si>
  <si>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</si>
  <si>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</si>
  <si>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</si>
  <si>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</si>
  <si>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</si>
  <si>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</si>
  <si>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</si>
  <si>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>진행중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</si>
  <si>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</si>
  <si>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</si>
  <si>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</si>
  <si>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실험 적용</t>
    <phoneticPr fontId="1" type="noConversion"/>
  </si>
  <si>
    <t>2025-11-10 이후 가공기별 누적가공수량</t>
    <phoneticPr fontId="1" type="noConversion"/>
  </si>
  <si>
    <t>*일평균 가공수량</t>
    <phoneticPr fontId="1" type="noConversion"/>
  </si>
  <si>
    <t>*관심지표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</si>
</sst>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/>
      <bottom style="thin">
        <color rgb="FF7F7F7F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2" borderId="15" applyNumberFormat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0" fontId="0" fillId="0" borderId="11" xfId="0" applyBorder="1">
      <alignment vertical="center"/>
    </xf>
    <xf numFmtId="14" fontId="0" fillId="0" borderId="4" xfId="0" applyNumberFormat="1" applyBorder="1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vertical="center"/>
    </xf>
    <xf numFmtId="0" fontId="0" fillId="0" borderId="1" xfId="0" applyBorder="1">
      <alignment vertical="center"/>
    </xf>
    <xf numFmtId="0" fontId="6" fillId="2" borderId="15" xfId="2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6" fillId="2" borderId="15" xfId="2" applyBorder="1">
      <alignment vertical="center"/>
    </xf>
    <xf numFmtId="0" fontId="6" fillId="2" borderId="16" xfId="2" applyBorder="1">
      <alignment vertical="center"/>
    </xf>
    <xf numFmtId="0" fontId="0" fillId="0" borderId="0" xfId="0" applyBorder="1" applyAlignment="1">
      <alignment horizontal="center" vertical="center"/>
    </xf>
    <xf numFmtId="0" fontId="6" fillId="2" borderId="17" xfId="2" applyBorder="1">
      <alignment vertical="center"/>
    </xf>
    <xf numFmtId="0" fontId="6" fillId="2" borderId="1" xfId="2" applyBorder="1">
      <alignment vertical="center"/>
    </xf>
    <xf numFmtId="0" fontId="6" fillId="2" borderId="18" xfId="2" applyBorder="1">
      <alignment vertical="center"/>
    </xf>
    <xf numFmtId="0" fontId="6" fillId="2" borderId="19" xfId="2" applyBorder="1">
      <alignment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2" fillId="0" borderId="4" xfId="1" applyBorder="1">
      <alignment vertical="center"/>
    </xf>
    <xf numFmtId="0" fontId="2" fillId="0" borderId="9" xfId="1" applyBorder="1">
      <alignment vertical="center"/>
    </xf>
    <xf numFmtId="0" fontId="2" fillId="0" borderId="1" xfId="1" applyBorder="1">
      <alignment vertical="center"/>
    </xf>
    <xf numFmtId="0" fontId="7" fillId="0" borderId="1" xfId="1" applyFont="1" applyBorder="1">
      <alignment vertical="center"/>
    </xf>
    <xf numFmtId="0" fontId="2" fillId="0" borderId="1" xfId="1" applyFill="1" applyBorder="1" applyAlignment="1">
      <alignment horizontal="center" vertical="center"/>
    </xf>
    <xf numFmtId="0" fontId="6" fillId="2" borderId="20" xfId="2" applyBorder="1">
      <alignment vertical="center"/>
    </xf>
    <xf numFmtId="0" fontId="7" fillId="0" borderId="1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/>
    </xf>
    <xf numFmtId="0" fontId="4" fillId="2" borderId="5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4" fillId="2" borderId="9" xfId="1" applyFont="1" applyFill="1" applyBorder="1" applyAlignment="1">
      <alignment vertical="center"/>
    </xf>
    <xf numFmtId="0" fontId="4" fillId="2" borderId="10" xfId="1" applyFont="1" applyFill="1" applyBorder="1" applyAlignment="1">
      <alignment vertical="center"/>
    </xf>
    <xf numFmtId="0" fontId="4" fillId="2" borderId="12" xfId="1" applyFont="1" applyFill="1" applyBorder="1" applyAlignment="1">
      <alignment vertical="center"/>
    </xf>
    <xf numFmtId="0" fontId="2" fillId="3" borderId="0" xfId="1" applyFill="1" applyBorder="1" applyAlignment="1">
      <alignment horizontal="center" vertical="center"/>
    </xf>
    <xf numFmtId="0" fontId="3" fillId="2" borderId="14" xfId="1" applyFont="1" applyFill="1" applyBorder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0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5" borderId="10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>
      <alignment vertical="center"/>
    </xf>
  </cellXfs>
  <cellStyles count="3">
    <cellStyle name="계산" xfId="2" builtinId="22"/>
    <cellStyle name="설명 텍스트" xfId="1" builtinId="53"/>
    <cellStyle name="표준" xfId="0" builtinId="0"/>
  </cellStyles>
  <dxfs count="202"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12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dimension ref="A1:AQ19"/>
  <sheetViews>
    <sheetView zoomScale="67" workbookViewId="0">
      <selection activeCell="A12" sqref="A12"/>
    </sheetView>
  </sheetViews>
  <sheetFormatPr defaultRowHeight="17" x14ac:dyDescent="0.45"/>
  <cols>
    <col min="1" max="1" width="11.33203125" bestFit="1" customWidth="1"/>
    <col min="2" max="2" width="11.4140625" style="6" customWidth="1"/>
    <col min="3" max="3" width="44.1640625" customWidth="1"/>
    <col min="4" max="4" width="12.9140625" style="6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75" t="s">
        <v>20</v>
      </c>
      <c r="B1" s="74"/>
      <c r="C1" s="76"/>
      <c r="D1" s="76"/>
      <c r="E1" s="76"/>
      <c r="F1" s="77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</row>
    <row r="2" spans="1:43" x14ac:dyDescent="0.45">
      <c r="A2" s="34" t="s">
        <v>11</v>
      </c>
      <c r="B2" s="89" t="s">
        <v>108</v>
      </c>
      <c r="C2" s="90"/>
      <c r="D2" s="90"/>
      <c r="E2" s="90"/>
      <c r="F2" s="91"/>
      <c r="G2" s="34" t="s">
        <v>111</v>
      </c>
      <c r="H2" s="34"/>
      <c r="I2" s="34"/>
      <c r="J2" s="34"/>
      <c r="K2" s="34"/>
      <c r="L2" s="34"/>
      <c r="M2" s="34"/>
      <c r="N2" s="34"/>
      <c r="O2" s="34"/>
      <c r="P2" s="34"/>
      <c r="Q2" s="39" t="s">
        <v>27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  <c r="AG2" s="39" t="s">
        <v>10</v>
      </c>
      <c r="AH2" s="41"/>
    </row>
    <row r="3" spans="1:43" x14ac:dyDescent="0.45">
      <c r="A3" s="34"/>
      <c r="B3" s="92"/>
      <c r="C3" s="93"/>
      <c r="D3" s="93"/>
      <c r="E3" s="93"/>
      <c r="F3" s="94"/>
      <c r="G3" s="34"/>
      <c r="H3" s="34"/>
      <c r="I3" s="34"/>
      <c r="J3" s="34"/>
      <c r="K3" s="34"/>
      <c r="L3" s="34"/>
      <c r="M3" s="34"/>
      <c r="N3" s="34"/>
      <c r="O3" s="34"/>
      <c r="P3" s="34"/>
      <c r="Q3" s="42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  <c r="AG3" s="45"/>
      <c r="AH3" s="46"/>
    </row>
    <row r="4" spans="1:43" x14ac:dyDescent="0.45">
      <c r="A4" s="34"/>
      <c r="B4" s="92"/>
      <c r="C4" s="93"/>
      <c r="D4" s="93"/>
      <c r="E4" s="93"/>
      <c r="F4" s="94"/>
      <c r="G4" s="34"/>
      <c r="H4" s="34"/>
      <c r="I4" s="34"/>
      <c r="J4" s="34"/>
      <c r="K4" s="34"/>
      <c r="L4" s="34"/>
      <c r="M4" s="34"/>
      <c r="N4" s="34"/>
      <c r="O4" s="34"/>
      <c r="P4" s="34"/>
      <c r="Q4" s="28"/>
      <c r="R4" s="31" t="s">
        <v>36</v>
      </c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2"/>
      <c r="AE4" s="13" t="s">
        <v>37</v>
      </c>
      <c r="AF4" s="13" t="s">
        <v>38</v>
      </c>
      <c r="AG4" s="45"/>
      <c r="AH4" s="46"/>
    </row>
    <row r="5" spans="1:43" x14ac:dyDescent="0.45">
      <c r="A5" s="34"/>
      <c r="B5" s="95"/>
      <c r="C5" s="96"/>
      <c r="D5" s="96"/>
      <c r="E5" s="96"/>
      <c r="F5" s="97"/>
      <c r="G5" s="38" t="s">
        <v>39</v>
      </c>
      <c r="H5" s="38"/>
      <c r="I5" s="38"/>
      <c r="J5" s="38"/>
      <c r="K5" s="17"/>
      <c r="L5" s="35" t="s">
        <v>110</v>
      </c>
      <c r="M5" s="36"/>
      <c r="N5" s="36"/>
      <c r="O5" s="37"/>
      <c r="P5" s="82" t="s">
        <v>109</v>
      </c>
      <c r="Q5" s="24" t="s">
        <v>31</v>
      </c>
      <c r="R5" s="30" t="s">
        <v>48</v>
      </c>
      <c r="S5" s="31"/>
      <c r="T5" s="31"/>
      <c r="U5" s="32"/>
      <c r="V5" s="30" t="s">
        <v>21</v>
      </c>
      <c r="W5" s="31"/>
      <c r="X5" s="31"/>
      <c r="Y5" s="32"/>
      <c r="Z5" s="33" t="s">
        <v>34</v>
      </c>
      <c r="AA5" s="33"/>
      <c r="AB5" s="33"/>
      <c r="AC5" s="33"/>
      <c r="AD5" s="33"/>
      <c r="AE5" s="15"/>
      <c r="AF5" s="13"/>
      <c r="AG5" s="45"/>
      <c r="AH5" s="46"/>
    </row>
    <row r="6" spans="1:43" x14ac:dyDescent="0.45">
      <c r="A6" s="27" t="s">
        <v>28</v>
      </c>
      <c r="B6" s="98" t="s">
        <v>3</v>
      </c>
      <c r="C6" s="99" t="s">
        <v>32</v>
      </c>
      <c r="D6" s="99" t="s">
        <v>22</v>
      </c>
      <c r="E6" s="99" t="s">
        <v>18</v>
      </c>
      <c r="F6" s="99" t="s">
        <v>9</v>
      </c>
      <c r="G6" s="25" t="s">
        <v>4</v>
      </c>
      <c r="H6" s="25" t="s">
        <v>13</v>
      </c>
      <c r="I6" s="25" t="s">
        <v>14</v>
      </c>
      <c r="J6" s="25" t="s">
        <v>5</v>
      </c>
      <c r="K6" s="27" t="s">
        <v>16</v>
      </c>
      <c r="L6" s="27" t="s">
        <v>23</v>
      </c>
      <c r="M6" s="27" t="s">
        <v>24</v>
      </c>
      <c r="N6" s="27" t="s">
        <v>29</v>
      </c>
      <c r="O6" s="27" t="s">
        <v>25</v>
      </c>
      <c r="P6" s="27" t="s">
        <v>30</v>
      </c>
      <c r="Q6" s="25" t="s">
        <v>26</v>
      </c>
      <c r="R6" s="25" t="s">
        <v>4</v>
      </c>
      <c r="S6" s="25" t="s">
        <v>13</v>
      </c>
      <c r="T6" s="25" t="s">
        <v>14</v>
      </c>
      <c r="U6" s="25" t="s">
        <v>5</v>
      </c>
      <c r="V6" s="25" t="s">
        <v>4</v>
      </c>
      <c r="W6" s="25" t="s">
        <v>13</v>
      </c>
      <c r="X6" s="25" t="s">
        <v>14</v>
      </c>
      <c r="Y6" s="25" t="s">
        <v>5</v>
      </c>
      <c r="Z6" s="25" t="s">
        <v>4</v>
      </c>
      <c r="AA6" s="25" t="s">
        <v>13</v>
      </c>
      <c r="AB6" s="25" t="s">
        <v>14</v>
      </c>
      <c r="AC6" s="25" t="s">
        <v>5</v>
      </c>
      <c r="AD6" s="25" t="s">
        <v>42</v>
      </c>
      <c r="AE6" s="16" t="s">
        <v>40</v>
      </c>
      <c r="AF6" s="14" t="s">
        <v>41</v>
      </c>
      <c r="AG6" s="42"/>
      <c r="AH6" s="44"/>
      <c r="AM6" s="1"/>
      <c r="AN6" s="1"/>
      <c r="AO6" s="1"/>
      <c r="AP6" s="1"/>
      <c r="AQ6" s="1"/>
    </row>
    <row r="7" spans="1:43" x14ac:dyDescent="0.45">
      <c r="A7" s="4">
        <v>45971</v>
      </c>
      <c r="B7" s="55">
        <v>1</v>
      </c>
      <c r="C7" s="9" t="str">
        <f>IF(B7="","",
  IF(MOD($B7,1)=0,
    "Dimensions: L W H",
    "-"
  )
)</f>
        <v>Dimensions: L W H</v>
      </c>
      <c r="D7" s="8" t="str">
        <f>IF(E7="","",
  IF(MOD($B7,1)=0,
    "완료",
    "-"
  )
)</f>
        <v>완료</v>
      </c>
      <c r="E7" s="1" t="s">
        <v>45</v>
      </c>
      <c r="F7" s="3"/>
      <c r="G7" s="1" t="s">
        <v>43</v>
      </c>
      <c r="H7" s="1" t="s">
        <v>17</v>
      </c>
      <c r="I7" s="1" t="s">
        <v>17</v>
      </c>
      <c r="J7" s="1" t="s">
        <v>43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종합!$C$29, "")</f>
        <v>2.2599999999999998</v>
      </c>
      <c r="Q7" s="1" t="s">
        <v>17</v>
      </c>
      <c r="R7" s="9" t="str">
        <f>IF(MOD($B7,5)=0, "스핀들유격: ","-" )</f>
        <v>-</v>
      </c>
      <c r="S7" s="9" t="str">
        <f>IF(MOD($B7,5)=0, "스핀들유격: ","-" )</f>
        <v>-</v>
      </c>
      <c r="T7" s="9" t="str">
        <f>IF(MOD($B7,5)=0, "스핀들유격: ","-" )</f>
        <v>-</v>
      </c>
      <c r="U7" s="9" t="str">
        <f>IF(MOD($B7,5)=0, "스핀들유격: ","-" )</f>
        <v>-</v>
      </c>
      <c r="V7" s="9" t="str">
        <f>IF(MOD($B7,5)=0, "000-000","-" )</f>
        <v>-</v>
      </c>
      <c r="W7" s="9" t="str">
        <f>IF(MOD($B7,5)=0, "000-000","-" )</f>
        <v>-</v>
      </c>
      <c r="X7" s="9" t="str">
        <f>IF(MOD($B7,5)=0, "000-000","-" )</f>
        <v>-</v>
      </c>
      <c r="Y7" s="9" t="str">
        <f>IF(MOD($B7,5)=0, "000-000","-" )</f>
        <v>-</v>
      </c>
      <c r="Z7" s="9" t="str">
        <f>IF(MOD($B7,5)=0, "000-000","-" )</f>
        <v>-</v>
      </c>
      <c r="AA7" s="9" t="str">
        <f>IF(MOD($B7,5)=0, "000-000","-" )</f>
        <v>-</v>
      </c>
      <c r="AB7" s="9" t="str">
        <f>IF(MOD($B7,5)=0, "000-000","-" )</f>
        <v>-</v>
      </c>
      <c r="AC7" s="9" t="str">
        <f>IF(MOD($B7,5)=0, "000-000","-" )</f>
        <v>-</v>
      </c>
      <c r="AD7" s="9" t="str">
        <f>IF(MOD($B7,5)=0, "스핀들소음 :","-" )</f>
        <v>-</v>
      </c>
      <c r="AE7" s="9" t="str">
        <f>IF(MOD($B7,40)=0, "필터세척 :"&amp; CHAR(10) &amp; "FLOW   (T1, T4 : / T2, T3 : / T4 : )","-" )</f>
        <v>-</v>
      </c>
      <c r="AF7" s="9" t="str">
        <f>IF($B7="","",
  IF(MOD($B7,160)=0,
    "TENSION (XL : / ZL : / XR : / ZR : / Y : )" &amp; CHAR(10) &amp;
    "필터교체",
    "-"
  )
)</f>
        <v>-</v>
      </c>
      <c r="AG7" s="1" t="s">
        <v>17</v>
      </c>
      <c r="AH7" s="1" t="s">
        <v>17</v>
      </c>
    </row>
    <row r="8" spans="1:43" x14ac:dyDescent="0.45">
      <c r="A8" s="4">
        <v>45971</v>
      </c>
      <c r="B8" s="55">
        <v>2</v>
      </c>
      <c r="C8" s="9" t="str">
        <f>IF(B8="","",
  IF(MOD($B8,1)=0,
    "Dimensions: L W H",
    "-"
  )
)</f>
        <v>Dimensions: L W H</v>
      </c>
      <c r="D8" s="8" t="str">
        <f>IF(E8="","",
  IF(MOD($B8,1)=0,
    "완료",
    "-"
  )
)</f>
        <v>완료</v>
      </c>
      <c r="E8" s="1" t="s">
        <v>45</v>
      </c>
      <c r="F8" s="3"/>
      <c r="G8" s="1" t="s">
        <v>43</v>
      </c>
      <c r="H8" s="1" t="s">
        <v>17</v>
      </c>
      <c r="I8" s="1" t="s">
        <v>17</v>
      </c>
      <c r="J8" s="1" t="s">
        <v>43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종합!$C$29, "")</f>
        <v>2.2599999999999998</v>
      </c>
      <c r="Q8" s="1" t="s">
        <v>17</v>
      </c>
      <c r="R8" s="9" t="str">
        <f>IF(MOD($B8,5)=0, "스핀들유격: ","-" )</f>
        <v>-</v>
      </c>
      <c r="S8" s="9" t="str">
        <f>IF(MOD($B8,5)=0, "스핀들유격: ","-" )</f>
        <v>-</v>
      </c>
      <c r="T8" s="9" t="str">
        <f>IF(MOD($B8,5)=0, "스핀들유격: ","-" )</f>
        <v>-</v>
      </c>
      <c r="U8" s="9" t="str">
        <f>IF(MOD($B8,5)=0, "스핀들유격: ","-" )</f>
        <v>-</v>
      </c>
      <c r="V8" s="9" t="str">
        <f>IF(MOD($B8,5)=0, "000-000","-" )</f>
        <v>-</v>
      </c>
      <c r="W8" s="9" t="str">
        <f>IF(MOD($B8,5)=0, "000-000","-" )</f>
        <v>-</v>
      </c>
      <c r="X8" s="9" t="str">
        <f>IF(MOD($B8,5)=0, "000-000","-" )</f>
        <v>-</v>
      </c>
      <c r="Y8" s="9" t="str">
        <f>IF(MOD($B8,5)=0, "000-000","-" )</f>
        <v>-</v>
      </c>
      <c r="Z8" s="9" t="str">
        <f>IF(MOD($B8,5)=0, "000-000","-" )</f>
        <v>-</v>
      </c>
      <c r="AA8" s="9" t="str">
        <f>IF(MOD($B8,5)=0, "000-000","-" )</f>
        <v>-</v>
      </c>
      <c r="AB8" s="9" t="str">
        <f>IF(MOD($B8,5)=0, "000-000","-" )</f>
        <v>-</v>
      </c>
      <c r="AC8" s="9" t="str">
        <f>IF(MOD($B8,5)=0, "000-000","-" )</f>
        <v>-</v>
      </c>
      <c r="AD8" s="9" t="str">
        <f>IF(MOD($B8,5)=0, "스핀들소음 :","-" )</f>
        <v>-</v>
      </c>
      <c r="AE8" s="9" t="str">
        <f>IF(MOD($B8,40)=0, "필터세척 :"&amp; CHAR(10) &amp; "FLOW   (T1, T4 : / T2, T3 : / T4 : )","-" )</f>
        <v>-</v>
      </c>
      <c r="AF8" s="9" t="str">
        <f>IF($B8="","",
  IF(MOD(B8,160)=0,
    "TENSION (XL : / ZL : / XR : / ZR : / Y : )" &amp; CHAR(10) &amp;
    "필터교체",
    "-"
  )
)</f>
        <v>-</v>
      </c>
      <c r="AG8" s="1" t="s">
        <v>17</v>
      </c>
      <c r="AH8" s="1" t="s">
        <v>17</v>
      </c>
    </row>
    <row r="9" spans="1:43" x14ac:dyDescent="0.45">
      <c r="A9" s="4">
        <v>45971</v>
      </c>
      <c r="B9" s="55">
        <v>3</v>
      </c>
      <c r="C9" s="9" t="str">
        <f>IF(B9="","",
  IF(MOD($B9,1)=0,
    "Dimensions: L W H",
    "-"
  )
)</f>
        <v>Dimensions: L W H</v>
      </c>
      <c r="D9" s="8" t="str">
        <f>IF(E9="","",
  IF(MOD($B9,1)=0,
    "완료",
    "-"
  )
)</f>
        <v>완료</v>
      </c>
      <c r="E9" s="1" t="s">
        <v>45</v>
      </c>
      <c r="F9" s="3"/>
      <c r="G9" s="1" t="s">
        <v>43</v>
      </c>
      <c r="H9" s="1" t="s">
        <v>17</v>
      </c>
      <c r="I9" s="1" t="s">
        <v>17</v>
      </c>
      <c r="J9" s="1" t="s">
        <v>43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종합!$C$29, "")</f>
        <v>2.2599999999999998</v>
      </c>
      <c r="Q9" s="1" t="s">
        <v>17</v>
      </c>
      <c r="R9" s="9" t="str">
        <f>IF(MOD($B9,5)=0, "스핀들유격: ","-" )</f>
        <v>-</v>
      </c>
      <c r="S9" s="9" t="str">
        <f>IF(MOD($B9,5)=0, "스핀들유격: ","-" )</f>
        <v>-</v>
      </c>
      <c r="T9" s="9" t="str">
        <f>IF(MOD($B9,5)=0, "스핀들유격: ","-" )</f>
        <v>-</v>
      </c>
      <c r="U9" s="9" t="str">
        <f>IF(MOD($B9,5)=0, "스핀들유격: ","-" )</f>
        <v>-</v>
      </c>
      <c r="V9" s="9" t="str">
        <f>IF(MOD($B9,5)=0, "000-000","-" )</f>
        <v>-</v>
      </c>
      <c r="W9" s="9" t="str">
        <f>IF(MOD($B9,5)=0, "000-000","-" )</f>
        <v>-</v>
      </c>
      <c r="X9" s="9" t="str">
        <f>IF(MOD($B9,5)=0, "000-000","-" )</f>
        <v>-</v>
      </c>
      <c r="Y9" s="9" t="str">
        <f>IF(MOD($B9,5)=0, "000-000","-" )</f>
        <v>-</v>
      </c>
      <c r="Z9" s="9" t="str">
        <f>IF(MOD($B9,5)=0, "000-000","-" )</f>
        <v>-</v>
      </c>
      <c r="AA9" s="9" t="str">
        <f>IF(MOD($B9,5)=0, "000-000","-" )</f>
        <v>-</v>
      </c>
      <c r="AB9" s="9" t="str">
        <f>IF(MOD($B9,5)=0, "000-000","-" )</f>
        <v>-</v>
      </c>
      <c r="AC9" s="9" t="str">
        <f>IF(MOD($B9,5)=0, "000-000","-" )</f>
        <v>-</v>
      </c>
      <c r="AD9" s="9" t="str">
        <f>IF(MOD($B9,5)=0, "스핀들소음 :","-" )</f>
        <v>-</v>
      </c>
      <c r="AE9" s="9" t="str">
        <f>IF(MOD($B9,40)=0, "필터세척 :"&amp; CHAR(10) &amp; "FLOW   (T1, T4 : / T2, T3 : / T4 : )","-" )</f>
        <v>-</v>
      </c>
      <c r="AF9" s="9" t="str">
        <f>IF($B9="","",
  IF(MOD(B9,160)=0,
    "TENSION (XL : / ZL : / XR : / ZR : / Y : )" &amp; CHAR(10) &amp;
    "필터교체",
    "-"
  )
)</f>
        <v>-</v>
      </c>
      <c r="AG9" s="1" t="s">
        <v>17</v>
      </c>
      <c r="AH9" s="1" t="s">
        <v>17</v>
      </c>
    </row>
    <row r="10" spans="1:43" x14ac:dyDescent="0.45">
      <c r="A10" s="4">
        <v>45971</v>
      </c>
      <c r="B10" s="55">
        <v>4</v>
      </c>
      <c r="C10" s="9" t="str">
        <f>IF(B10="","",
  IF(MOD($B10,1)=0,
    "Dimensions: L W H",
    "-"
  )
)</f>
        <v>Dimensions: L W H</v>
      </c>
      <c r="D10" s="8" t="str">
        <f>IF(E10="","",
  IF(MOD($B10,1)=0,
    "완료",
    "-"
  )
)</f>
        <v>완료</v>
      </c>
      <c r="E10" s="1" t="s">
        <v>45</v>
      </c>
      <c r="F10" s="3"/>
      <c r="G10" s="1" t="s">
        <v>43</v>
      </c>
      <c r="H10" s="1" t="s">
        <v>17</v>
      </c>
      <c r="I10" s="1" t="s">
        <v>17</v>
      </c>
      <c r="J10" s="1" t="s">
        <v>43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종합!$C$29, "")</f>
        <v>2.2599999999999998</v>
      </c>
      <c r="Q10" s="1" t="s">
        <v>17</v>
      </c>
      <c r="R10" s="9" t="str">
        <f>IF(MOD($B10,5)=0, "스핀들유격: ","-" )</f>
        <v>-</v>
      </c>
      <c r="S10" s="9" t="str">
        <f>IF(MOD($B10,5)=0, "스핀들유격: ","-" )</f>
        <v>-</v>
      </c>
      <c r="T10" s="9" t="str">
        <f>IF(MOD($B10,5)=0, "스핀들유격: ","-" )</f>
        <v>-</v>
      </c>
      <c r="U10" s="9" t="str">
        <f>IF(MOD($B10,5)=0, "스핀들유격: ","-" )</f>
        <v>-</v>
      </c>
      <c r="V10" s="9" t="str">
        <f>IF(MOD($B10,5)=0, "000-000","-" )</f>
        <v>-</v>
      </c>
      <c r="W10" s="9" t="str">
        <f>IF(MOD($B10,5)=0, "000-000","-" )</f>
        <v>-</v>
      </c>
      <c r="X10" s="9" t="str">
        <f>IF(MOD($B10,5)=0, "000-000","-" )</f>
        <v>-</v>
      </c>
      <c r="Y10" s="9" t="str">
        <f>IF(MOD($B10,5)=0, "000-000","-" )</f>
        <v>-</v>
      </c>
      <c r="Z10" s="9" t="str">
        <f>IF(MOD($B10,5)=0, "000-000","-" )</f>
        <v>-</v>
      </c>
      <c r="AA10" s="9" t="str">
        <f>IF(MOD($B10,5)=0, "000-000","-" )</f>
        <v>-</v>
      </c>
      <c r="AB10" s="9" t="str">
        <f>IF(MOD($B10,5)=0, "000-000","-" )</f>
        <v>-</v>
      </c>
      <c r="AC10" s="9" t="str">
        <f>IF(MOD($B10,5)=0, "000-000","-" )</f>
        <v>-</v>
      </c>
      <c r="AD10" s="9" t="str">
        <f>IF(MOD($B10,5)=0, "스핀들소음 :","-" )</f>
        <v>-</v>
      </c>
      <c r="AE10" s="9" t="str">
        <f>IF(MOD($B10,40)=0, "필터세척 :"&amp; CHAR(10) &amp; "FLOW   (T1, T4 : / T2, T3 : / T4 : )","-" )</f>
        <v>-</v>
      </c>
      <c r="AF10" s="9" t="str">
        <f>IF($B10="","",
  IF(MOD(B10,160)=0,
    "TENSION (XL : / ZL : / XR : / ZR : / Y : )" &amp; CHAR(10) &amp;
    "필터교체",
    "-"
  )
)</f>
        <v>-</v>
      </c>
      <c r="AG10" s="1" t="s">
        <v>17</v>
      </c>
      <c r="AH10" s="1" t="s">
        <v>17</v>
      </c>
    </row>
    <row r="11" spans="1:43" x14ac:dyDescent="0.45">
      <c r="A11" s="4">
        <v>45972</v>
      </c>
      <c r="B11" s="55">
        <v>5</v>
      </c>
      <c r="C11" s="9" t="str">
        <f>IF(B11="","",
  IF(MOD($B11,1)=0,
    "Dimensions: L W H",
    "-"
  )
)</f>
        <v>Dimensions: L W H</v>
      </c>
      <c r="D11" s="8" t="str">
        <f>IF(E11="","",
  IF(MOD($B11,1)=0,
    "완료",
    "-"
  )
)</f>
        <v>완료</v>
      </c>
      <c r="E11" s="1" t="s">
        <v>49</v>
      </c>
      <c r="F11" s="3"/>
      <c r="G11" s="1">
        <v>0</v>
      </c>
      <c r="H11" s="1" t="s">
        <v>17</v>
      </c>
      <c r="I11" s="1" t="s">
        <v>17</v>
      </c>
      <c r="J11" s="1">
        <v>0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종합!$C$29, "")</f>
        <v>2.2599999999999998</v>
      </c>
      <c r="Q11" s="1" t="s">
        <v>17</v>
      </c>
      <c r="R11" s="9" t="s">
        <v>50</v>
      </c>
      <c r="S11" s="9" t="s">
        <v>50</v>
      </c>
      <c r="T11" s="9" t="s">
        <v>50</v>
      </c>
      <c r="U11" s="9" t="s">
        <v>50</v>
      </c>
      <c r="V11" s="9" t="s">
        <v>74</v>
      </c>
      <c r="W11" s="9" t="s">
        <v>75</v>
      </c>
      <c r="X11" s="9" t="s">
        <v>76</v>
      </c>
      <c r="Y11" s="9" t="s">
        <v>77</v>
      </c>
      <c r="Z11" s="9" t="s">
        <v>78</v>
      </c>
      <c r="AA11" s="9" t="s">
        <v>79</v>
      </c>
      <c r="AB11" s="9" t="s">
        <v>80</v>
      </c>
      <c r="AC11" s="9" t="s">
        <v>81</v>
      </c>
      <c r="AD11" s="9" t="s">
        <v>82</v>
      </c>
      <c r="AE11" s="9" t="str">
        <f>IF(MOD($B11,40)=0, "필터세척 :"&amp; CHAR(10) &amp; "FLOW   (T1, T4 : / T2, T3 : / T4 : )","-" )</f>
        <v>-</v>
      </c>
      <c r="AF11" s="9" t="str">
        <f>IF($B11="","",
  IF(MOD(B11,160)=0,
    "TENSION (XL : / ZL : / XR : / ZR : / Y : )" &amp; CHAR(10) &amp;
    "필터교체",
    "-"
  )
)</f>
        <v>-</v>
      </c>
      <c r="AG11" s="1" t="s">
        <v>17</v>
      </c>
      <c r="AH11" s="1" t="s">
        <v>17</v>
      </c>
    </row>
    <row r="12" spans="1:43" ht="204" x14ac:dyDescent="0.45">
      <c r="A12" s="4">
        <v>45972</v>
      </c>
      <c r="B12" s="55">
        <v>6</v>
      </c>
      <c r="C12" s="9" t="str">
        <f>IF(B12="","",
  IF(MOD($B12,1)=0,
    "Dimensions: L W H",
    "-"
  )
)</f>
        <v>Dimensions: L W H</v>
      </c>
      <c r="D12" s="8" t="s">
        <v>107</v>
      </c>
      <c r="E12" s="1" t="s">
        <v>45</v>
      </c>
      <c r="F12" s="3"/>
      <c r="G12" s="1">
        <v>1</v>
      </c>
      <c r="H12" s="1" t="s">
        <v>17</v>
      </c>
      <c r="I12" s="1" t="s">
        <v>17</v>
      </c>
      <c r="J12" s="1">
        <v>1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종합!$C$29, "")</f>
        <v>2.2599999999999998</v>
      </c>
      <c r="Q12" s="1" t="s">
        <v>17</v>
      </c>
      <c r="R12" s="9" t="str">
        <f>IF(MOD($B12,5)=0, "스핀들유격: ","-" )</f>
        <v>-</v>
      </c>
      <c r="S12" s="9" t="str">
        <f>IF(MOD($B12,5)=0, "스핀들유격: ","-" )</f>
        <v>-</v>
      </c>
      <c r="T12" s="9" t="str">
        <f>IF(MOD($B12,5)=0, "스핀들유격: ","-" )</f>
        <v>-</v>
      </c>
      <c r="U12" s="9" t="str">
        <f>IF(MOD($B12,5)=0, "스핀들유격: ","-" )</f>
        <v>-</v>
      </c>
      <c r="V12" s="9" t="str">
        <f>IF(MOD($B12,5)=0, "000-000","-" )</f>
        <v>-</v>
      </c>
      <c r="W12" s="9" t="str">
        <f>IF(MOD($B12,5)=0, "000-000","-" )</f>
        <v>-</v>
      </c>
      <c r="X12" s="9" t="str">
        <f>IF(MOD($B12,5)=0, "000-000","-" )</f>
        <v>-</v>
      </c>
      <c r="Y12" s="9" t="str">
        <f>IF(MOD($B12,5)=0, "000-000","-" )</f>
        <v>-</v>
      </c>
      <c r="Z12" s="9" t="str">
        <f>IF(MOD($B12,5)=0, "000-000","-" )</f>
        <v>-</v>
      </c>
      <c r="AA12" s="9" t="str">
        <f>IF(MOD($B12,5)=0, "000-000","-" )</f>
        <v>-</v>
      </c>
      <c r="AB12" s="9" t="str">
        <f>IF(MOD($B12,5)=0, "000-000","-" )</f>
        <v>-</v>
      </c>
      <c r="AC12" s="9" t="str">
        <f>IF(MOD($B12,5)=0, "000-000","-" )</f>
        <v>-</v>
      </c>
      <c r="AD12" s="9" t="str">
        <f>IF(MOD($B12,5)=0, "스핀들소음 :","-" )</f>
        <v>-</v>
      </c>
      <c r="AE12" s="9" t="str">
        <f>IF(MOD($B12,40)=0, "필터세척 :"&amp; CHAR(10) &amp; "FLOW   (T1, T4 : / T2, T3 : / T4 : )","-" )</f>
        <v>-</v>
      </c>
      <c r="AF12" s="9" t="str">
        <f>IF($B12="","",
  IF(MOD(B12,160)=0,
    "TENSION (XL : / ZL : / XR : / ZR : / Y : )" &amp; CHAR(10) &amp;
    "필터교체",
    "-"
  )
)</f>
        <v>-</v>
      </c>
      <c r="AG12" s="9" t="s">
        <v>65</v>
      </c>
      <c r="AH12" s="1" t="s">
        <v>17</v>
      </c>
    </row>
    <row r="13" spans="1:43" x14ac:dyDescent="0.45">
      <c r="A13" s="4"/>
      <c r="B13" s="55"/>
      <c r="C13" s="9"/>
      <c r="D13" s="8"/>
      <c r="E13" s="1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"/>
      <c r="AH13" s="2"/>
    </row>
    <row r="14" spans="1:43" x14ac:dyDescent="0.45">
      <c r="A14" s="4"/>
      <c r="B14" s="55"/>
      <c r="C14" s="9"/>
      <c r="D14" s="8"/>
      <c r="E14" s="1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"/>
      <c r="AH14" s="2"/>
    </row>
    <row r="15" spans="1:43" x14ac:dyDescent="0.45">
      <c r="A15" s="4"/>
      <c r="B15" s="55"/>
      <c r="C15" s="9"/>
      <c r="D15" s="8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"/>
      <c r="AH15" s="2"/>
    </row>
    <row r="16" spans="1:43" x14ac:dyDescent="0.45">
      <c r="A16" s="4"/>
      <c r="B16" s="55"/>
      <c r="C16" s="9"/>
      <c r="D16" s="8"/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"/>
      <c r="AH16" s="2"/>
    </row>
    <row r="17" spans="1:34" x14ac:dyDescent="0.45">
      <c r="A17" s="4"/>
      <c r="B17" s="55"/>
      <c r="C17" s="9"/>
      <c r="D17" s="8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"/>
      <c r="AH17" s="2"/>
    </row>
    <row r="18" spans="1:34" x14ac:dyDescent="0.45">
      <c r="A18" s="4"/>
      <c r="B18" s="55"/>
      <c r="C18" s="9"/>
      <c r="D18" s="8"/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"/>
      <c r="AH18" s="2"/>
    </row>
    <row r="19" spans="1:34" x14ac:dyDescent="0.45">
      <c r="A19" s="7" t="s">
        <v>19</v>
      </c>
      <c r="B19" s="81" t="s">
        <v>19</v>
      </c>
      <c r="C19" s="7" t="s">
        <v>19</v>
      </c>
      <c r="D19" s="7" t="s">
        <v>19</v>
      </c>
      <c r="E19" s="7" t="s">
        <v>19</v>
      </c>
      <c r="F19" s="7" t="s">
        <v>19</v>
      </c>
      <c r="G19" s="7" t="s">
        <v>19</v>
      </c>
      <c r="H19" s="7" t="s">
        <v>19</v>
      </c>
      <c r="I19" s="7" t="s">
        <v>19</v>
      </c>
      <c r="J19" s="7" t="s">
        <v>19</v>
      </c>
      <c r="K19" s="7" t="s">
        <v>19</v>
      </c>
      <c r="L19" s="7" t="s">
        <v>19</v>
      </c>
      <c r="M19" s="7" t="s">
        <v>19</v>
      </c>
      <c r="N19" s="7" t="s">
        <v>19</v>
      </c>
      <c r="O19" s="7" t="s">
        <v>19</v>
      </c>
      <c r="P19" s="7" t="s">
        <v>19</v>
      </c>
      <c r="Q19" s="7" t="s">
        <v>19</v>
      </c>
      <c r="R19" s="7" t="s">
        <v>19</v>
      </c>
      <c r="S19" s="7" t="s">
        <v>19</v>
      </c>
      <c r="T19" s="7" t="s">
        <v>19</v>
      </c>
      <c r="U19" s="7" t="s">
        <v>19</v>
      </c>
      <c r="V19" s="7" t="s">
        <v>19</v>
      </c>
      <c r="W19" s="7" t="s">
        <v>19</v>
      </c>
      <c r="X19" s="7" t="s">
        <v>19</v>
      </c>
      <c r="Y19" s="7" t="s">
        <v>19</v>
      </c>
      <c r="Z19" s="7" t="s">
        <v>19</v>
      </c>
      <c r="AA19" s="7" t="s">
        <v>19</v>
      </c>
      <c r="AB19" s="7" t="s">
        <v>19</v>
      </c>
      <c r="AC19" s="7" t="s">
        <v>19</v>
      </c>
      <c r="AD19" s="7" t="s">
        <v>19</v>
      </c>
      <c r="AE19" s="7" t="s">
        <v>19</v>
      </c>
      <c r="AF19" s="7" t="s">
        <v>19</v>
      </c>
      <c r="AG19" s="7" t="s">
        <v>19</v>
      </c>
      <c r="AH19" s="7" t="s">
        <v>19</v>
      </c>
    </row>
  </sheetData>
  <mergeCells count="11"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D7:D9">
    <cfRule type="containsText" dxfId="201" priority="24" operator="containsText" text="완료">
      <formula>NOT(ISERROR(SEARCH("완료",D7)))</formula>
    </cfRule>
    <cfRule type="containsText" dxfId="200" priority="25" operator="containsText" text="중단">
      <formula>NOT(ISERROR(SEARCH("중단",D7)))</formula>
    </cfRule>
  </conditionalFormatting>
  <conditionalFormatting sqref="I7:I9 G7:G9">
    <cfRule type="containsText" dxfId="199" priority="22" operator="containsText" text="신품">
      <formula>NOT(ISERROR(SEARCH("신품",G7)))</formula>
    </cfRule>
    <cfRule type="containsText" dxfId="198" priority="23" operator="containsText" text="중고">
      <formula>NOT(ISERROR(SEARCH("중고",G7)))</formula>
    </cfRule>
  </conditionalFormatting>
  <conditionalFormatting sqref="J7:J9">
    <cfRule type="containsText" dxfId="197" priority="20" operator="containsText" text="신품">
      <formula>NOT(ISERROR(SEARCH("신품",J7)))</formula>
    </cfRule>
    <cfRule type="containsText" dxfId="196" priority="21" operator="containsText" text="중고">
      <formula>NOT(ISERROR(SEARCH("중고",J7)))</formula>
    </cfRule>
  </conditionalFormatting>
  <conditionalFormatting sqref="D10">
    <cfRule type="containsText" dxfId="195" priority="18" operator="containsText" text="완료">
      <formula>NOT(ISERROR(SEARCH("완료",D10)))</formula>
    </cfRule>
    <cfRule type="containsText" dxfId="194" priority="19" operator="containsText" text="중단">
      <formula>NOT(ISERROR(SEARCH("중단",D10)))</formula>
    </cfRule>
  </conditionalFormatting>
  <conditionalFormatting sqref="I10 G10">
    <cfRule type="containsText" dxfId="193" priority="16" operator="containsText" text="신품">
      <formula>NOT(ISERROR(SEARCH("신품",G10)))</formula>
    </cfRule>
    <cfRule type="containsText" dxfId="192" priority="17" operator="containsText" text="중고">
      <formula>NOT(ISERROR(SEARCH("중고",G10)))</formula>
    </cfRule>
  </conditionalFormatting>
  <conditionalFormatting sqref="J10">
    <cfRule type="containsText" dxfId="191" priority="14" operator="containsText" text="신품">
      <formula>NOT(ISERROR(SEARCH("신품",J10)))</formula>
    </cfRule>
    <cfRule type="containsText" dxfId="190" priority="15" operator="containsText" text="중고">
      <formula>NOT(ISERROR(SEARCH("중고",J10)))</formula>
    </cfRule>
  </conditionalFormatting>
  <conditionalFormatting sqref="D11">
    <cfRule type="containsText" dxfId="189" priority="12" operator="containsText" text="완료">
      <formula>NOT(ISERROR(SEARCH("완료",D11)))</formula>
    </cfRule>
    <cfRule type="containsText" dxfId="188" priority="13" operator="containsText" text="중단">
      <formula>NOT(ISERROR(SEARCH("중단",D11)))</formula>
    </cfRule>
  </conditionalFormatting>
  <conditionalFormatting sqref="G11 I11">
    <cfRule type="containsText" dxfId="187" priority="10" operator="containsText" text="신품">
      <formula>NOT(ISERROR(SEARCH("신품",G11)))</formula>
    </cfRule>
    <cfRule type="containsText" dxfId="186" priority="11" operator="containsText" text="중고">
      <formula>NOT(ISERROR(SEARCH("중고",G11)))</formula>
    </cfRule>
  </conditionalFormatting>
  <conditionalFormatting sqref="J11">
    <cfRule type="containsText" dxfId="185" priority="8" operator="containsText" text="신품">
      <formula>NOT(ISERROR(SEARCH("신품",J11)))</formula>
    </cfRule>
    <cfRule type="containsText" dxfId="184" priority="9" operator="containsText" text="중고">
      <formula>NOT(ISERROR(SEARCH("중고",J11)))</formula>
    </cfRule>
  </conditionalFormatting>
  <conditionalFormatting sqref="D12:D18">
    <cfRule type="containsText" dxfId="183" priority="6" operator="containsText" text="완료">
      <formula>NOT(ISERROR(SEARCH("완료",D12)))</formula>
    </cfRule>
    <cfRule type="containsText" dxfId="182" priority="7" operator="containsText" text="중단">
      <formula>NOT(ISERROR(SEARCH("중단",D12)))</formula>
    </cfRule>
  </conditionalFormatting>
  <conditionalFormatting sqref="G12:G18 I12:I18">
    <cfRule type="containsText" dxfId="181" priority="4" operator="containsText" text="신품">
      <formula>NOT(ISERROR(SEARCH("신품",G12)))</formula>
    </cfRule>
    <cfRule type="containsText" dxfId="180" priority="5" operator="containsText" text="중고">
      <formula>NOT(ISERROR(SEARCH("중고",G12)))</formula>
    </cfRule>
  </conditionalFormatting>
  <conditionalFormatting sqref="J12:J18">
    <cfRule type="containsText" dxfId="179" priority="2" operator="containsText" text="신품">
      <formula>NOT(ISERROR(SEARCH("신품",J12)))</formula>
    </cfRule>
    <cfRule type="containsText" dxfId="178" priority="3" operator="containsText" text="중고">
      <formula>NOT(ISERROR(SEARCH("중고",J12)))</formula>
    </cfRule>
  </conditionalFormatting>
  <conditionalFormatting sqref="D7:D19">
    <cfRule type="containsText" dxfId="177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dimension ref="A1:AQ19"/>
  <sheetViews>
    <sheetView topLeftCell="AC1" zoomScale="67" workbookViewId="0">
      <selection activeCell="A12" sqref="A12"/>
    </sheetView>
  </sheetViews>
  <sheetFormatPr defaultRowHeight="17" x14ac:dyDescent="0.45"/>
  <cols>
    <col min="1" max="1" width="11.33203125" bestFit="1" customWidth="1"/>
    <col min="2" max="2" width="11.4140625" style="6" customWidth="1"/>
    <col min="3" max="3" width="44.1640625" customWidth="1"/>
    <col min="4" max="4" width="12.9140625" style="6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75" t="s">
        <v>20</v>
      </c>
      <c r="B1" s="74"/>
      <c r="C1" s="76"/>
      <c r="D1" s="76"/>
      <c r="E1" s="76"/>
      <c r="F1" s="77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</row>
    <row r="2" spans="1:43" x14ac:dyDescent="0.45">
      <c r="A2" s="34" t="s">
        <v>11</v>
      </c>
      <c r="B2" s="89" t="s">
        <v>108</v>
      </c>
      <c r="C2" s="90"/>
      <c r="D2" s="90"/>
      <c r="E2" s="90"/>
      <c r="F2" s="91"/>
      <c r="G2" s="34" t="s">
        <v>111</v>
      </c>
      <c r="H2" s="34"/>
      <c r="I2" s="34"/>
      <c r="J2" s="34"/>
      <c r="K2" s="34"/>
      <c r="L2" s="34"/>
      <c r="M2" s="34"/>
      <c r="N2" s="34"/>
      <c r="O2" s="34"/>
      <c r="P2" s="34"/>
      <c r="Q2" s="39" t="s">
        <v>27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  <c r="AG2" s="39" t="s">
        <v>10</v>
      </c>
      <c r="AH2" s="41"/>
    </row>
    <row r="3" spans="1:43" x14ac:dyDescent="0.45">
      <c r="A3" s="34"/>
      <c r="B3" s="92"/>
      <c r="C3" s="93"/>
      <c r="D3" s="93"/>
      <c r="E3" s="93"/>
      <c r="F3" s="94"/>
      <c r="G3" s="34"/>
      <c r="H3" s="34"/>
      <c r="I3" s="34"/>
      <c r="J3" s="34"/>
      <c r="K3" s="34"/>
      <c r="L3" s="34"/>
      <c r="M3" s="34"/>
      <c r="N3" s="34"/>
      <c r="O3" s="34"/>
      <c r="P3" s="34"/>
      <c r="Q3" s="42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  <c r="AG3" s="45"/>
      <c r="AH3" s="46"/>
    </row>
    <row r="4" spans="1:43" x14ac:dyDescent="0.45">
      <c r="A4" s="34"/>
      <c r="B4" s="92"/>
      <c r="C4" s="93"/>
      <c r="D4" s="93"/>
      <c r="E4" s="93"/>
      <c r="F4" s="94"/>
      <c r="G4" s="34"/>
      <c r="H4" s="34"/>
      <c r="I4" s="34"/>
      <c r="J4" s="34"/>
      <c r="K4" s="34"/>
      <c r="L4" s="34"/>
      <c r="M4" s="34"/>
      <c r="N4" s="34"/>
      <c r="O4" s="34"/>
      <c r="P4" s="34"/>
      <c r="Q4" s="28"/>
      <c r="R4" s="31" t="s">
        <v>36</v>
      </c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2"/>
      <c r="AE4" s="13" t="s">
        <v>37</v>
      </c>
      <c r="AF4" s="13" t="s">
        <v>38</v>
      </c>
      <c r="AG4" s="45"/>
      <c r="AH4" s="46"/>
    </row>
    <row r="5" spans="1:43" x14ac:dyDescent="0.45">
      <c r="A5" s="34"/>
      <c r="B5" s="95"/>
      <c r="C5" s="96"/>
      <c r="D5" s="96"/>
      <c r="E5" s="96"/>
      <c r="F5" s="97"/>
      <c r="G5" s="38" t="s">
        <v>39</v>
      </c>
      <c r="H5" s="38"/>
      <c r="I5" s="38"/>
      <c r="J5" s="38"/>
      <c r="K5" s="17"/>
      <c r="L5" s="35" t="s">
        <v>110</v>
      </c>
      <c r="M5" s="36"/>
      <c r="N5" s="36"/>
      <c r="O5" s="37"/>
      <c r="P5" s="82" t="s">
        <v>109</v>
      </c>
      <c r="Q5" s="24" t="s">
        <v>31</v>
      </c>
      <c r="R5" s="30" t="s">
        <v>48</v>
      </c>
      <c r="S5" s="31"/>
      <c r="T5" s="31"/>
      <c r="U5" s="32"/>
      <c r="V5" s="30" t="s">
        <v>21</v>
      </c>
      <c r="W5" s="31"/>
      <c r="X5" s="31"/>
      <c r="Y5" s="32"/>
      <c r="Z5" s="33" t="s">
        <v>34</v>
      </c>
      <c r="AA5" s="33"/>
      <c r="AB5" s="33"/>
      <c r="AC5" s="33"/>
      <c r="AD5" s="33"/>
      <c r="AE5" s="15"/>
      <c r="AF5" s="13"/>
      <c r="AG5" s="45"/>
      <c r="AH5" s="46"/>
    </row>
    <row r="6" spans="1:43" x14ac:dyDescent="0.45">
      <c r="A6" s="27" t="s">
        <v>28</v>
      </c>
      <c r="B6" s="98" t="s">
        <v>3</v>
      </c>
      <c r="C6" s="99" t="s">
        <v>32</v>
      </c>
      <c r="D6" s="99" t="s">
        <v>22</v>
      </c>
      <c r="E6" s="99" t="s">
        <v>18</v>
      </c>
      <c r="F6" s="99" t="s">
        <v>9</v>
      </c>
      <c r="G6" s="25" t="s">
        <v>4</v>
      </c>
      <c r="H6" s="25" t="s">
        <v>13</v>
      </c>
      <c r="I6" s="25" t="s">
        <v>14</v>
      </c>
      <c r="J6" s="25" t="s">
        <v>5</v>
      </c>
      <c r="K6" s="27" t="s">
        <v>16</v>
      </c>
      <c r="L6" s="27" t="s">
        <v>23</v>
      </c>
      <c r="M6" s="27" t="s">
        <v>24</v>
      </c>
      <c r="N6" s="27" t="s">
        <v>29</v>
      </c>
      <c r="O6" s="27" t="s">
        <v>25</v>
      </c>
      <c r="P6" s="27" t="s">
        <v>30</v>
      </c>
      <c r="Q6" s="25" t="s">
        <v>26</v>
      </c>
      <c r="R6" s="25" t="s">
        <v>4</v>
      </c>
      <c r="S6" s="25" t="s">
        <v>13</v>
      </c>
      <c r="T6" s="25" t="s">
        <v>14</v>
      </c>
      <c r="U6" s="25" t="s">
        <v>5</v>
      </c>
      <c r="V6" s="25" t="s">
        <v>4</v>
      </c>
      <c r="W6" s="25" t="s">
        <v>13</v>
      </c>
      <c r="X6" s="25" t="s">
        <v>14</v>
      </c>
      <c r="Y6" s="25" t="s">
        <v>5</v>
      </c>
      <c r="Z6" s="25" t="s">
        <v>4</v>
      </c>
      <c r="AA6" s="25" t="s">
        <v>13</v>
      </c>
      <c r="AB6" s="25" t="s">
        <v>14</v>
      </c>
      <c r="AC6" s="25" t="s">
        <v>5</v>
      </c>
      <c r="AD6" s="25" t="s">
        <v>42</v>
      </c>
      <c r="AE6" s="16" t="s">
        <v>40</v>
      </c>
      <c r="AF6" s="14" t="s">
        <v>41</v>
      </c>
      <c r="AG6" s="42"/>
      <c r="AH6" s="44"/>
      <c r="AM6" s="1"/>
      <c r="AN6" s="1"/>
      <c r="AO6" s="1"/>
      <c r="AP6" s="1"/>
      <c r="AQ6" s="1"/>
    </row>
    <row r="7" spans="1:43" x14ac:dyDescent="0.45">
      <c r="A7" s="4">
        <v>45971</v>
      </c>
      <c r="B7" s="55">
        <v>1</v>
      </c>
      <c r="C7" s="9" t="str">
        <f>IF(B7="","",
  IF(MOD($B7,1)=0,
    "Dimensions: L W H",
    "-"
  )
)</f>
        <v>Dimensions: L W H</v>
      </c>
      <c r="D7" s="8" t="str">
        <f>IF(E7="","",
  IF(MOD($B7,1)=0,
    "완료",
    "-"
  )
)</f>
        <v>완료</v>
      </c>
      <c r="E7" s="1" t="s">
        <v>45</v>
      </c>
      <c r="F7" s="3"/>
      <c r="G7" s="1" t="s">
        <v>43</v>
      </c>
      <c r="H7" s="1" t="s">
        <v>17</v>
      </c>
      <c r="I7" s="1" t="s">
        <v>17</v>
      </c>
      <c r="J7" s="1" t="s">
        <v>43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종합!$C$29, "")</f>
        <v>2.2599999999999998</v>
      </c>
      <c r="Q7" s="1" t="s">
        <v>17</v>
      </c>
      <c r="R7" s="9" t="str">
        <f>IF(MOD($B7,5)=0, "스핀들유격: ","-" )</f>
        <v>-</v>
      </c>
      <c r="S7" s="9" t="str">
        <f>IF(MOD($B7,5)=0, "스핀들유격: ","-" )</f>
        <v>-</v>
      </c>
      <c r="T7" s="9" t="str">
        <f>IF(MOD($B7,5)=0, "스핀들유격: ","-" )</f>
        <v>-</v>
      </c>
      <c r="U7" s="9" t="str">
        <f>IF(MOD($B7,5)=0, "스핀들유격: ","-" )</f>
        <v>-</v>
      </c>
      <c r="V7" s="9" t="str">
        <f>IF(MOD($B7,5)=0, "000-000","-" )</f>
        <v>-</v>
      </c>
      <c r="W7" s="9" t="str">
        <f>IF(MOD($B7,5)=0, "000-000","-" )</f>
        <v>-</v>
      </c>
      <c r="X7" s="9" t="str">
        <f>IF(MOD($B7,5)=0, "000-000","-" )</f>
        <v>-</v>
      </c>
      <c r="Y7" s="9" t="str">
        <f>IF(MOD($B7,5)=0, "000-000","-" )</f>
        <v>-</v>
      </c>
      <c r="Z7" s="9" t="str">
        <f>IF(MOD($B7,5)=0, "000-000","-" )</f>
        <v>-</v>
      </c>
      <c r="AA7" s="9" t="str">
        <f>IF(MOD($B7,5)=0, "000-000","-" )</f>
        <v>-</v>
      </c>
      <c r="AB7" s="9" t="str">
        <f>IF(MOD($B7,5)=0, "000-000","-" )</f>
        <v>-</v>
      </c>
      <c r="AC7" s="9" t="str">
        <f>IF(MOD($B7,5)=0, "000-000","-" )</f>
        <v>-</v>
      </c>
      <c r="AD7" s="9" t="str">
        <f>IF(MOD($B7,5)=0, "스핀들소음 :","-" )</f>
        <v>-</v>
      </c>
      <c r="AE7" s="9" t="str">
        <f>IF(MOD($B7,40)=0, "필터세척 :"&amp; CHAR(10) &amp; "FLOW   (T1, T4 : / T2, T3 : / T4 : )","-" )</f>
        <v>-</v>
      </c>
      <c r="AF7" s="9" t="str">
        <f>IF($B7="","",
  IF(MOD($B7,160)=0,
    "TENSION (XL : / ZL : / XR : / ZR : / Y : )" &amp; CHAR(10) &amp;
    "필터교체",
    "-"
  )
)</f>
        <v>-</v>
      </c>
      <c r="AG7" s="1" t="s">
        <v>17</v>
      </c>
      <c r="AH7" s="1" t="s">
        <v>17</v>
      </c>
    </row>
    <row r="8" spans="1:43" x14ac:dyDescent="0.45">
      <c r="A8" s="4">
        <v>45971</v>
      </c>
      <c r="B8" s="55">
        <v>2</v>
      </c>
      <c r="C8" s="9" t="str">
        <f>IF(B8="","",
  IF(MOD($B8,1)=0,
    "Dimensions: L W H",
    "-"
  )
)</f>
        <v>Dimensions: L W H</v>
      </c>
      <c r="D8" s="8" t="str">
        <f>IF(E8="","",
  IF(MOD($B8,1)=0,
    "완료",
    "-"
  )
)</f>
        <v>완료</v>
      </c>
      <c r="E8" s="1" t="s">
        <v>45</v>
      </c>
      <c r="F8" s="3"/>
      <c r="G8" s="1" t="s">
        <v>43</v>
      </c>
      <c r="H8" s="1" t="s">
        <v>17</v>
      </c>
      <c r="I8" s="1" t="s">
        <v>17</v>
      </c>
      <c r="J8" s="1" t="s">
        <v>43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종합!$C$29, "")</f>
        <v>2.2599999999999998</v>
      </c>
      <c r="Q8" s="1" t="s">
        <v>17</v>
      </c>
      <c r="R8" s="9" t="str">
        <f>IF(MOD($B8,5)=0, "스핀들유격: ","-" )</f>
        <v>-</v>
      </c>
      <c r="S8" s="9" t="str">
        <f>IF(MOD($B8,5)=0, "스핀들유격: ","-" )</f>
        <v>-</v>
      </c>
      <c r="T8" s="9" t="str">
        <f>IF(MOD($B8,5)=0, "스핀들유격: ","-" )</f>
        <v>-</v>
      </c>
      <c r="U8" s="9" t="str">
        <f>IF(MOD($B8,5)=0, "스핀들유격: ","-" )</f>
        <v>-</v>
      </c>
      <c r="V8" s="9" t="str">
        <f>IF(MOD($B8,5)=0, "000-000","-" )</f>
        <v>-</v>
      </c>
      <c r="W8" s="9" t="str">
        <f>IF(MOD($B8,5)=0, "000-000","-" )</f>
        <v>-</v>
      </c>
      <c r="X8" s="9" t="str">
        <f>IF(MOD($B8,5)=0, "000-000","-" )</f>
        <v>-</v>
      </c>
      <c r="Y8" s="9" t="str">
        <f>IF(MOD($B8,5)=0, "000-000","-" )</f>
        <v>-</v>
      </c>
      <c r="Z8" s="9" t="str">
        <f>IF(MOD($B8,5)=0, "000-000","-" )</f>
        <v>-</v>
      </c>
      <c r="AA8" s="9" t="str">
        <f>IF(MOD($B8,5)=0, "000-000","-" )</f>
        <v>-</v>
      </c>
      <c r="AB8" s="9" t="str">
        <f>IF(MOD($B8,5)=0, "000-000","-" )</f>
        <v>-</v>
      </c>
      <c r="AC8" s="9" t="str">
        <f>IF(MOD($B8,5)=0, "000-000","-" )</f>
        <v>-</v>
      </c>
      <c r="AD8" s="9" t="str">
        <f>IF(MOD($B8,5)=0, "스핀들소음 :","-" )</f>
        <v>-</v>
      </c>
      <c r="AE8" s="9" t="str">
        <f>IF(MOD($B8,40)=0, "필터세척 :"&amp; CHAR(10) &amp; "FLOW   (T1, T4 : / T2, T3 : / T4 : )","-" )</f>
        <v>-</v>
      </c>
      <c r="AF8" s="9" t="str">
        <f>IF($B8="","",
  IF(MOD(B8,160)=0,
    "TENSION (XL : / ZL : / XR : / ZR : / Y : )" &amp; CHAR(10) &amp;
    "필터교체",
    "-"
  )
)</f>
        <v>-</v>
      </c>
      <c r="AG8" s="1" t="s">
        <v>17</v>
      </c>
      <c r="AH8" s="1" t="s">
        <v>17</v>
      </c>
    </row>
    <row r="9" spans="1:43" x14ac:dyDescent="0.45">
      <c r="A9" s="4">
        <v>45971</v>
      </c>
      <c r="B9" s="55">
        <v>3</v>
      </c>
      <c r="C9" s="9" t="str">
        <f>IF(B9="","",
  IF(MOD($B9,1)=0,
    "Dimensions: L W H",
    "-"
  )
)</f>
        <v>Dimensions: L W H</v>
      </c>
      <c r="D9" s="8" t="str">
        <f>IF(E9="","",
  IF(MOD($B9,1)=0,
    "완료",
    "-"
  )
)</f>
        <v>완료</v>
      </c>
      <c r="E9" s="1" t="s">
        <v>45</v>
      </c>
      <c r="F9" s="3"/>
      <c r="G9" s="1" t="s">
        <v>43</v>
      </c>
      <c r="H9" s="1" t="s">
        <v>17</v>
      </c>
      <c r="I9" s="1" t="s">
        <v>17</v>
      </c>
      <c r="J9" s="1" t="s">
        <v>43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종합!$C$29, "")</f>
        <v>2.2599999999999998</v>
      </c>
      <c r="Q9" s="1" t="s">
        <v>17</v>
      </c>
      <c r="R9" s="9" t="str">
        <f>IF(MOD($B9,5)=0, "스핀들유격: ","-" )</f>
        <v>-</v>
      </c>
      <c r="S9" s="9" t="str">
        <f>IF(MOD($B9,5)=0, "스핀들유격: ","-" )</f>
        <v>-</v>
      </c>
      <c r="T9" s="9" t="str">
        <f>IF(MOD($B9,5)=0, "스핀들유격: ","-" )</f>
        <v>-</v>
      </c>
      <c r="U9" s="9" t="str">
        <f>IF(MOD($B9,5)=0, "스핀들유격: ","-" )</f>
        <v>-</v>
      </c>
      <c r="V9" s="9" t="str">
        <f>IF(MOD($B9,5)=0, "000-000","-" )</f>
        <v>-</v>
      </c>
      <c r="W9" s="9" t="str">
        <f>IF(MOD($B9,5)=0, "000-000","-" )</f>
        <v>-</v>
      </c>
      <c r="X9" s="9" t="str">
        <f>IF(MOD($B9,5)=0, "000-000","-" )</f>
        <v>-</v>
      </c>
      <c r="Y9" s="9" t="str">
        <f>IF(MOD($B9,5)=0, "000-000","-" )</f>
        <v>-</v>
      </c>
      <c r="Z9" s="9" t="str">
        <f>IF(MOD($B9,5)=0, "000-000","-" )</f>
        <v>-</v>
      </c>
      <c r="AA9" s="9" t="str">
        <f>IF(MOD($B9,5)=0, "000-000","-" )</f>
        <v>-</v>
      </c>
      <c r="AB9" s="9" t="str">
        <f>IF(MOD($B9,5)=0, "000-000","-" )</f>
        <v>-</v>
      </c>
      <c r="AC9" s="9" t="str">
        <f>IF(MOD($B9,5)=0, "000-000","-" )</f>
        <v>-</v>
      </c>
      <c r="AD9" s="9" t="str">
        <f>IF(MOD($B9,5)=0, "스핀들소음 :","-" )</f>
        <v>-</v>
      </c>
      <c r="AE9" s="9" t="str">
        <f>IF(MOD($B9,40)=0, "필터세척 :"&amp; CHAR(10) &amp; "FLOW   (T1, T4 : / T2, T3 : / T4 : )","-" )</f>
        <v>-</v>
      </c>
      <c r="AF9" s="9" t="str">
        <f>IF($B9="","",
  IF(MOD(B9,160)=0,
    "TENSION (XL : / ZL : / XR : / ZR : / Y : )" &amp; CHAR(10) &amp;
    "필터교체",
    "-"
  )
)</f>
        <v>-</v>
      </c>
      <c r="AG9" s="1" t="s">
        <v>17</v>
      </c>
      <c r="AH9" s="1" t="s">
        <v>17</v>
      </c>
    </row>
    <row r="10" spans="1:43" x14ac:dyDescent="0.45">
      <c r="A10" s="4">
        <v>45971</v>
      </c>
      <c r="B10" s="55">
        <v>4</v>
      </c>
      <c r="C10" s="9" t="str">
        <f>IF(B10="","",
  IF(MOD($B10,1)=0,
    "Dimensions: L W H",
    "-"
  )
)</f>
        <v>Dimensions: L W H</v>
      </c>
      <c r="D10" s="8" t="str">
        <f>IF(E10="","",
  IF(MOD($B10,1)=0,
    "완료",
    "-"
  )
)</f>
        <v>완료</v>
      </c>
      <c r="E10" s="1" t="s">
        <v>45</v>
      </c>
      <c r="F10" s="3"/>
      <c r="G10" s="1" t="s">
        <v>43</v>
      </c>
      <c r="H10" s="1" t="s">
        <v>17</v>
      </c>
      <c r="I10" s="1" t="s">
        <v>17</v>
      </c>
      <c r="J10" s="1" t="s">
        <v>43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종합!$C$29, "")</f>
        <v>2.2599999999999998</v>
      </c>
      <c r="Q10" s="1" t="s">
        <v>17</v>
      </c>
      <c r="R10" s="9" t="str">
        <f>IF(MOD($B10,5)=0, "스핀들유격: ","-" )</f>
        <v>-</v>
      </c>
      <c r="S10" s="9" t="str">
        <f>IF(MOD($B10,5)=0, "스핀들유격: ","-" )</f>
        <v>-</v>
      </c>
      <c r="T10" s="9" t="str">
        <f>IF(MOD($B10,5)=0, "스핀들유격: ","-" )</f>
        <v>-</v>
      </c>
      <c r="U10" s="9" t="str">
        <f>IF(MOD($B10,5)=0, "스핀들유격: ","-" )</f>
        <v>-</v>
      </c>
      <c r="V10" s="9" t="str">
        <f>IF(MOD($B10,5)=0, "000-000","-" )</f>
        <v>-</v>
      </c>
      <c r="W10" s="9" t="str">
        <f>IF(MOD($B10,5)=0, "000-000","-" )</f>
        <v>-</v>
      </c>
      <c r="X10" s="9" t="str">
        <f>IF(MOD($B10,5)=0, "000-000","-" )</f>
        <v>-</v>
      </c>
      <c r="Y10" s="9" t="str">
        <f>IF(MOD($B10,5)=0, "000-000","-" )</f>
        <v>-</v>
      </c>
      <c r="Z10" s="9" t="str">
        <f>IF(MOD($B10,5)=0, "000-000","-" )</f>
        <v>-</v>
      </c>
      <c r="AA10" s="9" t="str">
        <f>IF(MOD($B10,5)=0, "000-000","-" )</f>
        <v>-</v>
      </c>
      <c r="AB10" s="9" t="str">
        <f>IF(MOD($B10,5)=0, "000-000","-" )</f>
        <v>-</v>
      </c>
      <c r="AC10" s="9" t="str">
        <f>IF(MOD($B10,5)=0, "000-000","-" )</f>
        <v>-</v>
      </c>
      <c r="AD10" s="9" t="str">
        <f>IF(MOD($B10,5)=0, "스핀들소음 :","-" )</f>
        <v>-</v>
      </c>
      <c r="AE10" s="9" t="str">
        <f>IF(MOD($B10,40)=0, "필터세척 :"&amp; CHAR(10) &amp; "FLOW   (T1, T4 : / T2, T3 : / T4 : )","-" )</f>
        <v>-</v>
      </c>
      <c r="AF10" s="9" t="str">
        <f>IF($B10="","",
  IF(MOD(B10,160)=0,
    "TENSION (XL : / ZL : / XR : / ZR : / Y : )" &amp; CHAR(10) &amp;
    "필터교체",
    "-"
  )
)</f>
        <v>-</v>
      </c>
      <c r="AG10" s="1" t="s">
        <v>17</v>
      </c>
      <c r="AH10" s="1" t="s">
        <v>17</v>
      </c>
    </row>
    <row r="11" spans="1:43" x14ac:dyDescent="0.45">
      <c r="A11" s="4">
        <v>45972</v>
      </c>
      <c r="B11" s="55">
        <v>5</v>
      </c>
      <c r="C11" s="9" t="str">
        <f>IF(B11="","",
  IF(MOD($B11,1)=0,
    "Dimensions: L W H",
    "-"
  )
)</f>
        <v>Dimensions: L W H</v>
      </c>
      <c r="D11" s="8" t="str">
        <f>IF(E11="","",
  IF(MOD($B11,1)=0,
    "완료",
    "-"
  )
)</f>
        <v>완료</v>
      </c>
      <c r="E11" s="1" t="s">
        <v>49</v>
      </c>
      <c r="F11" s="3"/>
      <c r="G11" s="1">
        <v>0</v>
      </c>
      <c r="H11" s="1" t="s">
        <v>17</v>
      </c>
      <c r="I11" s="1" t="s">
        <v>17</v>
      </c>
      <c r="J11" s="1">
        <v>0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종합!$C$29, "")</f>
        <v>2.2599999999999998</v>
      </c>
      <c r="Q11" s="1" t="s">
        <v>17</v>
      </c>
      <c r="R11" s="9" t="s">
        <v>50</v>
      </c>
      <c r="S11" s="9" t="s">
        <v>50</v>
      </c>
      <c r="T11" s="9" t="s">
        <v>50</v>
      </c>
      <c r="U11" s="9" t="s">
        <v>50</v>
      </c>
      <c r="V11" s="9" t="s">
        <v>83</v>
      </c>
      <c r="W11" s="9" t="s">
        <v>84</v>
      </c>
      <c r="X11" s="9" t="s">
        <v>85</v>
      </c>
      <c r="Y11" s="9" t="s">
        <v>86</v>
      </c>
      <c r="Z11" s="9" t="s">
        <v>87</v>
      </c>
      <c r="AA11" s="9" t="s">
        <v>88</v>
      </c>
      <c r="AB11" s="9" t="s">
        <v>89</v>
      </c>
      <c r="AC11" s="9" t="s">
        <v>90</v>
      </c>
      <c r="AD11" s="9" t="s">
        <v>82</v>
      </c>
      <c r="AE11" s="9" t="str">
        <f>IF(MOD($B11,40)=0, "필터세척 :"&amp; CHAR(10) &amp; "FLOW   (T1, T4 : / T2, T3 : / T4 : )","-" )</f>
        <v>-</v>
      </c>
      <c r="AF11" s="9" t="str">
        <f>IF($B11="","",
  IF(MOD(B11,160)=0,
    "TENSION (XL : / ZL : / XR : / ZR : / Y : )" &amp; CHAR(10) &amp;
    "필터교체",
    "-"
  )
)</f>
        <v>-</v>
      </c>
      <c r="AG11" s="1" t="s">
        <v>17</v>
      </c>
      <c r="AH11" s="1" t="s">
        <v>17</v>
      </c>
    </row>
    <row r="12" spans="1:43" ht="204" x14ac:dyDescent="0.45">
      <c r="A12" s="4">
        <v>45972</v>
      </c>
      <c r="B12" s="55">
        <v>6</v>
      </c>
      <c r="C12" s="9" t="str">
        <f>IF(B12="","",
  IF(MOD($B12,1)=0,
    "Dimensions: L W H",
    "-"
  )
)</f>
        <v>Dimensions: L W H</v>
      </c>
      <c r="D12" s="8" t="s">
        <v>107</v>
      </c>
      <c r="E12" s="1" t="s">
        <v>45</v>
      </c>
      <c r="F12" s="3"/>
      <c r="G12" s="1">
        <v>1</v>
      </c>
      <c r="H12" s="1" t="s">
        <v>17</v>
      </c>
      <c r="I12" s="1" t="s">
        <v>17</v>
      </c>
      <c r="J12" s="1">
        <v>1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종합!$C$29, "")</f>
        <v>2.2599999999999998</v>
      </c>
      <c r="Q12" s="1" t="s">
        <v>17</v>
      </c>
      <c r="R12" s="9" t="str">
        <f>IF(MOD($B12,5)=0, "스핀들유격: ","-" )</f>
        <v>-</v>
      </c>
      <c r="S12" s="9" t="str">
        <f>IF(MOD($B12,5)=0, "스핀들유격: ","-" )</f>
        <v>-</v>
      </c>
      <c r="T12" s="9" t="str">
        <f>IF(MOD($B12,5)=0, "스핀들유격: ","-" )</f>
        <v>-</v>
      </c>
      <c r="U12" s="9" t="str">
        <f>IF(MOD($B12,5)=0, "스핀들유격: ","-" )</f>
        <v>-</v>
      </c>
      <c r="V12" s="9" t="str">
        <f>IF(MOD($B12,5)=0, "000-000","-" )</f>
        <v>-</v>
      </c>
      <c r="W12" s="9" t="str">
        <f>IF(MOD($B12,5)=0, "000-000","-" )</f>
        <v>-</v>
      </c>
      <c r="X12" s="9" t="str">
        <f>IF(MOD($B12,5)=0, "000-000","-" )</f>
        <v>-</v>
      </c>
      <c r="Y12" s="9" t="str">
        <f>IF(MOD($B12,5)=0, "000-000","-" )</f>
        <v>-</v>
      </c>
      <c r="Z12" s="9" t="str">
        <f>IF(MOD($B12,5)=0, "000-000","-" )</f>
        <v>-</v>
      </c>
      <c r="AA12" s="9" t="str">
        <f>IF(MOD($B12,5)=0, "000-000","-" )</f>
        <v>-</v>
      </c>
      <c r="AB12" s="9" t="str">
        <f>IF(MOD($B12,5)=0, "000-000","-" )</f>
        <v>-</v>
      </c>
      <c r="AC12" s="9" t="str">
        <f>IF(MOD($B12,5)=0, "000-000","-" )</f>
        <v>-</v>
      </c>
      <c r="AD12" s="9" t="str">
        <f>IF(MOD($B12,5)=0, "스핀들소음 :","-" )</f>
        <v>-</v>
      </c>
      <c r="AE12" s="9" t="str">
        <f>IF(MOD($B12,40)=0, "필터세척 :"&amp; CHAR(10) &amp; "FLOW   (T1, T4 : / T2, T3 : / T4 : )","-" )</f>
        <v>-</v>
      </c>
      <c r="AF12" s="9" t="str">
        <f>IF($B12="","",
  IF(MOD(B12,160)=0,
    "TENSION (XL : / ZL : / XR : / ZR : / Y : )" &amp; CHAR(10) &amp;
    "필터교체",
    "-"
  )
)</f>
        <v>-</v>
      </c>
      <c r="AG12" s="9" t="s">
        <v>65</v>
      </c>
      <c r="AH12" s="1" t="s">
        <v>17</v>
      </c>
    </row>
    <row r="13" spans="1:43" x14ac:dyDescent="0.45">
      <c r="A13" s="4"/>
      <c r="B13" s="55"/>
      <c r="C13" s="9"/>
      <c r="D13" s="8"/>
      <c r="E13" s="1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"/>
      <c r="AH13" s="2"/>
    </row>
    <row r="14" spans="1:43" x14ac:dyDescent="0.45">
      <c r="A14" s="4"/>
      <c r="B14" s="55"/>
      <c r="C14" s="9"/>
      <c r="D14" s="8"/>
      <c r="E14" s="1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"/>
      <c r="AH14" s="2"/>
    </row>
    <row r="15" spans="1:43" x14ac:dyDescent="0.45">
      <c r="A15" s="4"/>
      <c r="B15" s="55"/>
      <c r="C15" s="9"/>
      <c r="D15" s="8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"/>
      <c r="AH15" s="2"/>
    </row>
    <row r="16" spans="1:43" x14ac:dyDescent="0.45">
      <c r="A16" s="4"/>
      <c r="B16" s="55"/>
      <c r="C16" s="9"/>
      <c r="D16" s="8"/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"/>
      <c r="AH16" s="2"/>
    </row>
    <row r="17" spans="1:34" x14ac:dyDescent="0.45">
      <c r="A17" s="4"/>
      <c r="B17" s="55"/>
      <c r="C17" s="9"/>
      <c r="D17" s="8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"/>
      <c r="AH17" s="2"/>
    </row>
    <row r="18" spans="1:34" x14ac:dyDescent="0.45">
      <c r="A18" s="4"/>
      <c r="B18" s="55"/>
      <c r="C18" s="9"/>
      <c r="D18" s="8"/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"/>
      <c r="AH18" s="2"/>
    </row>
    <row r="19" spans="1:34" x14ac:dyDescent="0.45">
      <c r="A19" s="7" t="s">
        <v>19</v>
      </c>
      <c r="B19" s="81" t="s">
        <v>19</v>
      </c>
      <c r="C19" s="7" t="s">
        <v>19</v>
      </c>
      <c r="D19" s="7" t="s">
        <v>19</v>
      </c>
      <c r="E19" s="7" t="s">
        <v>19</v>
      </c>
      <c r="F19" s="7" t="s">
        <v>19</v>
      </c>
      <c r="G19" s="7" t="s">
        <v>19</v>
      </c>
      <c r="H19" s="7" t="s">
        <v>19</v>
      </c>
      <c r="I19" s="7" t="s">
        <v>19</v>
      </c>
      <c r="J19" s="7" t="s">
        <v>19</v>
      </c>
      <c r="K19" s="7" t="s">
        <v>19</v>
      </c>
      <c r="L19" s="7" t="s">
        <v>19</v>
      </c>
      <c r="M19" s="7" t="s">
        <v>19</v>
      </c>
      <c r="N19" s="7" t="s">
        <v>19</v>
      </c>
      <c r="O19" s="7" t="s">
        <v>19</v>
      </c>
      <c r="P19" s="7" t="s">
        <v>19</v>
      </c>
      <c r="Q19" s="7" t="s">
        <v>19</v>
      </c>
      <c r="R19" s="7" t="s">
        <v>19</v>
      </c>
      <c r="S19" s="7" t="s">
        <v>19</v>
      </c>
      <c r="T19" s="7" t="s">
        <v>19</v>
      </c>
      <c r="U19" s="7" t="s">
        <v>19</v>
      </c>
      <c r="V19" s="7" t="s">
        <v>19</v>
      </c>
      <c r="W19" s="7" t="s">
        <v>19</v>
      </c>
      <c r="X19" s="7" t="s">
        <v>19</v>
      </c>
      <c r="Y19" s="7" t="s">
        <v>19</v>
      </c>
      <c r="Z19" s="7" t="s">
        <v>19</v>
      </c>
      <c r="AA19" s="7" t="s">
        <v>19</v>
      </c>
      <c r="AB19" s="7" t="s">
        <v>19</v>
      </c>
      <c r="AC19" s="7" t="s">
        <v>19</v>
      </c>
      <c r="AD19" s="7" t="s">
        <v>19</v>
      </c>
      <c r="AE19" s="7" t="s">
        <v>19</v>
      </c>
      <c r="AF19" s="7" t="s">
        <v>19</v>
      </c>
      <c r="AG19" s="7" t="s">
        <v>19</v>
      </c>
      <c r="AH19" s="7" t="s">
        <v>19</v>
      </c>
    </row>
  </sheetData>
  <mergeCells count="11"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">
    <cfRule type="containsText" dxfId="174" priority="32" operator="containsText" text="신품">
      <formula>NOT(ISERROR(SEARCH("신품",G7)))</formula>
    </cfRule>
    <cfRule type="containsText" dxfId="173" priority="33" operator="containsText" text="중고">
      <formula>NOT(ISERROR(SEARCH("중고",G7)))</formula>
    </cfRule>
  </conditionalFormatting>
  <conditionalFormatting sqref="J7:J9">
    <cfRule type="containsText" dxfId="172" priority="30" operator="containsText" text="신품">
      <formula>NOT(ISERROR(SEARCH("신품",J7)))</formula>
    </cfRule>
    <cfRule type="containsText" dxfId="171" priority="31" operator="containsText" text="중고">
      <formula>NOT(ISERROR(SEARCH("중고",J7)))</formula>
    </cfRule>
  </conditionalFormatting>
  <conditionalFormatting sqref="I10 G10">
    <cfRule type="containsText" dxfId="168" priority="26" operator="containsText" text="신품">
      <formula>NOT(ISERROR(SEARCH("신품",G10)))</formula>
    </cfRule>
    <cfRule type="containsText" dxfId="167" priority="27" operator="containsText" text="중고">
      <formula>NOT(ISERROR(SEARCH("중고",G10)))</formula>
    </cfRule>
  </conditionalFormatting>
  <conditionalFormatting sqref="J10">
    <cfRule type="containsText" dxfId="166" priority="24" operator="containsText" text="신품">
      <formula>NOT(ISERROR(SEARCH("신품",J10)))</formula>
    </cfRule>
    <cfRule type="containsText" dxfId="165" priority="25" operator="containsText" text="중고">
      <formula>NOT(ISERROR(SEARCH("중고",J10)))</formula>
    </cfRule>
  </conditionalFormatting>
  <conditionalFormatting sqref="G11 I11">
    <cfRule type="containsText" dxfId="162" priority="20" operator="containsText" text="신품">
      <formula>NOT(ISERROR(SEARCH("신품",G11)))</formula>
    </cfRule>
    <cfRule type="containsText" dxfId="161" priority="21" operator="containsText" text="중고">
      <formula>NOT(ISERROR(SEARCH("중고",G11)))</formula>
    </cfRule>
  </conditionalFormatting>
  <conditionalFormatting sqref="J11">
    <cfRule type="containsText" dxfId="160" priority="18" operator="containsText" text="신품">
      <formula>NOT(ISERROR(SEARCH("신품",J11)))</formula>
    </cfRule>
    <cfRule type="containsText" dxfId="159" priority="19" operator="containsText" text="중고">
      <formula>NOT(ISERROR(SEARCH("중고",J11)))</formula>
    </cfRule>
  </conditionalFormatting>
  <conditionalFormatting sqref="G12:G18 I12:I18">
    <cfRule type="containsText" dxfId="156" priority="14" operator="containsText" text="신품">
      <formula>NOT(ISERROR(SEARCH("신품",G12)))</formula>
    </cfRule>
    <cfRule type="containsText" dxfId="155" priority="15" operator="containsText" text="중고">
      <formula>NOT(ISERROR(SEARCH("중고",G12)))</formula>
    </cfRule>
  </conditionalFormatting>
  <conditionalFormatting sqref="J12:J18">
    <cfRule type="containsText" dxfId="154" priority="12" operator="containsText" text="신품">
      <formula>NOT(ISERROR(SEARCH("신품",J12)))</formula>
    </cfRule>
    <cfRule type="containsText" dxfId="153" priority="13" operator="containsText" text="중고">
      <formula>NOT(ISERROR(SEARCH("중고",J12)))</formula>
    </cfRule>
  </conditionalFormatting>
  <conditionalFormatting sqref="D7:D9">
    <cfRule type="containsText" dxfId="150" priority="8" operator="containsText" text="완료">
      <formula>NOT(ISERROR(SEARCH("완료",D7)))</formula>
    </cfRule>
    <cfRule type="containsText" dxfId="149" priority="9" operator="containsText" text="중단">
      <formula>NOT(ISERROR(SEARCH("중단",D7)))</formula>
    </cfRule>
  </conditionalFormatting>
  <conditionalFormatting sqref="D10">
    <cfRule type="containsText" dxfId="148" priority="6" operator="containsText" text="완료">
      <formula>NOT(ISERROR(SEARCH("완료",D10)))</formula>
    </cfRule>
    <cfRule type="containsText" dxfId="147" priority="7" operator="containsText" text="중단">
      <formula>NOT(ISERROR(SEARCH("중단",D10)))</formula>
    </cfRule>
  </conditionalFormatting>
  <conditionalFormatting sqref="D11">
    <cfRule type="containsText" dxfId="146" priority="4" operator="containsText" text="완료">
      <formula>NOT(ISERROR(SEARCH("완료",D11)))</formula>
    </cfRule>
    <cfRule type="containsText" dxfId="145" priority="5" operator="containsText" text="중단">
      <formula>NOT(ISERROR(SEARCH("중단",D11)))</formula>
    </cfRule>
  </conditionalFormatting>
  <conditionalFormatting sqref="D12:D18">
    <cfRule type="containsText" dxfId="144" priority="2" operator="containsText" text="완료">
      <formula>NOT(ISERROR(SEARCH("완료",D12)))</formula>
    </cfRule>
    <cfRule type="containsText" dxfId="143" priority="3" operator="containsText" text="중단">
      <formula>NOT(ISERROR(SEARCH("중단",D12)))</formula>
    </cfRule>
  </conditionalFormatting>
  <conditionalFormatting sqref="D7:D19">
    <cfRule type="containsText" dxfId="142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dimension ref="A1:AQ20"/>
  <sheetViews>
    <sheetView zoomScale="67" workbookViewId="0">
      <selection activeCell="A12" sqref="A12"/>
    </sheetView>
  </sheetViews>
  <sheetFormatPr defaultRowHeight="17" x14ac:dyDescent="0.45"/>
  <cols>
    <col min="1" max="1" width="11.33203125" bestFit="1" customWidth="1"/>
    <col min="2" max="2" width="11.4140625" style="6" customWidth="1"/>
    <col min="3" max="3" width="44.1640625" customWidth="1"/>
    <col min="4" max="4" width="12.9140625" style="6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78" t="s">
        <v>20</v>
      </c>
      <c r="B1" s="26"/>
      <c r="C1" s="79"/>
      <c r="D1" s="79"/>
      <c r="E1" s="79"/>
      <c r="F1" s="80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</row>
    <row r="2" spans="1:43" x14ac:dyDescent="0.45">
      <c r="A2" s="34" t="s">
        <v>11</v>
      </c>
      <c r="B2" s="89" t="s">
        <v>108</v>
      </c>
      <c r="C2" s="90"/>
      <c r="D2" s="90"/>
      <c r="E2" s="90"/>
      <c r="F2" s="91"/>
      <c r="G2" s="34" t="s">
        <v>111</v>
      </c>
      <c r="H2" s="34"/>
      <c r="I2" s="34"/>
      <c r="J2" s="34"/>
      <c r="K2" s="34"/>
      <c r="L2" s="34"/>
      <c r="M2" s="34"/>
      <c r="N2" s="34"/>
      <c r="O2" s="34"/>
      <c r="P2" s="34"/>
      <c r="Q2" s="39" t="s">
        <v>27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  <c r="AG2" s="39" t="s">
        <v>10</v>
      </c>
      <c r="AH2" s="41"/>
    </row>
    <row r="3" spans="1:43" x14ac:dyDescent="0.45">
      <c r="A3" s="34"/>
      <c r="B3" s="92"/>
      <c r="C3" s="93"/>
      <c r="D3" s="93"/>
      <c r="E3" s="93"/>
      <c r="F3" s="94"/>
      <c r="G3" s="34"/>
      <c r="H3" s="34"/>
      <c r="I3" s="34"/>
      <c r="J3" s="34"/>
      <c r="K3" s="34"/>
      <c r="L3" s="34"/>
      <c r="M3" s="34"/>
      <c r="N3" s="34"/>
      <c r="O3" s="34"/>
      <c r="P3" s="34"/>
      <c r="Q3" s="42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  <c r="AG3" s="45"/>
      <c r="AH3" s="46"/>
    </row>
    <row r="4" spans="1:43" x14ac:dyDescent="0.45">
      <c r="A4" s="34"/>
      <c r="B4" s="92"/>
      <c r="C4" s="93"/>
      <c r="D4" s="93"/>
      <c r="E4" s="93"/>
      <c r="F4" s="94"/>
      <c r="G4" s="34"/>
      <c r="H4" s="34"/>
      <c r="I4" s="34"/>
      <c r="J4" s="34"/>
      <c r="K4" s="34"/>
      <c r="L4" s="34"/>
      <c r="M4" s="34"/>
      <c r="N4" s="34"/>
      <c r="O4" s="34"/>
      <c r="P4" s="34"/>
      <c r="Q4" s="10"/>
      <c r="R4" s="31" t="s">
        <v>36</v>
      </c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2"/>
      <c r="AE4" s="13" t="s">
        <v>37</v>
      </c>
      <c r="AF4" s="13" t="s">
        <v>38</v>
      </c>
      <c r="AG4" s="45"/>
      <c r="AH4" s="46"/>
    </row>
    <row r="5" spans="1:43" x14ac:dyDescent="0.45">
      <c r="A5" s="34"/>
      <c r="B5" s="95"/>
      <c r="C5" s="96"/>
      <c r="D5" s="96"/>
      <c r="E5" s="96"/>
      <c r="F5" s="97"/>
      <c r="G5" s="38" t="s">
        <v>39</v>
      </c>
      <c r="H5" s="38"/>
      <c r="I5" s="38"/>
      <c r="J5" s="38"/>
      <c r="K5" s="17"/>
      <c r="L5" s="35" t="s">
        <v>110</v>
      </c>
      <c r="M5" s="36"/>
      <c r="N5" s="36"/>
      <c r="O5" s="37"/>
      <c r="P5" s="82" t="s">
        <v>109</v>
      </c>
      <c r="Q5" s="12" t="s">
        <v>31</v>
      </c>
      <c r="R5" s="30" t="s">
        <v>48</v>
      </c>
      <c r="S5" s="31"/>
      <c r="T5" s="31"/>
      <c r="U5" s="32"/>
      <c r="V5" s="30" t="s">
        <v>21</v>
      </c>
      <c r="W5" s="31"/>
      <c r="X5" s="31"/>
      <c r="Y5" s="32"/>
      <c r="Z5" s="33" t="s">
        <v>34</v>
      </c>
      <c r="AA5" s="33"/>
      <c r="AB5" s="33"/>
      <c r="AC5" s="33"/>
      <c r="AD5" s="33"/>
      <c r="AE5" s="15"/>
      <c r="AF5" s="13"/>
      <c r="AG5" s="45"/>
      <c r="AH5" s="46"/>
    </row>
    <row r="6" spans="1:43" x14ac:dyDescent="0.45">
      <c r="A6" s="5" t="s">
        <v>28</v>
      </c>
      <c r="B6" s="98" t="s">
        <v>3</v>
      </c>
      <c r="C6" s="99" t="s">
        <v>32</v>
      </c>
      <c r="D6" s="99" t="s">
        <v>22</v>
      </c>
      <c r="E6" s="99" t="s">
        <v>18</v>
      </c>
      <c r="F6" s="99" t="s">
        <v>9</v>
      </c>
      <c r="G6" s="11" t="s">
        <v>4</v>
      </c>
      <c r="H6" s="11" t="s">
        <v>13</v>
      </c>
      <c r="I6" s="11" t="s">
        <v>14</v>
      </c>
      <c r="J6" s="11" t="s">
        <v>5</v>
      </c>
      <c r="K6" s="5" t="s">
        <v>16</v>
      </c>
      <c r="L6" s="5" t="s">
        <v>23</v>
      </c>
      <c r="M6" s="5" t="s">
        <v>24</v>
      </c>
      <c r="N6" s="5" t="s">
        <v>29</v>
      </c>
      <c r="O6" s="5" t="s">
        <v>25</v>
      </c>
      <c r="P6" s="5" t="s">
        <v>30</v>
      </c>
      <c r="Q6" s="11" t="s">
        <v>26</v>
      </c>
      <c r="R6" s="11" t="s">
        <v>4</v>
      </c>
      <c r="S6" s="11" t="s">
        <v>13</v>
      </c>
      <c r="T6" s="11" t="s">
        <v>14</v>
      </c>
      <c r="U6" s="11" t="s">
        <v>5</v>
      </c>
      <c r="V6" s="11" t="s">
        <v>4</v>
      </c>
      <c r="W6" s="11" t="s">
        <v>13</v>
      </c>
      <c r="X6" s="11" t="s">
        <v>14</v>
      </c>
      <c r="Y6" s="11" t="s">
        <v>5</v>
      </c>
      <c r="Z6" s="11" t="s">
        <v>4</v>
      </c>
      <c r="AA6" s="11" t="s">
        <v>13</v>
      </c>
      <c r="AB6" s="11" t="s">
        <v>14</v>
      </c>
      <c r="AC6" s="11" t="s">
        <v>5</v>
      </c>
      <c r="AD6" s="11" t="s">
        <v>42</v>
      </c>
      <c r="AE6" s="16" t="s">
        <v>40</v>
      </c>
      <c r="AF6" s="14" t="s">
        <v>41</v>
      </c>
      <c r="AG6" s="42"/>
      <c r="AH6" s="44"/>
      <c r="AM6" s="1"/>
      <c r="AN6" s="1"/>
      <c r="AO6" s="1"/>
      <c r="AP6" s="1"/>
      <c r="AQ6" s="1"/>
    </row>
    <row r="7" spans="1:43" x14ac:dyDescent="0.45">
      <c r="A7" s="4">
        <v>45971</v>
      </c>
      <c r="B7" s="55">
        <v>1</v>
      </c>
      <c r="C7" s="9" t="str">
        <f>IF(B7="","",
  IF(MOD($B7,1)=0,
    "Dimensions: L W H",
    "-"
  )
)</f>
        <v>Dimensions: L W H</v>
      </c>
      <c r="D7" s="8" t="str">
        <f>IF(E7="","",
  IF(MOD($B7,1)=0,
    "완료",
    "-"
  )
)</f>
        <v>완료</v>
      </c>
      <c r="E7" s="1" t="s">
        <v>45</v>
      </c>
      <c r="F7" s="3"/>
      <c r="G7" s="1" t="s">
        <v>43</v>
      </c>
      <c r="H7" s="1" t="s">
        <v>17</v>
      </c>
      <c r="I7" s="1" t="s">
        <v>17</v>
      </c>
      <c r="J7" s="1" t="s">
        <v>43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종합!$C$29, "")</f>
        <v>2.2599999999999998</v>
      </c>
      <c r="Q7" s="1" t="s">
        <v>17</v>
      </c>
      <c r="R7" s="9" t="str">
        <f>IF(MOD($B7,5)=0, "스핀들유격: ","-" )</f>
        <v>-</v>
      </c>
      <c r="S7" s="9" t="str">
        <f>IF(MOD($B7,5)=0, "스핀들유격: ","-" )</f>
        <v>-</v>
      </c>
      <c r="T7" s="9" t="str">
        <f>IF(MOD($B7,5)=0, "스핀들유격: ","-" )</f>
        <v>-</v>
      </c>
      <c r="U7" s="9" t="str">
        <f>IF(MOD($B7,5)=0, "스핀들유격: ","-" )</f>
        <v>-</v>
      </c>
      <c r="V7" s="9" t="str">
        <f>IF(MOD($B7,5)=0, "000-000","-" )</f>
        <v>-</v>
      </c>
      <c r="W7" s="9" t="str">
        <f>IF(MOD($B7,5)=0, "000-000","-" )</f>
        <v>-</v>
      </c>
      <c r="X7" s="9" t="str">
        <f>IF(MOD($B7,5)=0, "000-000","-" )</f>
        <v>-</v>
      </c>
      <c r="Y7" s="9" t="str">
        <f>IF(MOD($B7,5)=0, "000-000","-" )</f>
        <v>-</v>
      </c>
      <c r="Z7" s="9" t="str">
        <f>IF(MOD($B7,5)=0, "000-000","-" )</f>
        <v>-</v>
      </c>
      <c r="AA7" s="9" t="str">
        <f>IF(MOD($B7,5)=0, "000-000","-" )</f>
        <v>-</v>
      </c>
      <c r="AB7" s="9" t="str">
        <f>IF(MOD($B7,5)=0, "000-000","-" )</f>
        <v>-</v>
      </c>
      <c r="AC7" s="9" t="str">
        <f>IF(MOD($B7,5)=0, "000-000","-" )</f>
        <v>-</v>
      </c>
      <c r="AD7" s="9" t="str">
        <f>IF(MOD($B7,5)=0, "스핀들소음 :","-" )</f>
        <v>-</v>
      </c>
      <c r="AE7" s="9" t="str">
        <f>IF(MOD($B7,40)=0, "필터세척 :"&amp; CHAR(10) &amp; "FLOW   (T1, T4 : / T2, T3 : / T4 : )","-" )</f>
        <v>-</v>
      </c>
      <c r="AF7" s="9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55">
        <v>2</v>
      </c>
      <c r="C8" s="9" t="str">
        <f>IF(B8="","",
  IF(MOD($B8,1)=0,
    "Dimensions: L W H",
    "-"
  )
)</f>
        <v>Dimensions: L W H</v>
      </c>
      <c r="D8" s="8" t="str">
        <f>IF(E8="","",
  IF(MOD($B8,1)=0,
    "완료",
    "-"
  )
)</f>
        <v>완료</v>
      </c>
      <c r="E8" s="1" t="s">
        <v>44</v>
      </c>
      <c r="F8" s="3"/>
      <c r="G8" s="1" t="s">
        <v>43</v>
      </c>
      <c r="H8" s="1" t="s">
        <v>17</v>
      </c>
      <c r="I8" s="1" t="s">
        <v>17</v>
      </c>
      <c r="J8" s="1" t="s">
        <v>43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종합!$C$29, "")</f>
        <v>2.2599999999999998</v>
      </c>
      <c r="Q8" s="1" t="s">
        <v>17</v>
      </c>
      <c r="R8" s="9" t="str">
        <f>IF(MOD($B8,5)=0, "스핀들유격: ","-" )</f>
        <v>-</v>
      </c>
      <c r="S8" s="9" t="str">
        <f>IF(MOD($B8,5)=0, "스핀들유격: ","-" )</f>
        <v>-</v>
      </c>
      <c r="T8" s="9" t="str">
        <f>IF(MOD($B8,5)=0, "스핀들유격: ","-" )</f>
        <v>-</v>
      </c>
      <c r="U8" s="9" t="str">
        <f>IF(MOD($B8,5)=0, "스핀들유격: ","-" )</f>
        <v>-</v>
      </c>
      <c r="V8" s="9" t="str">
        <f>IF(MOD($B8,5)=0, "000-000","-" )</f>
        <v>-</v>
      </c>
      <c r="W8" s="9" t="str">
        <f>IF(MOD($B8,5)=0, "000-000","-" )</f>
        <v>-</v>
      </c>
      <c r="X8" s="9" t="str">
        <f>IF(MOD($B8,5)=0, "000-000","-" )</f>
        <v>-</v>
      </c>
      <c r="Y8" s="9" t="str">
        <f>IF(MOD($B8,5)=0, "000-000","-" )</f>
        <v>-</v>
      </c>
      <c r="Z8" s="9" t="str">
        <f>IF(MOD($B8,5)=0, "000-000","-" )</f>
        <v>-</v>
      </c>
      <c r="AA8" s="9" t="str">
        <f>IF(MOD($B8,5)=0, "000-000","-" )</f>
        <v>-</v>
      </c>
      <c r="AB8" s="9" t="str">
        <f>IF(MOD($B8,5)=0, "000-000","-" )</f>
        <v>-</v>
      </c>
      <c r="AC8" s="9" t="str">
        <f>IF(MOD($B8,5)=0, "000-000","-" )</f>
        <v>-</v>
      </c>
      <c r="AD8" s="9" t="str">
        <f>IF(MOD($B8,5)=0, "스핀들소음 :","-" )</f>
        <v>-</v>
      </c>
      <c r="AE8" s="9" t="str">
        <f>IF(MOD($B8,40)=0, "필터세척 :"&amp; CHAR(10) &amp; "FLOW   (T1, T4 : / T2, T3 : / T4 : )","-" )</f>
        <v>-</v>
      </c>
      <c r="AF8" s="9" t="str">
        <f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55">
        <v>2</v>
      </c>
      <c r="C9" s="9" t="str">
        <f>IF(B9="","",
  IF(MOD($B9,1)=0,
    "Dimensions: L W H",
    "-"
  )
)</f>
        <v>Dimensions: L W H</v>
      </c>
      <c r="D9" s="8" t="str">
        <f>IF(E9="","",
  IF(MOD($B9,1)=0,
    "완료",
    "-"
  )
)</f>
        <v>완료</v>
      </c>
      <c r="E9" s="1" t="s">
        <v>44</v>
      </c>
      <c r="F9" s="3"/>
      <c r="G9" s="1" t="s">
        <v>43</v>
      </c>
      <c r="H9" s="1" t="s">
        <v>17</v>
      </c>
      <c r="I9" s="1" t="s">
        <v>17</v>
      </c>
      <c r="J9" s="1" t="s">
        <v>43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종합!$C$29, "")</f>
        <v>2.2599999999999998</v>
      </c>
      <c r="Q9" s="1" t="s">
        <v>17</v>
      </c>
      <c r="R9" s="9" t="str">
        <f>IF(MOD($B9,5)=0, "스핀들유격: ","-" )</f>
        <v>-</v>
      </c>
      <c r="S9" s="9" t="str">
        <f>IF(MOD($B9,5)=0, "스핀들유격: ","-" )</f>
        <v>-</v>
      </c>
      <c r="T9" s="9" t="str">
        <f>IF(MOD($B9,5)=0, "스핀들유격: ","-" )</f>
        <v>-</v>
      </c>
      <c r="U9" s="9" t="str">
        <f>IF(MOD($B9,5)=0, "스핀들유격: ","-" )</f>
        <v>-</v>
      </c>
      <c r="V9" s="9" t="str">
        <f>IF(MOD($B9,5)=0, "000-000","-" )</f>
        <v>-</v>
      </c>
      <c r="W9" s="9" t="str">
        <f>IF(MOD($B9,5)=0, "000-000","-" )</f>
        <v>-</v>
      </c>
      <c r="X9" s="9" t="str">
        <f>IF(MOD($B9,5)=0, "000-000","-" )</f>
        <v>-</v>
      </c>
      <c r="Y9" s="9" t="str">
        <f>IF(MOD($B9,5)=0, "000-000","-" )</f>
        <v>-</v>
      </c>
      <c r="Z9" s="9" t="str">
        <f>IF(MOD($B9,5)=0, "000-000","-" )</f>
        <v>-</v>
      </c>
      <c r="AA9" s="9" t="str">
        <f>IF(MOD($B9,5)=0, "000-000","-" )</f>
        <v>-</v>
      </c>
      <c r="AB9" s="9" t="str">
        <f>IF(MOD($B9,5)=0, "000-000","-" )</f>
        <v>-</v>
      </c>
      <c r="AC9" s="9" t="str">
        <f>IF(MOD($B9,5)=0, "000-000","-" )</f>
        <v>-</v>
      </c>
      <c r="AD9" s="9" t="str">
        <f>IF(MOD($B9,5)=0, "스핀들소음 :","-" )</f>
        <v>-</v>
      </c>
      <c r="AE9" s="9" t="str">
        <f>IF(MOD($B9,40)=0, "필터세척 :"&amp; CHAR(10) &amp; "FLOW   (T1, T4 : / T2, T3 : / T4 : )","-" )</f>
        <v>-</v>
      </c>
      <c r="AF9" s="9" t="str">
        <f>IF($B9="","",
  IF(MOD(B9,160)=0,
    "TENSION (XL : / ZL : / XR : / ZR : / Y : )" &amp; CHAR(10) &amp;
    "필터교체",
    "-"
  )
)</f>
        <v>-</v>
      </c>
      <c r="AG9" s="1" t="s">
        <v>17</v>
      </c>
      <c r="AH9" s="2"/>
    </row>
    <row r="10" spans="1:43" x14ac:dyDescent="0.45">
      <c r="A10" s="4">
        <v>45971</v>
      </c>
      <c r="B10" s="55">
        <v>4</v>
      </c>
      <c r="C10" s="9" t="str">
        <f>IF(B10="","",
  IF(MOD($B10,1)=0,
    "Dimensions: L W H",
    "-"
  )
)</f>
        <v>Dimensions: L W H</v>
      </c>
      <c r="D10" s="8" t="str">
        <f>IF(E10="","",
  IF(MOD($B10,1)=0,
    "완료",
    "-"
  )
)</f>
        <v>완료</v>
      </c>
      <c r="E10" s="1" t="s">
        <v>44</v>
      </c>
      <c r="F10" s="3"/>
      <c r="G10" s="1" t="s">
        <v>43</v>
      </c>
      <c r="H10" s="1" t="s">
        <v>17</v>
      </c>
      <c r="I10" s="1" t="s">
        <v>17</v>
      </c>
      <c r="J10" s="1" t="s">
        <v>43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종합!$C$29, "")</f>
        <v>2.2599999999999998</v>
      </c>
      <c r="Q10" s="1" t="s">
        <v>17</v>
      </c>
      <c r="R10" s="9" t="str">
        <f>IF(MOD($B10,5)=0, "스핀들유격: ","-" )</f>
        <v>-</v>
      </c>
      <c r="S10" s="9" t="str">
        <f>IF(MOD($B10,5)=0, "스핀들유격: ","-" )</f>
        <v>-</v>
      </c>
      <c r="T10" s="9" t="str">
        <f>IF(MOD($B10,5)=0, "스핀들유격: ","-" )</f>
        <v>-</v>
      </c>
      <c r="U10" s="9" t="str">
        <f>IF(MOD($B10,5)=0, "스핀들유격: ","-" )</f>
        <v>-</v>
      </c>
      <c r="V10" s="9" t="str">
        <f>IF(MOD($B10,5)=0, "000-000","-" )</f>
        <v>-</v>
      </c>
      <c r="W10" s="9" t="str">
        <f>IF(MOD($B10,5)=0, "000-000","-" )</f>
        <v>-</v>
      </c>
      <c r="X10" s="9" t="str">
        <f>IF(MOD($B10,5)=0, "000-000","-" )</f>
        <v>-</v>
      </c>
      <c r="Y10" s="9" t="str">
        <f>IF(MOD($B10,5)=0, "000-000","-" )</f>
        <v>-</v>
      </c>
      <c r="Z10" s="9" t="str">
        <f>IF(MOD($B10,5)=0, "000-000","-" )</f>
        <v>-</v>
      </c>
      <c r="AA10" s="9" t="str">
        <f>IF(MOD($B10,5)=0, "000-000","-" )</f>
        <v>-</v>
      </c>
      <c r="AB10" s="9" t="str">
        <f>IF(MOD($B10,5)=0, "000-000","-" )</f>
        <v>-</v>
      </c>
      <c r="AC10" s="9" t="str">
        <f>IF(MOD($B10,5)=0, "000-000","-" )</f>
        <v>-</v>
      </c>
      <c r="AD10" s="9" t="str">
        <f>IF(MOD($B10,5)=0, "스핀들소음 :","-" )</f>
        <v>-</v>
      </c>
      <c r="AE10" s="9" t="str">
        <f>IF(MOD($B10,40)=0, "필터세척 :"&amp; CHAR(10) &amp; "FLOW   (T1, T4 : / T2, T3 : / T4 : )","-" )</f>
        <v>-</v>
      </c>
      <c r="AF10" s="9" t="str">
        <f>IF($B10="","",
  IF(MOD(B10,160)=0,
    "TENSION (XL : / ZL : / XR : / ZR : / Y : )" &amp; CHAR(10) &amp;
    "필터교체",
    "-"
  )
)</f>
        <v>-</v>
      </c>
      <c r="AG10" s="1" t="s">
        <v>17</v>
      </c>
      <c r="AH10" s="2"/>
    </row>
    <row r="11" spans="1:43" x14ac:dyDescent="0.45">
      <c r="A11" s="4">
        <v>45971</v>
      </c>
      <c r="B11" s="55">
        <v>5</v>
      </c>
      <c r="C11" s="9" t="str">
        <f>IF(B11="","",
  IF(MOD($B11,1)=0,
    "Dimensions: L W H",
    "-"
  )
)</f>
        <v>Dimensions: L W H</v>
      </c>
      <c r="D11" s="8" t="str">
        <f>IF(E11="","",
  IF(MOD($B11,1)=0,
    "완료",
    "-"
  )
)</f>
        <v>완료</v>
      </c>
      <c r="E11" s="1" t="s">
        <v>44</v>
      </c>
      <c r="F11" s="3"/>
      <c r="G11" s="1" t="s">
        <v>43</v>
      </c>
      <c r="H11" s="1" t="s">
        <v>17</v>
      </c>
      <c r="I11" s="1" t="s">
        <v>17</v>
      </c>
      <c r="J11" s="1" t="s">
        <v>43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종합!$C$29, "")</f>
        <v>2.2599999999999998</v>
      </c>
      <c r="Q11" s="1" t="s">
        <v>17</v>
      </c>
      <c r="R11" s="9" t="s">
        <v>50</v>
      </c>
      <c r="S11" s="9" t="s">
        <v>50</v>
      </c>
      <c r="T11" s="9" t="s">
        <v>50</v>
      </c>
      <c r="U11" s="9" t="s">
        <v>50</v>
      </c>
      <c r="V11" s="9" t="s">
        <v>91</v>
      </c>
      <c r="W11" s="9" t="s">
        <v>92</v>
      </c>
      <c r="X11" s="9" t="s">
        <v>93</v>
      </c>
      <c r="Y11" s="9" t="s">
        <v>94</v>
      </c>
      <c r="Z11" s="9" t="s">
        <v>95</v>
      </c>
      <c r="AA11" s="9" t="s">
        <v>96</v>
      </c>
      <c r="AB11" s="9" t="s">
        <v>97</v>
      </c>
      <c r="AC11" s="9" t="s">
        <v>98</v>
      </c>
      <c r="AD11" s="9" t="s">
        <v>82</v>
      </c>
      <c r="AE11" s="9" t="str">
        <f>IF(MOD($B11,40)=0, "필터세척 :"&amp; CHAR(10) &amp; "FLOW   (T1, T4 : / T2, T3 : / T4 : )","-" )</f>
        <v>-</v>
      </c>
      <c r="AF11" s="9" t="str">
        <f>IF($B11="","",
  IF(MOD(B11,160)=0,
    "TENSION (XL : / ZL : / XR : / ZR : / Y : )" &amp; CHAR(10) &amp;
    "필터교체",
    "-"
  )
)</f>
        <v>-</v>
      </c>
      <c r="AG11" s="1" t="s">
        <v>17</v>
      </c>
      <c r="AH11" s="2"/>
    </row>
    <row r="12" spans="1:43" x14ac:dyDescent="0.45">
      <c r="A12" s="4">
        <v>45971</v>
      </c>
      <c r="B12" s="55">
        <v>6</v>
      </c>
      <c r="C12" s="9" t="str">
        <f>IF(B12="","",
  IF(MOD($B12,1)=0,
    "Dimensions: L W H",
    "-"
  )
)</f>
        <v>Dimensions: L W H</v>
      </c>
      <c r="D12" s="8" t="str">
        <f>IF(E12="","",
  IF(MOD($B12,1)=0,
    "완료",
    "-"
  )
)</f>
        <v>완료</v>
      </c>
      <c r="E12" s="1" t="s">
        <v>44</v>
      </c>
      <c r="F12" s="3"/>
      <c r="G12" s="1" t="s">
        <v>43</v>
      </c>
      <c r="H12" s="1" t="s">
        <v>17</v>
      </c>
      <c r="I12" s="1" t="s">
        <v>17</v>
      </c>
      <c r="J12" s="1" t="s">
        <v>43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종합!$C$29, "")</f>
        <v>2.2599999999999998</v>
      </c>
      <c r="Q12" s="1" t="s">
        <v>17</v>
      </c>
      <c r="R12" s="9" t="str">
        <f>IF(MOD($B12,5)=0, "스핀들유격: ","-" )</f>
        <v>-</v>
      </c>
      <c r="S12" s="9" t="str">
        <f>IF(MOD($B12,5)=0, "스핀들유격: ","-" )</f>
        <v>-</v>
      </c>
      <c r="T12" s="9" t="str">
        <f>IF(MOD($B12,5)=0, "스핀들유격: ","-" )</f>
        <v>-</v>
      </c>
      <c r="U12" s="9" t="str">
        <f>IF(MOD($B12,5)=0, "스핀들유격: ","-" )</f>
        <v>-</v>
      </c>
      <c r="V12" s="9" t="str">
        <f>IF(MOD($B12,5)=0, "000-000","-" )</f>
        <v>-</v>
      </c>
      <c r="W12" s="9" t="str">
        <f>IF(MOD($B12,5)=0, "000-000","-" )</f>
        <v>-</v>
      </c>
      <c r="X12" s="9" t="str">
        <f>IF(MOD($B12,5)=0, "000-000","-" )</f>
        <v>-</v>
      </c>
      <c r="Y12" s="9" t="str">
        <f>IF(MOD($B12,5)=0, "000-000","-" )</f>
        <v>-</v>
      </c>
      <c r="Z12" s="9" t="str">
        <f>IF(MOD($B12,5)=0, "000-000","-" )</f>
        <v>-</v>
      </c>
      <c r="AA12" s="9" t="str">
        <f>IF(MOD($B12,5)=0, "000-000","-" )</f>
        <v>-</v>
      </c>
      <c r="AB12" s="9" t="str">
        <f>IF(MOD($B12,5)=0, "000-000","-" )</f>
        <v>-</v>
      </c>
      <c r="AC12" s="9" t="str">
        <f>IF(MOD($B12,5)=0, "000-000","-" )</f>
        <v>-</v>
      </c>
      <c r="AD12" s="9" t="str">
        <f>IF(MOD($B12,5)=0, "스핀들소음 :","-" )</f>
        <v>-</v>
      </c>
      <c r="AE12" s="9" t="str">
        <f>IF(MOD($B12,40)=0, "필터세척 :"&amp; CHAR(10) &amp; "FLOW   (T1, T4 : / T2, T3 : / T4 : )","-" )</f>
        <v>-</v>
      </c>
      <c r="AF12" s="9" t="str">
        <f>IF($B12="","",
  IF(MOD(B12,160)=0,
    "TENSION (XL : / ZL : / XR : / ZR : / Y : )" &amp; CHAR(10) &amp;
    "필터교체",
    "-"
  )
)</f>
        <v>-</v>
      </c>
      <c r="AG12" s="1" t="s">
        <v>17</v>
      </c>
      <c r="AH12" s="2"/>
    </row>
    <row r="13" spans="1:43" x14ac:dyDescent="0.45">
      <c r="A13" s="4">
        <v>45972</v>
      </c>
      <c r="B13" s="55">
        <v>7</v>
      </c>
      <c r="C13" s="9" t="str">
        <f>IF(B13="","",
  IF(MOD($B13,1)=0,
    "Dimensions: L W H",
    "-"
  )
)</f>
        <v>Dimensions: L W H</v>
      </c>
      <c r="D13" s="8" t="str">
        <f>IF(E13="","",
  IF(MOD($B13,1)=0,
    "완료",
    "-"
  )
)</f>
        <v>완료</v>
      </c>
      <c r="E13" s="1" t="s">
        <v>49</v>
      </c>
      <c r="F13" s="3"/>
      <c r="G13" s="1">
        <v>0</v>
      </c>
      <c r="H13" s="1" t="s">
        <v>17</v>
      </c>
      <c r="I13" s="1" t="s">
        <v>17</v>
      </c>
      <c r="J13" s="1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종합!$C$29, "")</f>
        <v>2.2599999999999998</v>
      </c>
      <c r="Q13" s="1" t="s">
        <v>17</v>
      </c>
      <c r="R13" s="9" t="str">
        <f>IF(MOD($B13,5)=0, "스핀들유격: ","-" )</f>
        <v>-</v>
      </c>
      <c r="S13" s="9" t="str">
        <f>IF(MOD($B13,5)=0, "스핀들유격: ","-" )</f>
        <v>-</v>
      </c>
      <c r="T13" s="9" t="str">
        <f>IF(MOD($B13,5)=0, "스핀들유격: ","-" )</f>
        <v>-</v>
      </c>
      <c r="U13" s="9" t="str">
        <f>IF(MOD($B13,5)=0, "스핀들유격: ","-" )</f>
        <v>-</v>
      </c>
      <c r="V13" s="9" t="str">
        <f>IF(MOD($B13,5)=0, "000-000","-" )</f>
        <v>-</v>
      </c>
      <c r="W13" s="9" t="str">
        <f>IF(MOD($B13,5)=0, "000-000","-" )</f>
        <v>-</v>
      </c>
      <c r="X13" s="9" t="str">
        <f>IF(MOD($B13,5)=0, "000-000","-" )</f>
        <v>-</v>
      </c>
      <c r="Y13" s="9" t="str">
        <f>IF(MOD($B13,5)=0, "000-000","-" )</f>
        <v>-</v>
      </c>
      <c r="Z13" s="9" t="str">
        <f>IF(MOD($B13,5)=0, "000-000","-" )</f>
        <v>-</v>
      </c>
      <c r="AA13" s="9" t="str">
        <f>IF(MOD($B13,5)=0, "000-000","-" )</f>
        <v>-</v>
      </c>
      <c r="AB13" s="9" t="str">
        <f>IF(MOD($B13,5)=0, "000-000","-" )</f>
        <v>-</v>
      </c>
      <c r="AC13" s="9" t="str">
        <f>IF(MOD($B13,5)=0, "000-000","-" )</f>
        <v>-</v>
      </c>
      <c r="AD13" s="9" t="str">
        <f>IF(MOD($B13,5)=0, "스핀들소음 :","-" )</f>
        <v>-</v>
      </c>
      <c r="AE13" s="9" t="str">
        <f>IF(MOD($B13,40)=0, "필터세척 :"&amp; CHAR(10) &amp; "FLOW   (T1, T4 : / T2, T3 : / T4 : )","-" )</f>
        <v>-</v>
      </c>
      <c r="AF13" s="9" t="str">
        <f>IF($B13="","",
  IF(MOD(B13,160)=0,
    "TENSION (XL : / ZL : / XR : / ZR : / Y : )" &amp; CHAR(10) &amp;
    "필터교체",
    "-"
  )
)</f>
        <v>-</v>
      </c>
      <c r="AG13" s="1" t="s">
        <v>17</v>
      </c>
      <c r="AH13" s="2"/>
    </row>
    <row r="14" spans="1:43" x14ac:dyDescent="0.45">
      <c r="A14" s="4">
        <v>45972</v>
      </c>
      <c r="B14" s="55">
        <v>8</v>
      </c>
      <c r="C14" s="9" t="str">
        <f>IF(B14="","",
  IF(MOD($B14,1)=0,
    "Dimensions: L W H",
    "-"
  )
)</f>
        <v>Dimensions: L W H</v>
      </c>
      <c r="D14" s="8" t="s">
        <v>107</v>
      </c>
      <c r="E14" s="1" t="s">
        <v>45</v>
      </c>
      <c r="F14" s="3"/>
      <c r="G14" s="1">
        <v>1</v>
      </c>
      <c r="H14" s="1" t="s">
        <v>17</v>
      </c>
      <c r="I14" s="1" t="s">
        <v>17</v>
      </c>
      <c r="J14" s="1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종합!$C$29, "")</f>
        <v>2.2599999999999998</v>
      </c>
      <c r="Q14" s="1" t="s">
        <v>17</v>
      </c>
      <c r="R14" s="9" t="str">
        <f>IF(MOD($B14,5)=0, "스핀들유격: ","-" )</f>
        <v>-</v>
      </c>
      <c r="S14" s="9" t="str">
        <f>IF(MOD($B14,5)=0, "스핀들유격: ","-" )</f>
        <v>-</v>
      </c>
      <c r="T14" s="9" t="str">
        <f>IF(MOD($B14,5)=0, "스핀들유격: ","-" )</f>
        <v>-</v>
      </c>
      <c r="U14" s="9" t="str">
        <f>IF(MOD($B14,5)=0, "스핀들유격: ","-" )</f>
        <v>-</v>
      </c>
      <c r="V14" s="9" t="str">
        <f>IF(MOD($B14,5)=0, "000-000","-" )</f>
        <v>-</v>
      </c>
      <c r="W14" s="9" t="str">
        <f>IF(MOD($B14,5)=0, "000-000","-" )</f>
        <v>-</v>
      </c>
      <c r="X14" s="9" t="str">
        <f>IF(MOD($B14,5)=0, "000-000","-" )</f>
        <v>-</v>
      </c>
      <c r="Y14" s="9" t="str">
        <f>IF(MOD($B14,5)=0, "000-000","-" )</f>
        <v>-</v>
      </c>
      <c r="Z14" s="9" t="str">
        <f>IF(MOD($B14,5)=0, "000-000","-" )</f>
        <v>-</v>
      </c>
      <c r="AA14" s="9" t="str">
        <f>IF(MOD($B14,5)=0, "000-000","-" )</f>
        <v>-</v>
      </c>
      <c r="AB14" s="9" t="str">
        <f>IF(MOD($B14,5)=0, "000-000","-" )</f>
        <v>-</v>
      </c>
      <c r="AC14" s="9" t="str">
        <f>IF(MOD($B14,5)=0, "000-000","-" )</f>
        <v>-</v>
      </c>
      <c r="AD14" s="9" t="str">
        <f>IF(MOD($B14,5)=0, "스핀들소음 :","-" )</f>
        <v>-</v>
      </c>
      <c r="AE14" s="9" t="str">
        <f>IF(MOD($B14,40)=0, "필터세척 :"&amp; CHAR(10) &amp; "FLOW   (T1, T4 : / T2, T3 : / T4 : )","-" )</f>
        <v>-</v>
      </c>
      <c r="AF14" s="9" t="str">
        <f>IF($B14="","",
  IF(MOD(B14,160)=0,
    "TENSION (XL : / ZL : / XR : / ZR : / Y : )" &amp; CHAR(10) &amp;
    "필터교체",
    "-"
  )
)</f>
        <v>-</v>
      </c>
      <c r="AG14" s="1" t="s">
        <v>17</v>
      </c>
      <c r="AH14" s="2"/>
    </row>
    <row r="15" spans="1:43" x14ac:dyDescent="0.45">
      <c r="A15" s="4"/>
      <c r="B15" s="55"/>
      <c r="C15" s="9"/>
      <c r="D15" s="8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"/>
      <c r="AH15" s="2"/>
    </row>
    <row r="16" spans="1:43" x14ac:dyDescent="0.45">
      <c r="A16" s="50"/>
      <c r="B16" s="55"/>
      <c r="C16" s="9"/>
      <c r="D16" s="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"/>
      <c r="AH16" s="2"/>
    </row>
    <row r="17" spans="1:34" x14ac:dyDescent="0.45">
      <c r="A17" s="50"/>
      <c r="B17" s="55"/>
      <c r="C17" s="9"/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"/>
      <c r="AH17" s="2"/>
    </row>
    <row r="20" spans="1:34" x14ac:dyDescent="0.45">
      <c r="A20" s="7" t="s">
        <v>19</v>
      </c>
      <c r="B20" s="81" t="s">
        <v>19</v>
      </c>
      <c r="C20" s="7" t="s">
        <v>19</v>
      </c>
      <c r="D20" s="7" t="s">
        <v>19</v>
      </c>
      <c r="E20" s="7" t="s">
        <v>19</v>
      </c>
      <c r="F20" s="7" t="s">
        <v>19</v>
      </c>
      <c r="G20" s="7" t="s">
        <v>19</v>
      </c>
      <c r="H20" s="7" t="s">
        <v>19</v>
      </c>
      <c r="I20" s="7" t="s">
        <v>19</v>
      </c>
      <c r="J20" s="7" t="s">
        <v>19</v>
      </c>
      <c r="K20" s="7" t="s">
        <v>19</v>
      </c>
      <c r="L20" s="7" t="s">
        <v>19</v>
      </c>
      <c r="M20" s="7" t="s">
        <v>19</v>
      </c>
      <c r="N20" s="7" t="s">
        <v>19</v>
      </c>
      <c r="O20" s="7" t="s">
        <v>19</v>
      </c>
      <c r="P20" s="7" t="s">
        <v>19</v>
      </c>
      <c r="Q20" s="7" t="s">
        <v>19</v>
      </c>
      <c r="R20" s="7" t="s">
        <v>19</v>
      </c>
      <c r="S20" s="7" t="s">
        <v>19</v>
      </c>
      <c r="T20" s="7" t="s">
        <v>19</v>
      </c>
      <c r="U20" s="7" t="s">
        <v>19</v>
      </c>
      <c r="V20" s="7" t="s">
        <v>19</v>
      </c>
      <c r="W20" s="7" t="s">
        <v>19</v>
      </c>
      <c r="X20" s="7" t="s">
        <v>19</v>
      </c>
      <c r="Y20" s="7" t="s">
        <v>19</v>
      </c>
      <c r="Z20" s="7" t="s">
        <v>19</v>
      </c>
      <c r="AA20" s="7" t="s">
        <v>19</v>
      </c>
      <c r="AB20" s="7" t="s">
        <v>19</v>
      </c>
      <c r="AC20" s="7" t="s">
        <v>19</v>
      </c>
      <c r="AD20" s="7" t="s">
        <v>19</v>
      </c>
      <c r="AE20" s="7" t="s">
        <v>19</v>
      </c>
      <c r="AF20" s="7" t="s">
        <v>19</v>
      </c>
      <c r="AG20" s="7" t="s">
        <v>19</v>
      </c>
      <c r="AH20" s="7" t="s">
        <v>19</v>
      </c>
    </row>
  </sheetData>
  <mergeCells count="11">
    <mergeCell ref="Z5:AD5"/>
    <mergeCell ref="R4:AD4"/>
    <mergeCell ref="G5:J5"/>
    <mergeCell ref="A2:A5"/>
    <mergeCell ref="V5:Y5"/>
    <mergeCell ref="AG2:AH6"/>
    <mergeCell ref="R5:U5"/>
    <mergeCell ref="Q2:AF3"/>
    <mergeCell ref="B2:F5"/>
    <mergeCell ref="L5:O5"/>
    <mergeCell ref="G2:P4"/>
  </mergeCells>
  <phoneticPr fontId="1" type="noConversion"/>
  <conditionalFormatting sqref="D7:D10 D14">
    <cfRule type="containsText" dxfId="141" priority="27" operator="containsText" text="완료">
      <formula>NOT(ISERROR(SEARCH("완료",D7)))</formula>
    </cfRule>
    <cfRule type="containsText" dxfId="140" priority="28" operator="containsText" text="중단">
      <formula>NOT(ISERROR(SEARCH("중단",D7)))</formula>
    </cfRule>
  </conditionalFormatting>
  <conditionalFormatting sqref="I7:I10 G7:G10 G14 I14">
    <cfRule type="containsText" dxfId="139" priority="24" operator="containsText" text="신품">
      <formula>NOT(ISERROR(SEARCH("신품",G7)))</formula>
    </cfRule>
    <cfRule type="containsText" dxfId="138" priority="26" operator="containsText" text="중고">
      <formula>NOT(ISERROR(SEARCH("중고",G7)))</formula>
    </cfRule>
  </conditionalFormatting>
  <conditionalFormatting sqref="J7:J10 J14">
    <cfRule type="containsText" dxfId="137" priority="22" operator="containsText" text="신품">
      <formula>NOT(ISERROR(SEARCH("신품",J7)))</formula>
    </cfRule>
    <cfRule type="containsText" dxfId="136" priority="23" operator="containsText" text="중고">
      <formula>NOT(ISERROR(SEARCH("중고",J7)))</formula>
    </cfRule>
  </conditionalFormatting>
  <conditionalFormatting sqref="D11">
    <cfRule type="containsText" dxfId="135" priority="18" operator="containsText" text="완료">
      <formula>NOT(ISERROR(SEARCH("완료",D11)))</formula>
    </cfRule>
    <cfRule type="containsText" dxfId="134" priority="19" operator="containsText" text="중단">
      <formula>NOT(ISERROR(SEARCH("중단",D11)))</formula>
    </cfRule>
  </conditionalFormatting>
  <conditionalFormatting sqref="I11 G11">
    <cfRule type="containsText" dxfId="133" priority="16" operator="containsText" text="신품">
      <formula>NOT(ISERROR(SEARCH("신품",G11)))</formula>
    </cfRule>
    <cfRule type="containsText" dxfId="132" priority="17" operator="containsText" text="중고">
      <formula>NOT(ISERROR(SEARCH("중고",G11)))</formula>
    </cfRule>
  </conditionalFormatting>
  <conditionalFormatting sqref="J11">
    <cfRule type="containsText" dxfId="131" priority="14" operator="containsText" text="신품">
      <formula>NOT(ISERROR(SEARCH("신품",J11)))</formula>
    </cfRule>
    <cfRule type="containsText" dxfId="130" priority="15" operator="containsText" text="중고">
      <formula>NOT(ISERROR(SEARCH("중고",J11)))</formula>
    </cfRule>
  </conditionalFormatting>
  <conditionalFormatting sqref="D12:D17">
    <cfRule type="containsText" dxfId="129" priority="12" operator="containsText" text="완료">
      <formula>NOT(ISERROR(SEARCH("완료",D12)))</formula>
    </cfRule>
    <cfRule type="containsText" dxfId="128" priority="13" operator="containsText" text="중단">
      <formula>NOT(ISERROR(SEARCH("중단",D12)))</formula>
    </cfRule>
  </conditionalFormatting>
  <conditionalFormatting sqref="G12:G17 I12:I17">
    <cfRule type="containsText" dxfId="127" priority="10" operator="containsText" text="신품">
      <formula>NOT(ISERROR(SEARCH("신품",G12)))</formula>
    </cfRule>
    <cfRule type="containsText" dxfId="126" priority="11" operator="containsText" text="중고">
      <formula>NOT(ISERROR(SEARCH("중고",G12)))</formula>
    </cfRule>
  </conditionalFormatting>
  <conditionalFormatting sqref="J12:J17">
    <cfRule type="containsText" dxfId="125" priority="8" operator="containsText" text="신품">
      <formula>NOT(ISERROR(SEARCH("신품",J12)))</formula>
    </cfRule>
    <cfRule type="containsText" dxfId="124" priority="9" operator="containsText" text="중고">
      <formula>NOT(ISERROR(SEARCH("중고",J12)))</formula>
    </cfRule>
  </conditionalFormatting>
  <conditionalFormatting sqref="D13">
    <cfRule type="containsText" dxfId="123" priority="6" operator="containsText" text="완료">
      <formula>NOT(ISERROR(SEARCH("완료",D13)))</formula>
    </cfRule>
    <cfRule type="containsText" dxfId="122" priority="7" operator="containsText" text="중단">
      <formula>NOT(ISERROR(SEARCH("중단",D13)))</formula>
    </cfRule>
  </conditionalFormatting>
  <conditionalFormatting sqref="G13 I13">
    <cfRule type="containsText" dxfId="121" priority="4" operator="containsText" text="신품">
      <formula>NOT(ISERROR(SEARCH("신품",G13)))</formula>
    </cfRule>
    <cfRule type="containsText" dxfId="120" priority="5" operator="containsText" text="중고">
      <formula>NOT(ISERROR(SEARCH("중고",G13)))</formula>
    </cfRule>
  </conditionalFormatting>
  <conditionalFormatting sqref="J13">
    <cfRule type="containsText" dxfId="119" priority="2" operator="containsText" text="신품">
      <formula>NOT(ISERROR(SEARCH("신품",J13)))</formula>
    </cfRule>
    <cfRule type="containsText" dxfId="118" priority="3" operator="containsText" text="중고">
      <formula>NOT(ISERROR(SEARCH("중고",J13)))</formula>
    </cfRule>
  </conditionalFormatting>
  <conditionalFormatting sqref="D7:D20">
    <cfRule type="containsText" dxfId="117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dimension ref="A1:AQ20"/>
  <sheetViews>
    <sheetView topLeftCell="AB1" zoomScale="67" workbookViewId="0">
      <selection activeCell="A12" sqref="A12"/>
    </sheetView>
  </sheetViews>
  <sheetFormatPr defaultRowHeight="17" x14ac:dyDescent="0.45"/>
  <cols>
    <col min="1" max="1" width="11.33203125" bestFit="1" customWidth="1"/>
    <col min="2" max="2" width="11.4140625" style="6" customWidth="1"/>
    <col min="3" max="3" width="44.1640625" customWidth="1"/>
    <col min="4" max="4" width="12.9140625" style="6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78" t="s">
        <v>20</v>
      </c>
      <c r="B1" s="26"/>
      <c r="C1" s="79"/>
      <c r="D1" s="79"/>
      <c r="E1" s="79"/>
      <c r="F1" s="80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</row>
    <row r="2" spans="1:43" x14ac:dyDescent="0.45">
      <c r="A2" s="34" t="s">
        <v>11</v>
      </c>
      <c r="B2" s="89" t="s">
        <v>108</v>
      </c>
      <c r="C2" s="90"/>
      <c r="D2" s="90"/>
      <c r="E2" s="90"/>
      <c r="F2" s="91"/>
      <c r="G2" s="34" t="s">
        <v>111</v>
      </c>
      <c r="H2" s="34"/>
      <c r="I2" s="34"/>
      <c r="J2" s="34"/>
      <c r="K2" s="34"/>
      <c r="L2" s="34"/>
      <c r="M2" s="34"/>
      <c r="N2" s="34"/>
      <c r="O2" s="34"/>
      <c r="P2" s="34"/>
      <c r="Q2" s="39" t="s">
        <v>27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  <c r="AG2" s="39" t="s">
        <v>10</v>
      </c>
      <c r="AH2" s="41"/>
    </row>
    <row r="3" spans="1:43" x14ac:dyDescent="0.45">
      <c r="A3" s="34"/>
      <c r="B3" s="92"/>
      <c r="C3" s="93"/>
      <c r="D3" s="93"/>
      <c r="E3" s="93"/>
      <c r="F3" s="94"/>
      <c r="G3" s="34"/>
      <c r="H3" s="34"/>
      <c r="I3" s="34"/>
      <c r="J3" s="34"/>
      <c r="K3" s="34"/>
      <c r="L3" s="34"/>
      <c r="M3" s="34"/>
      <c r="N3" s="34"/>
      <c r="O3" s="34"/>
      <c r="P3" s="34"/>
      <c r="Q3" s="42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  <c r="AG3" s="45"/>
      <c r="AH3" s="46"/>
    </row>
    <row r="4" spans="1:43" x14ac:dyDescent="0.45">
      <c r="A4" s="34"/>
      <c r="B4" s="92"/>
      <c r="C4" s="93"/>
      <c r="D4" s="93"/>
      <c r="E4" s="93"/>
      <c r="F4" s="94"/>
      <c r="G4" s="34"/>
      <c r="H4" s="34"/>
      <c r="I4" s="34"/>
      <c r="J4" s="34"/>
      <c r="K4" s="34"/>
      <c r="L4" s="34"/>
      <c r="M4" s="34"/>
      <c r="N4" s="34"/>
      <c r="O4" s="34"/>
      <c r="P4" s="34"/>
      <c r="Q4" s="22"/>
      <c r="R4" s="31" t="s">
        <v>36</v>
      </c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2"/>
      <c r="AE4" s="13" t="s">
        <v>37</v>
      </c>
      <c r="AF4" s="13" t="s">
        <v>38</v>
      </c>
      <c r="AG4" s="45"/>
      <c r="AH4" s="46"/>
    </row>
    <row r="5" spans="1:43" x14ac:dyDescent="0.45">
      <c r="A5" s="34"/>
      <c r="B5" s="95"/>
      <c r="C5" s="96"/>
      <c r="D5" s="96"/>
      <c r="E5" s="96"/>
      <c r="F5" s="97"/>
      <c r="G5" s="38" t="s">
        <v>39</v>
      </c>
      <c r="H5" s="38"/>
      <c r="I5" s="38"/>
      <c r="J5" s="38"/>
      <c r="K5" s="17"/>
      <c r="L5" s="35" t="s">
        <v>110</v>
      </c>
      <c r="M5" s="36"/>
      <c r="N5" s="36"/>
      <c r="O5" s="37"/>
      <c r="P5" s="82" t="s">
        <v>109</v>
      </c>
      <c r="Q5" s="21" t="s">
        <v>31</v>
      </c>
      <c r="R5" s="30" t="s">
        <v>48</v>
      </c>
      <c r="S5" s="31"/>
      <c r="T5" s="31"/>
      <c r="U5" s="32"/>
      <c r="V5" s="30" t="s">
        <v>21</v>
      </c>
      <c r="W5" s="31"/>
      <c r="X5" s="31"/>
      <c r="Y5" s="32"/>
      <c r="Z5" s="33" t="s">
        <v>34</v>
      </c>
      <c r="AA5" s="33"/>
      <c r="AB5" s="33"/>
      <c r="AC5" s="33"/>
      <c r="AD5" s="33"/>
      <c r="AE5" s="15"/>
      <c r="AF5" s="13"/>
      <c r="AG5" s="45"/>
      <c r="AH5" s="46"/>
    </row>
    <row r="6" spans="1:43" x14ac:dyDescent="0.45">
      <c r="A6" s="20" t="s">
        <v>28</v>
      </c>
      <c r="B6" s="98" t="s">
        <v>3</v>
      </c>
      <c r="C6" s="99" t="s">
        <v>32</v>
      </c>
      <c r="D6" s="99" t="s">
        <v>22</v>
      </c>
      <c r="E6" s="99" t="s">
        <v>18</v>
      </c>
      <c r="F6" s="99" t="s">
        <v>9</v>
      </c>
      <c r="G6" s="23" t="s">
        <v>4</v>
      </c>
      <c r="H6" s="23" t="s">
        <v>13</v>
      </c>
      <c r="I6" s="23" t="s">
        <v>14</v>
      </c>
      <c r="J6" s="23" t="s">
        <v>5</v>
      </c>
      <c r="K6" s="20" t="s">
        <v>16</v>
      </c>
      <c r="L6" s="20" t="s">
        <v>23</v>
      </c>
      <c r="M6" s="20" t="s">
        <v>24</v>
      </c>
      <c r="N6" s="20" t="s">
        <v>29</v>
      </c>
      <c r="O6" s="20" t="s">
        <v>25</v>
      </c>
      <c r="P6" s="20" t="s">
        <v>30</v>
      </c>
      <c r="Q6" s="23" t="s">
        <v>26</v>
      </c>
      <c r="R6" s="23" t="s">
        <v>4</v>
      </c>
      <c r="S6" s="23" t="s">
        <v>13</v>
      </c>
      <c r="T6" s="23" t="s">
        <v>14</v>
      </c>
      <c r="U6" s="23" t="s">
        <v>5</v>
      </c>
      <c r="V6" s="23" t="s">
        <v>4</v>
      </c>
      <c r="W6" s="23" t="s">
        <v>13</v>
      </c>
      <c r="X6" s="23" t="s">
        <v>14</v>
      </c>
      <c r="Y6" s="23" t="s">
        <v>5</v>
      </c>
      <c r="Z6" s="23" t="s">
        <v>4</v>
      </c>
      <c r="AA6" s="23" t="s">
        <v>13</v>
      </c>
      <c r="AB6" s="23" t="s">
        <v>14</v>
      </c>
      <c r="AC6" s="23" t="s">
        <v>5</v>
      </c>
      <c r="AD6" s="23" t="s">
        <v>42</v>
      </c>
      <c r="AE6" s="16" t="s">
        <v>40</v>
      </c>
      <c r="AF6" s="14" t="s">
        <v>41</v>
      </c>
      <c r="AG6" s="42"/>
      <c r="AH6" s="44"/>
      <c r="AM6" s="1"/>
      <c r="AN6" s="1"/>
      <c r="AO6" s="1"/>
      <c r="AP6" s="1"/>
      <c r="AQ6" s="1"/>
    </row>
    <row r="7" spans="1:43" x14ac:dyDescent="0.45">
      <c r="A7" s="4">
        <v>45971</v>
      </c>
      <c r="B7" s="55">
        <v>1</v>
      </c>
      <c r="C7" s="9" t="str">
        <f>IF(B7="","",
  IF(MOD($B7,1)=0,
    "Dimensions: L W H",
    "-"
  )
)</f>
        <v>Dimensions: L W H</v>
      </c>
      <c r="D7" s="8" t="str">
        <f>IF(E7="","",
  IF(MOD($B7,1)=0,
    "완료",
    "-"
  )
)</f>
        <v>완료</v>
      </c>
      <c r="E7" s="1" t="s">
        <v>45</v>
      </c>
      <c r="F7" s="3"/>
      <c r="G7" s="1" t="s">
        <v>43</v>
      </c>
      <c r="H7" s="1" t="s">
        <v>17</v>
      </c>
      <c r="I7" s="1" t="s">
        <v>17</v>
      </c>
      <c r="J7" s="1" t="s">
        <v>43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종합!$C$29, "")</f>
        <v>2.2599999999999998</v>
      </c>
      <c r="Q7" s="1" t="s">
        <v>17</v>
      </c>
      <c r="R7" s="9" t="str">
        <f>IF(MOD($B7,5)=0, "스핀들유격: ","-" )</f>
        <v>-</v>
      </c>
      <c r="S7" s="9" t="str">
        <f>IF(MOD($B7,5)=0, "스핀들유격: ","-" )</f>
        <v>-</v>
      </c>
      <c r="T7" s="9" t="str">
        <f>IF(MOD($B7,5)=0, "스핀들유격: ","-" )</f>
        <v>-</v>
      </c>
      <c r="U7" s="9" t="str">
        <f>IF(MOD($B7,5)=0, "스핀들유격: ","-" )</f>
        <v>-</v>
      </c>
      <c r="V7" s="9" t="str">
        <f>IF(MOD($B7,5)=0, "000-000","-" )</f>
        <v>-</v>
      </c>
      <c r="W7" s="9" t="str">
        <f>IF(MOD($B7,5)=0, "000-000","-" )</f>
        <v>-</v>
      </c>
      <c r="X7" s="9" t="str">
        <f>IF(MOD($B7,5)=0, "000-000","-" )</f>
        <v>-</v>
      </c>
      <c r="Y7" s="9" t="str">
        <f>IF(MOD($B7,5)=0, "000-000","-" )</f>
        <v>-</v>
      </c>
      <c r="Z7" s="9" t="str">
        <f>IF(MOD($B7,5)=0, "000-000","-" )</f>
        <v>-</v>
      </c>
      <c r="AA7" s="9" t="str">
        <f>IF(MOD($B7,5)=0, "000-000","-" )</f>
        <v>-</v>
      </c>
      <c r="AB7" s="9" t="str">
        <f>IF(MOD($B7,5)=0, "000-000","-" )</f>
        <v>-</v>
      </c>
      <c r="AC7" s="9" t="str">
        <f>IF(MOD($B7,5)=0, "000-000","-" )</f>
        <v>-</v>
      </c>
      <c r="AD7" s="9" t="str">
        <f>IF(MOD($B7,5)=0, "스핀들소음 :","-" )</f>
        <v>-</v>
      </c>
      <c r="AE7" s="9" t="str">
        <f>IF(MOD($B7,40)=0, "필터세척 :"&amp; CHAR(10) &amp; "FLOW   (T1, T4 : / T2, T3 : / T4 : )","-" )</f>
        <v>-</v>
      </c>
      <c r="AF7" s="9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55">
        <v>2</v>
      </c>
      <c r="C8" s="9" t="str">
        <f>IF(B8="","",
  IF(MOD($B8,1)=0,
    "Dimensions: L W H",
    "-"
  )
)</f>
        <v>Dimensions: L W H</v>
      </c>
      <c r="D8" s="8" t="str">
        <f>IF(E8="","",
  IF(MOD($B8,1)=0,
    "완료",
    "-"
  )
)</f>
        <v>완료</v>
      </c>
      <c r="E8" s="1" t="s">
        <v>44</v>
      </c>
      <c r="F8" s="3"/>
      <c r="G8" s="1" t="s">
        <v>43</v>
      </c>
      <c r="H8" s="1" t="s">
        <v>17</v>
      </c>
      <c r="I8" s="1" t="s">
        <v>17</v>
      </c>
      <c r="J8" s="1" t="s">
        <v>43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종합!$C$29, "")</f>
        <v>2.2599999999999998</v>
      </c>
      <c r="Q8" s="1" t="s">
        <v>17</v>
      </c>
      <c r="R8" s="9" t="str">
        <f>IF(MOD($B8,5)=0, "스핀들유격: ","-" )</f>
        <v>-</v>
      </c>
      <c r="S8" s="9" t="str">
        <f>IF(MOD($B8,5)=0, "스핀들유격: ","-" )</f>
        <v>-</v>
      </c>
      <c r="T8" s="9" t="str">
        <f>IF(MOD($B8,5)=0, "스핀들유격: ","-" )</f>
        <v>-</v>
      </c>
      <c r="U8" s="9" t="str">
        <f>IF(MOD($B8,5)=0, "스핀들유격: ","-" )</f>
        <v>-</v>
      </c>
      <c r="V8" s="9" t="str">
        <f>IF(MOD($B8,5)=0, "000-000","-" )</f>
        <v>-</v>
      </c>
      <c r="W8" s="9" t="str">
        <f>IF(MOD($B8,5)=0, "000-000","-" )</f>
        <v>-</v>
      </c>
      <c r="X8" s="9" t="str">
        <f>IF(MOD($B8,5)=0, "000-000","-" )</f>
        <v>-</v>
      </c>
      <c r="Y8" s="9" t="str">
        <f>IF(MOD($B8,5)=0, "000-000","-" )</f>
        <v>-</v>
      </c>
      <c r="Z8" s="9" t="str">
        <f>IF(MOD($B8,5)=0, "000-000","-" )</f>
        <v>-</v>
      </c>
      <c r="AA8" s="9" t="str">
        <f>IF(MOD($B8,5)=0, "000-000","-" )</f>
        <v>-</v>
      </c>
      <c r="AB8" s="9" t="str">
        <f>IF(MOD($B8,5)=0, "000-000","-" )</f>
        <v>-</v>
      </c>
      <c r="AC8" s="9" t="str">
        <f>IF(MOD($B8,5)=0, "000-000","-" )</f>
        <v>-</v>
      </c>
      <c r="AD8" s="9" t="str">
        <f>IF(MOD($B8,5)=0, "스핀들소음 :","-" )</f>
        <v>-</v>
      </c>
      <c r="AE8" s="9" t="str">
        <f>IF(MOD($B8,40)=0, "필터세척 :"&amp; CHAR(10) &amp; "FLOW   (T1, T4 : / T2, T3 : / T4 : )","-" )</f>
        <v>-</v>
      </c>
      <c r="AF8" s="9" t="str">
        <f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55">
        <v>2</v>
      </c>
      <c r="C9" s="9" t="str">
        <f>IF(B9="","",
  IF(MOD($B9,1)=0,
    "Dimensions: L W H",
    "-"
  )
)</f>
        <v>Dimensions: L W H</v>
      </c>
      <c r="D9" s="8" t="str">
        <f>IF(E9="","",
  IF(MOD($B9,1)=0,
    "완료",
    "-"
  )
)</f>
        <v>완료</v>
      </c>
      <c r="E9" s="1" t="s">
        <v>44</v>
      </c>
      <c r="F9" s="3"/>
      <c r="G9" s="1" t="s">
        <v>43</v>
      </c>
      <c r="H9" s="1" t="s">
        <v>17</v>
      </c>
      <c r="I9" s="1" t="s">
        <v>17</v>
      </c>
      <c r="J9" s="1" t="s">
        <v>43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종합!$C$29, "")</f>
        <v>2.2599999999999998</v>
      </c>
      <c r="Q9" s="1" t="s">
        <v>17</v>
      </c>
      <c r="R9" s="9" t="str">
        <f>IF(MOD($B9,5)=0, "스핀들유격: ","-" )</f>
        <v>-</v>
      </c>
      <c r="S9" s="9" t="str">
        <f>IF(MOD($B9,5)=0, "스핀들유격: ","-" )</f>
        <v>-</v>
      </c>
      <c r="T9" s="9" t="str">
        <f>IF(MOD($B9,5)=0, "스핀들유격: ","-" )</f>
        <v>-</v>
      </c>
      <c r="U9" s="9" t="str">
        <f>IF(MOD($B9,5)=0, "스핀들유격: ","-" )</f>
        <v>-</v>
      </c>
      <c r="V9" s="9" t="str">
        <f>IF(MOD($B9,5)=0, "000-000","-" )</f>
        <v>-</v>
      </c>
      <c r="W9" s="9" t="str">
        <f>IF(MOD($B9,5)=0, "000-000","-" )</f>
        <v>-</v>
      </c>
      <c r="X9" s="9" t="str">
        <f>IF(MOD($B9,5)=0, "000-000","-" )</f>
        <v>-</v>
      </c>
      <c r="Y9" s="9" t="str">
        <f>IF(MOD($B9,5)=0, "000-000","-" )</f>
        <v>-</v>
      </c>
      <c r="Z9" s="9" t="str">
        <f>IF(MOD($B9,5)=0, "000-000","-" )</f>
        <v>-</v>
      </c>
      <c r="AA9" s="9" t="str">
        <f>IF(MOD($B9,5)=0, "000-000","-" )</f>
        <v>-</v>
      </c>
      <c r="AB9" s="9" t="str">
        <f>IF(MOD($B9,5)=0, "000-000","-" )</f>
        <v>-</v>
      </c>
      <c r="AC9" s="9" t="str">
        <f>IF(MOD($B9,5)=0, "000-000","-" )</f>
        <v>-</v>
      </c>
      <c r="AD9" s="9" t="str">
        <f>IF(MOD($B9,5)=0, "스핀들소음 :","-" )</f>
        <v>-</v>
      </c>
      <c r="AE9" s="9" t="str">
        <f>IF(MOD($B9,40)=0, "필터세척 :"&amp; CHAR(10) &amp; "FLOW   (T1, T4 : / T2, T3 : / T4 : )","-" )</f>
        <v>-</v>
      </c>
      <c r="AF9" s="9" t="str">
        <f>IF($B9="","",
  IF(MOD(B9,160)=0,
    "TENSION (XL : / ZL : / XR : / ZR : / Y : )" &amp; CHAR(10) &amp;
    "필터교체",
    "-"
  )
)</f>
        <v>-</v>
      </c>
      <c r="AG9" s="1" t="s">
        <v>17</v>
      </c>
      <c r="AH9" s="2"/>
    </row>
    <row r="10" spans="1:43" x14ac:dyDescent="0.45">
      <c r="A10" s="4">
        <v>45971</v>
      </c>
      <c r="B10" s="55">
        <v>4</v>
      </c>
      <c r="C10" s="9" t="str">
        <f>IF(B10="","",
  IF(MOD($B10,1)=0,
    "Dimensions: L W H",
    "-"
  )
)</f>
        <v>Dimensions: L W H</v>
      </c>
      <c r="D10" s="8" t="str">
        <f>IF(E10="","",
  IF(MOD($B10,1)=0,
    "완료",
    "-"
  )
)</f>
        <v>완료</v>
      </c>
      <c r="E10" s="1" t="s">
        <v>44</v>
      </c>
      <c r="F10" s="3"/>
      <c r="G10" s="1" t="s">
        <v>43</v>
      </c>
      <c r="H10" s="1" t="s">
        <v>17</v>
      </c>
      <c r="I10" s="1" t="s">
        <v>17</v>
      </c>
      <c r="J10" s="1" t="s">
        <v>43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종합!$C$29, "")</f>
        <v>2.2599999999999998</v>
      </c>
      <c r="Q10" s="1" t="s">
        <v>17</v>
      </c>
      <c r="R10" s="9" t="str">
        <f>IF(MOD($B10,5)=0, "스핀들유격: ","-" )</f>
        <v>-</v>
      </c>
      <c r="S10" s="9" t="str">
        <f>IF(MOD($B10,5)=0, "스핀들유격: ","-" )</f>
        <v>-</v>
      </c>
      <c r="T10" s="9" t="str">
        <f>IF(MOD($B10,5)=0, "스핀들유격: ","-" )</f>
        <v>-</v>
      </c>
      <c r="U10" s="9" t="str">
        <f>IF(MOD($B10,5)=0, "스핀들유격: ","-" )</f>
        <v>-</v>
      </c>
      <c r="V10" s="9" t="str">
        <f>IF(MOD($B10,5)=0, "000-000","-" )</f>
        <v>-</v>
      </c>
      <c r="W10" s="9" t="str">
        <f>IF(MOD($B10,5)=0, "000-000","-" )</f>
        <v>-</v>
      </c>
      <c r="X10" s="9" t="str">
        <f>IF(MOD($B10,5)=0, "000-000","-" )</f>
        <v>-</v>
      </c>
      <c r="Y10" s="9" t="str">
        <f>IF(MOD($B10,5)=0, "000-000","-" )</f>
        <v>-</v>
      </c>
      <c r="Z10" s="9" t="str">
        <f>IF(MOD($B10,5)=0, "000-000","-" )</f>
        <v>-</v>
      </c>
      <c r="AA10" s="9" t="str">
        <f>IF(MOD($B10,5)=0, "000-000","-" )</f>
        <v>-</v>
      </c>
      <c r="AB10" s="9" t="str">
        <f>IF(MOD($B10,5)=0, "000-000","-" )</f>
        <v>-</v>
      </c>
      <c r="AC10" s="9" t="str">
        <f>IF(MOD($B10,5)=0, "000-000","-" )</f>
        <v>-</v>
      </c>
      <c r="AD10" s="9" t="str">
        <f>IF(MOD($B10,5)=0, "스핀들소음 :","-" )</f>
        <v>-</v>
      </c>
      <c r="AE10" s="9" t="str">
        <f>IF(MOD($B10,40)=0, "필터세척 :"&amp; CHAR(10) &amp; "FLOW   (T1, T4 : / T2, T3 : / T4 : )","-" )</f>
        <v>-</v>
      </c>
      <c r="AF10" s="9" t="str">
        <f>IF($B10="","",
  IF(MOD(B10,160)=0,
    "TENSION (XL : / ZL : / XR : / ZR : / Y : )" &amp; CHAR(10) &amp;
    "필터교체",
    "-"
  )
)</f>
        <v>-</v>
      </c>
      <c r="AG10" s="1" t="s">
        <v>17</v>
      </c>
      <c r="AH10" s="2"/>
    </row>
    <row r="11" spans="1:43" x14ac:dyDescent="0.45">
      <c r="A11" s="4">
        <v>45971</v>
      </c>
      <c r="B11" s="55">
        <v>5</v>
      </c>
      <c r="C11" s="9" t="str">
        <f>IF(B11="","",
  IF(MOD($B11,1)=0,
    "Dimensions: L W H",
    "-"
  )
)</f>
        <v>Dimensions: L W H</v>
      </c>
      <c r="D11" s="8" t="str">
        <f>IF(E11="","",
  IF(MOD($B11,1)=0,
    "완료",
    "-"
  )
)</f>
        <v>완료</v>
      </c>
      <c r="E11" s="1" t="s">
        <v>44</v>
      </c>
      <c r="F11" s="3"/>
      <c r="G11" s="1" t="s">
        <v>43</v>
      </c>
      <c r="H11" s="1" t="s">
        <v>17</v>
      </c>
      <c r="I11" s="1" t="s">
        <v>17</v>
      </c>
      <c r="J11" s="1" t="s">
        <v>43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종합!$C$29, "")</f>
        <v>2.2599999999999998</v>
      </c>
      <c r="Q11" s="1" t="s">
        <v>17</v>
      </c>
      <c r="R11" s="9" t="s">
        <v>50</v>
      </c>
      <c r="S11" s="9" t="s">
        <v>50</v>
      </c>
      <c r="T11" s="9" t="s">
        <v>50</v>
      </c>
      <c r="U11" s="9" t="s">
        <v>50</v>
      </c>
      <c r="V11" s="9" t="s">
        <v>99</v>
      </c>
      <c r="W11" s="9" t="s">
        <v>100</v>
      </c>
      <c r="X11" s="9" t="s">
        <v>101</v>
      </c>
      <c r="Y11" s="9" t="s">
        <v>102</v>
      </c>
      <c r="Z11" s="9" t="s">
        <v>103</v>
      </c>
      <c r="AA11" s="9" t="s">
        <v>104</v>
      </c>
      <c r="AB11" s="9" t="s">
        <v>105</v>
      </c>
      <c r="AC11" s="9" t="s">
        <v>106</v>
      </c>
      <c r="AD11" s="9" t="s">
        <v>82</v>
      </c>
      <c r="AE11" s="9" t="str">
        <f>IF(MOD($B11,40)=0, "필터세척 :"&amp; CHAR(10) &amp; "FLOW   (T1, T4 : / T2, T3 : / T4 : )","-" )</f>
        <v>-</v>
      </c>
      <c r="AF11" s="9" t="str">
        <f>IF($B11="","",
  IF(MOD(B11,160)=0,
    "TENSION (XL : / ZL : / XR : / ZR : / Y : )" &amp; CHAR(10) &amp;
    "필터교체",
    "-"
  )
)</f>
        <v>-</v>
      </c>
      <c r="AG11" s="1" t="s">
        <v>17</v>
      </c>
      <c r="AH11" s="2"/>
    </row>
    <row r="12" spans="1:43" x14ac:dyDescent="0.45">
      <c r="A12" s="4">
        <v>45971</v>
      </c>
      <c r="B12" s="55">
        <v>6</v>
      </c>
      <c r="C12" s="9" t="str">
        <f>IF(B12="","",
  IF(MOD($B12,1)=0,
    "Dimensions: L W H",
    "-"
  )
)</f>
        <v>Dimensions: L W H</v>
      </c>
      <c r="D12" s="8" t="str">
        <f>IF(E12="","",
  IF(MOD($B12,1)=0,
    "완료",
    "-"
  )
)</f>
        <v>완료</v>
      </c>
      <c r="E12" s="1" t="s">
        <v>44</v>
      </c>
      <c r="F12" s="3"/>
      <c r="G12" s="1" t="s">
        <v>43</v>
      </c>
      <c r="H12" s="1" t="s">
        <v>17</v>
      </c>
      <c r="I12" s="1" t="s">
        <v>17</v>
      </c>
      <c r="J12" s="1" t="s">
        <v>43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종합!$C$29, "")</f>
        <v>2.2599999999999998</v>
      </c>
      <c r="Q12" s="1" t="s">
        <v>17</v>
      </c>
      <c r="R12" s="9" t="str">
        <f>IF(MOD($B12,5)=0, "스핀들유격: ","-" )</f>
        <v>-</v>
      </c>
      <c r="S12" s="9" t="str">
        <f>IF(MOD($B12,5)=0, "스핀들유격: ","-" )</f>
        <v>-</v>
      </c>
      <c r="T12" s="9" t="str">
        <f>IF(MOD($B12,5)=0, "스핀들유격: ","-" )</f>
        <v>-</v>
      </c>
      <c r="U12" s="9" t="str">
        <f>IF(MOD($B12,5)=0, "스핀들유격: ","-" )</f>
        <v>-</v>
      </c>
      <c r="V12" s="9" t="str">
        <f>IF(MOD($B12,5)=0, "000-000","-" )</f>
        <v>-</v>
      </c>
      <c r="W12" s="9" t="str">
        <f>IF(MOD($B12,5)=0, "000-000","-" )</f>
        <v>-</v>
      </c>
      <c r="X12" s="9" t="str">
        <f>IF(MOD($B12,5)=0, "000-000","-" )</f>
        <v>-</v>
      </c>
      <c r="Y12" s="9" t="str">
        <f>IF(MOD($B12,5)=0, "000-000","-" )</f>
        <v>-</v>
      </c>
      <c r="Z12" s="9" t="str">
        <f>IF(MOD($B12,5)=0, "000-000","-" )</f>
        <v>-</v>
      </c>
      <c r="AA12" s="9" t="str">
        <f>IF(MOD($B12,5)=0, "000-000","-" )</f>
        <v>-</v>
      </c>
      <c r="AB12" s="9" t="str">
        <f>IF(MOD($B12,5)=0, "000-000","-" )</f>
        <v>-</v>
      </c>
      <c r="AC12" s="9" t="str">
        <f>IF(MOD($B12,5)=0, "000-000","-" )</f>
        <v>-</v>
      </c>
      <c r="AD12" s="9" t="str">
        <f>IF(MOD($B12,5)=0, "스핀들소음 :","-" )</f>
        <v>-</v>
      </c>
      <c r="AE12" s="9" t="str">
        <f>IF(MOD($B12,40)=0, "필터세척 :"&amp; CHAR(10) &amp; "FLOW   (T1, T4 : / T2, T3 : / T4 : )","-" )</f>
        <v>-</v>
      </c>
      <c r="AF12" s="9" t="str">
        <f>IF($B12="","",
  IF(MOD(B12,160)=0,
    "TENSION (XL : / ZL : / XR : / ZR : / Y : )" &amp; CHAR(10) &amp;
    "필터교체",
    "-"
  )
)</f>
        <v>-</v>
      </c>
      <c r="AG12" s="1" t="s">
        <v>17</v>
      </c>
      <c r="AH12" s="2"/>
    </row>
    <row r="13" spans="1:43" x14ac:dyDescent="0.45">
      <c r="A13" s="4">
        <v>45972</v>
      </c>
      <c r="B13" s="55">
        <v>7</v>
      </c>
      <c r="C13" s="9" t="str">
        <f>IF(B13="","",
  IF(MOD($B13,1)=0,
    "Dimensions: L W H",
    "-"
  )
)</f>
        <v>Dimensions: L W H</v>
      </c>
      <c r="D13" s="8" t="str">
        <f>IF(E13="","",
  IF(MOD($B13,1)=0,
    "완료",
    "-"
  )
)</f>
        <v>완료</v>
      </c>
      <c r="E13" s="1" t="s">
        <v>49</v>
      </c>
      <c r="F13" s="3"/>
      <c r="G13" s="1">
        <v>0</v>
      </c>
      <c r="H13" s="1" t="s">
        <v>17</v>
      </c>
      <c r="I13" s="1" t="s">
        <v>17</v>
      </c>
      <c r="J13" s="1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종합!$C$29, "")</f>
        <v>2.2599999999999998</v>
      </c>
      <c r="Q13" s="1" t="s">
        <v>17</v>
      </c>
      <c r="R13" s="9" t="str">
        <f>IF(MOD($B13,5)=0, "스핀들유격: ","-" )</f>
        <v>-</v>
      </c>
      <c r="S13" s="9" t="str">
        <f>IF(MOD($B13,5)=0, "스핀들유격: ","-" )</f>
        <v>-</v>
      </c>
      <c r="T13" s="9" t="str">
        <f>IF(MOD($B13,5)=0, "스핀들유격: ","-" )</f>
        <v>-</v>
      </c>
      <c r="U13" s="9" t="str">
        <f>IF(MOD($B13,5)=0, "스핀들유격: ","-" )</f>
        <v>-</v>
      </c>
      <c r="V13" s="9" t="str">
        <f>IF(MOD($B13,5)=0, "000-000","-" )</f>
        <v>-</v>
      </c>
      <c r="W13" s="9" t="str">
        <f>IF(MOD($B13,5)=0, "000-000","-" )</f>
        <v>-</v>
      </c>
      <c r="X13" s="9" t="str">
        <f>IF(MOD($B13,5)=0, "000-000","-" )</f>
        <v>-</v>
      </c>
      <c r="Y13" s="9" t="str">
        <f>IF(MOD($B13,5)=0, "000-000","-" )</f>
        <v>-</v>
      </c>
      <c r="Z13" s="9" t="str">
        <f>IF(MOD($B13,5)=0, "000-000","-" )</f>
        <v>-</v>
      </c>
      <c r="AA13" s="9" t="str">
        <f>IF(MOD($B13,5)=0, "000-000","-" )</f>
        <v>-</v>
      </c>
      <c r="AB13" s="9" t="str">
        <f>IF(MOD($B13,5)=0, "000-000","-" )</f>
        <v>-</v>
      </c>
      <c r="AC13" s="9" t="str">
        <f>IF(MOD($B13,5)=0, "000-000","-" )</f>
        <v>-</v>
      </c>
      <c r="AD13" s="9" t="str">
        <f>IF(MOD($B13,5)=0, "스핀들소음 :","-" )</f>
        <v>-</v>
      </c>
      <c r="AE13" s="9" t="str">
        <f>IF(MOD($B13,40)=0, "필터세척 :"&amp; CHAR(10) &amp; "FLOW   (T1, T4 : / T2, T3 : / T4 : )","-" )</f>
        <v>-</v>
      </c>
      <c r="AF13" s="9" t="str">
        <f>IF($B13="","",
  IF(MOD(B13,160)=0,
    "TENSION (XL : / ZL : / XR : / ZR : / Y : )" &amp; CHAR(10) &amp;
    "필터교체",
    "-"
  )
)</f>
        <v>-</v>
      </c>
      <c r="AG13" s="1" t="s">
        <v>17</v>
      </c>
      <c r="AH13" s="2"/>
    </row>
    <row r="14" spans="1:43" x14ac:dyDescent="0.45">
      <c r="A14" s="4">
        <v>45972</v>
      </c>
      <c r="B14" s="55">
        <v>8</v>
      </c>
      <c r="C14" s="9" t="str">
        <f>IF(B14="","",
  IF(MOD($B14,1)=0,
    "Dimensions: L W H",
    "-"
  )
)</f>
        <v>Dimensions: L W H</v>
      </c>
      <c r="D14" s="8" t="s">
        <v>107</v>
      </c>
      <c r="E14" s="1" t="s">
        <v>45</v>
      </c>
      <c r="F14" s="3"/>
      <c r="G14" s="1">
        <v>1</v>
      </c>
      <c r="H14" s="1" t="s">
        <v>17</v>
      </c>
      <c r="I14" s="1" t="s">
        <v>17</v>
      </c>
      <c r="J14" s="1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종합!$C$29, "")</f>
        <v>2.2599999999999998</v>
      </c>
      <c r="Q14" s="1" t="s">
        <v>17</v>
      </c>
      <c r="R14" s="9" t="str">
        <f>IF(MOD($B14,5)=0, "스핀들유격: ","-" )</f>
        <v>-</v>
      </c>
      <c r="S14" s="9" t="str">
        <f>IF(MOD($B14,5)=0, "스핀들유격: ","-" )</f>
        <v>-</v>
      </c>
      <c r="T14" s="9" t="str">
        <f>IF(MOD($B14,5)=0, "스핀들유격: ","-" )</f>
        <v>-</v>
      </c>
      <c r="U14" s="9" t="str">
        <f>IF(MOD($B14,5)=0, "스핀들유격: ","-" )</f>
        <v>-</v>
      </c>
      <c r="V14" s="9" t="str">
        <f>IF(MOD($B14,5)=0, "000-000","-" )</f>
        <v>-</v>
      </c>
      <c r="W14" s="9" t="str">
        <f>IF(MOD($B14,5)=0, "000-000","-" )</f>
        <v>-</v>
      </c>
      <c r="X14" s="9" t="str">
        <f>IF(MOD($B14,5)=0, "000-000","-" )</f>
        <v>-</v>
      </c>
      <c r="Y14" s="9" t="str">
        <f>IF(MOD($B14,5)=0, "000-000","-" )</f>
        <v>-</v>
      </c>
      <c r="Z14" s="9" t="str">
        <f>IF(MOD($B14,5)=0, "000-000","-" )</f>
        <v>-</v>
      </c>
      <c r="AA14" s="9" t="str">
        <f>IF(MOD($B14,5)=0, "000-000","-" )</f>
        <v>-</v>
      </c>
      <c r="AB14" s="9" t="str">
        <f>IF(MOD($B14,5)=0, "000-000","-" )</f>
        <v>-</v>
      </c>
      <c r="AC14" s="9" t="str">
        <f>IF(MOD($B14,5)=0, "000-000","-" )</f>
        <v>-</v>
      </c>
      <c r="AD14" s="9" t="str">
        <f>IF(MOD($B14,5)=0, "스핀들소음 :","-" )</f>
        <v>-</v>
      </c>
      <c r="AE14" s="9" t="str">
        <f>IF(MOD($B14,40)=0, "필터세척 :"&amp; CHAR(10) &amp; "FLOW   (T1, T4 : / T2, T3 : / T4 : )","-" )</f>
        <v>-</v>
      </c>
      <c r="AF14" s="9" t="str">
        <f>IF($B14="","",
  IF(MOD(B14,160)=0,
    "TENSION (XL : / ZL : / XR : / ZR : / Y : )" &amp; CHAR(10) &amp;
    "필터교체",
    "-"
  )
)</f>
        <v>-</v>
      </c>
      <c r="AG14" s="1" t="s">
        <v>17</v>
      </c>
      <c r="AH14" s="2"/>
    </row>
    <row r="15" spans="1:43" x14ac:dyDescent="0.45">
      <c r="A15" s="4"/>
      <c r="B15" s="55"/>
      <c r="C15" s="9"/>
      <c r="D15" s="8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"/>
      <c r="AH15" s="2"/>
    </row>
    <row r="16" spans="1:43" x14ac:dyDescent="0.45">
      <c r="A16" s="50"/>
      <c r="B16" s="55"/>
      <c r="C16" s="9"/>
      <c r="D16" s="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"/>
      <c r="AH16" s="2"/>
    </row>
    <row r="17" spans="1:34" x14ac:dyDescent="0.45">
      <c r="A17" s="50"/>
      <c r="B17" s="55"/>
      <c r="C17" s="9"/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"/>
      <c r="AH17" s="2"/>
    </row>
    <row r="20" spans="1:34" x14ac:dyDescent="0.45">
      <c r="A20" s="7" t="s">
        <v>19</v>
      </c>
      <c r="B20" s="81" t="s">
        <v>19</v>
      </c>
      <c r="C20" s="7" t="s">
        <v>19</v>
      </c>
      <c r="D20" s="7" t="s">
        <v>19</v>
      </c>
      <c r="E20" s="7" t="s">
        <v>19</v>
      </c>
      <c r="F20" s="7" t="s">
        <v>19</v>
      </c>
      <c r="G20" s="7" t="s">
        <v>19</v>
      </c>
      <c r="H20" s="7" t="s">
        <v>19</v>
      </c>
      <c r="I20" s="7" t="s">
        <v>19</v>
      </c>
      <c r="J20" s="7" t="s">
        <v>19</v>
      </c>
      <c r="K20" s="7" t="s">
        <v>19</v>
      </c>
      <c r="L20" s="7" t="s">
        <v>19</v>
      </c>
      <c r="M20" s="7" t="s">
        <v>19</v>
      </c>
      <c r="N20" s="7" t="s">
        <v>19</v>
      </c>
      <c r="O20" s="7" t="s">
        <v>19</v>
      </c>
      <c r="P20" s="7" t="s">
        <v>19</v>
      </c>
      <c r="Q20" s="7" t="s">
        <v>19</v>
      </c>
      <c r="R20" s="7" t="s">
        <v>19</v>
      </c>
      <c r="S20" s="7" t="s">
        <v>19</v>
      </c>
      <c r="T20" s="7" t="s">
        <v>19</v>
      </c>
      <c r="U20" s="7" t="s">
        <v>19</v>
      </c>
      <c r="V20" s="7" t="s">
        <v>19</v>
      </c>
      <c r="W20" s="7" t="s">
        <v>19</v>
      </c>
      <c r="X20" s="7" t="s">
        <v>19</v>
      </c>
      <c r="Y20" s="7" t="s">
        <v>19</v>
      </c>
      <c r="Z20" s="7" t="s">
        <v>19</v>
      </c>
      <c r="AA20" s="7" t="s">
        <v>19</v>
      </c>
      <c r="AB20" s="7" t="s">
        <v>19</v>
      </c>
      <c r="AC20" s="7" t="s">
        <v>19</v>
      </c>
      <c r="AD20" s="7" t="s">
        <v>19</v>
      </c>
      <c r="AE20" s="7" t="s">
        <v>19</v>
      </c>
      <c r="AF20" s="7" t="s">
        <v>19</v>
      </c>
      <c r="AG20" s="7" t="s">
        <v>19</v>
      </c>
      <c r="AH20" s="7" t="s">
        <v>19</v>
      </c>
    </row>
  </sheetData>
  <mergeCells count="11"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G14 I14">
    <cfRule type="containsText" dxfId="114" priority="36" operator="containsText" text="신품">
      <formula>NOT(ISERROR(SEARCH("신품",G7)))</formula>
    </cfRule>
    <cfRule type="containsText" dxfId="113" priority="37" operator="containsText" text="중고">
      <formula>NOT(ISERROR(SEARCH("중고",G7)))</formula>
    </cfRule>
  </conditionalFormatting>
  <conditionalFormatting sqref="J7:J9 J14">
    <cfRule type="containsText" dxfId="112" priority="34" operator="containsText" text="신품">
      <formula>NOT(ISERROR(SEARCH("신품",J7)))</formula>
    </cfRule>
    <cfRule type="containsText" dxfId="111" priority="35" operator="containsText" text="중고">
      <formula>NOT(ISERROR(SEARCH("중고",J7)))</formula>
    </cfRule>
  </conditionalFormatting>
  <conditionalFormatting sqref="I10 G10">
    <cfRule type="containsText" dxfId="108" priority="30" operator="containsText" text="신품">
      <formula>NOT(ISERROR(SEARCH("신품",G10)))</formula>
    </cfRule>
    <cfRule type="containsText" dxfId="107" priority="31" operator="containsText" text="중고">
      <formula>NOT(ISERROR(SEARCH("중고",G10)))</formula>
    </cfRule>
  </conditionalFormatting>
  <conditionalFormatting sqref="J10">
    <cfRule type="containsText" dxfId="106" priority="28" operator="containsText" text="신품">
      <formula>NOT(ISERROR(SEARCH("신품",J10)))</formula>
    </cfRule>
    <cfRule type="containsText" dxfId="105" priority="29" operator="containsText" text="중고">
      <formula>NOT(ISERROR(SEARCH("중고",J10)))</formula>
    </cfRule>
  </conditionalFormatting>
  <conditionalFormatting sqref="G11 I11">
    <cfRule type="containsText" dxfId="102" priority="24" operator="containsText" text="신품">
      <formula>NOT(ISERROR(SEARCH("신품",G11)))</formula>
    </cfRule>
    <cfRule type="containsText" dxfId="101" priority="25" operator="containsText" text="중고">
      <formula>NOT(ISERROR(SEARCH("중고",G11)))</formula>
    </cfRule>
  </conditionalFormatting>
  <conditionalFormatting sqref="J11">
    <cfRule type="containsText" dxfId="100" priority="22" operator="containsText" text="신품">
      <formula>NOT(ISERROR(SEARCH("신품",J11)))</formula>
    </cfRule>
    <cfRule type="containsText" dxfId="99" priority="23" operator="containsText" text="중고">
      <formula>NOT(ISERROR(SEARCH("중고",J11)))</formula>
    </cfRule>
  </conditionalFormatting>
  <conditionalFormatting sqref="G12:G17 I12:I17">
    <cfRule type="containsText" dxfId="96" priority="18" operator="containsText" text="신품">
      <formula>NOT(ISERROR(SEARCH("신품",G12)))</formula>
    </cfRule>
    <cfRule type="containsText" dxfId="95" priority="19" operator="containsText" text="중고">
      <formula>NOT(ISERROR(SEARCH("중고",G12)))</formula>
    </cfRule>
  </conditionalFormatting>
  <conditionalFormatting sqref="J12:J17">
    <cfRule type="containsText" dxfId="94" priority="16" operator="containsText" text="신품">
      <formula>NOT(ISERROR(SEARCH("신품",J12)))</formula>
    </cfRule>
    <cfRule type="containsText" dxfId="93" priority="17" operator="containsText" text="중고">
      <formula>NOT(ISERROR(SEARCH("중고",J12)))</formula>
    </cfRule>
  </conditionalFormatting>
  <conditionalFormatting sqref="G13 I13">
    <cfRule type="containsText" dxfId="90" priority="12" operator="containsText" text="신품">
      <formula>NOT(ISERROR(SEARCH("신품",G13)))</formula>
    </cfRule>
    <cfRule type="containsText" dxfId="89" priority="13" operator="containsText" text="중고">
      <formula>NOT(ISERROR(SEARCH("중고",G13)))</formula>
    </cfRule>
  </conditionalFormatting>
  <conditionalFormatting sqref="J13">
    <cfRule type="containsText" dxfId="88" priority="10" operator="containsText" text="신품">
      <formula>NOT(ISERROR(SEARCH("신품",J13)))</formula>
    </cfRule>
    <cfRule type="containsText" dxfId="87" priority="11" operator="containsText" text="중고">
      <formula>NOT(ISERROR(SEARCH("중고",J13)))</formula>
    </cfRule>
  </conditionalFormatting>
  <conditionalFormatting sqref="D7:D10 D14">
    <cfRule type="containsText" dxfId="86" priority="8" operator="containsText" text="완료">
      <formula>NOT(ISERROR(SEARCH("완료",D7)))</formula>
    </cfRule>
    <cfRule type="containsText" dxfId="85" priority="9" operator="containsText" text="중단">
      <formula>NOT(ISERROR(SEARCH("중단",D7)))</formula>
    </cfRule>
  </conditionalFormatting>
  <conditionalFormatting sqref="D11">
    <cfRule type="containsText" dxfId="84" priority="6" operator="containsText" text="완료">
      <formula>NOT(ISERROR(SEARCH("완료",D11)))</formula>
    </cfRule>
    <cfRule type="containsText" dxfId="83" priority="7" operator="containsText" text="중단">
      <formula>NOT(ISERROR(SEARCH("중단",D11)))</formula>
    </cfRule>
  </conditionalFormatting>
  <conditionalFormatting sqref="D12:D17">
    <cfRule type="containsText" dxfId="82" priority="4" operator="containsText" text="완료">
      <formula>NOT(ISERROR(SEARCH("완료",D12)))</formula>
    </cfRule>
    <cfRule type="containsText" dxfId="81" priority="5" operator="containsText" text="중단">
      <formula>NOT(ISERROR(SEARCH("중단",D12)))</formula>
    </cfRule>
  </conditionalFormatting>
  <conditionalFormatting sqref="D13">
    <cfRule type="containsText" dxfId="80" priority="2" operator="containsText" text="완료">
      <formula>NOT(ISERROR(SEARCH("완료",D13)))</formula>
    </cfRule>
    <cfRule type="containsText" dxfId="79" priority="3" operator="containsText" text="중단">
      <formula>NOT(ISERROR(SEARCH("중단",D13)))</formula>
    </cfRule>
  </conditionalFormatting>
  <conditionalFormatting sqref="D7:D20">
    <cfRule type="containsText" dxfId="78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dimension ref="A1:AQ20"/>
  <sheetViews>
    <sheetView zoomScale="67" workbookViewId="0">
      <selection activeCell="A12" sqref="A12"/>
    </sheetView>
  </sheetViews>
  <sheetFormatPr defaultRowHeight="17" x14ac:dyDescent="0.45"/>
  <cols>
    <col min="1" max="1" width="11.33203125" bestFit="1" customWidth="1"/>
    <col min="2" max="2" width="11.4140625" style="6" customWidth="1"/>
    <col min="3" max="3" width="44.1640625" customWidth="1"/>
    <col min="4" max="4" width="12.9140625" style="6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78" t="s">
        <v>20</v>
      </c>
      <c r="B1" s="26"/>
      <c r="C1" s="79"/>
      <c r="D1" s="79"/>
      <c r="E1" s="79"/>
      <c r="F1" s="80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</row>
    <row r="2" spans="1:43" x14ac:dyDescent="0.45">
      <c r="A2" s="34" t="s">
        <v>11</v>
      </c>
      <c r="B2" s="89" t="s">
        <v>108</v>
      </c>
      <c r="C2" s="90"/>
      <c r="D2" s="90"/>
      <c r="E2" s="90"/>
      <c r="F2" s="91"/>
      <c r="G2" s="34" t="s">
        <v>111</v>
      </c>
      <c r="H2" s="34"/>
      <c r="I2" s="34"/>
      <c r="J2" s="34"/>
      <c r="K2" s="34"/>
      <c r="L2" s="34"/>
      <c r="M2" s="34"/>
      <c r="N2" s="34"/>
      <c r="O2" s="34"/>
      <c r="P2" s="34"/>
      <c r="Q2" s="39" t="s">
        <v>27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  <c r="AG2" s="39" t="s">
        <v>10</v>
      </c>
      <c r="AH2" s="41"/>
    </row>
    <row r="3" spans="1:43" x14ac:dyDescent="0.45">
      <c r="A3" s="34"/>
      <c r="B3" s="92"/>
      <c r="C3" s="93"/>
      <c r="D3" s="93"/>
      <c r="E3" s="93"/>
      <c r="F3" s="94"/>
      <c r="G3" s="34"/>
      <c r="H3" s="34"/>
      <c r="I3" s="34"/>
      <c r="J3" s="34"/>
      <c r="K3" s="34"/>
      <c r="L3" s="34"/>
      <c r="M3" s="34"/>
      <c r="N3" s="34"/>
      <c r="O3" s="34"/>
      <c r="P3" s="34"/>
      <c r="Q3" s="42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  <c r="AG3" s="45"/>
      <c r="AH3" s="46"/>
    </row>
    <row r="4" spans="1:43" x14ac:dyDescent="0.45">
      <c r="A4" s="34"/>
      <c r="B4" s="92"/>
      <c r="C4" s="93"/>
      <c r="D4" s="93"/>
      <c r="E4" s="93"/>
      <c r="F4" s="94"/>
      <c r="G4" s="34"/>
      <c r="H4" s="34"/>
      <c r="I4" s="34"/>
      <c r="J4" s="34"/>
      <c r="K4" s="34"/>
      <c r="L4" s="34"/>
      <c r="M4" s="34"/>
      <c r="N4" s="34"/>
      <c r="O4" s="34"/>
      <c r="P4" s="34"/>
      <c r="Q4" s="22"/>
      <c r="R4" s="31" t="s">
        <v>36</v>
      </c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2"/>
      <c r="AE4" s="13" t="s">
        <v>37</v>
      </c>
      <c r="AF4" s="13" t="s">
        <v>38</v>
      </c>
      <c r="AG4" s="45"/>
      <c r="AH4" s="46"/>
    </row>
    <row r="5" spans="1:43" x14ac:dyDescent="0.45">
      <c r="A5" s="34"/>
      <c r="B5" s="95"/>
      <c r="C5" s="96"/>
      <c r="D5" s="96"/>
      <c r="E5" s="96"/>
      <c r="F5" s="97"/>
      <c r="G5" s="38" t="s">
        <v>39</v>
      </c>
      <c r="H5" s="38"/>
      <c r="I5" s="38"/>
      <c r="J5" s="38"/>
      <c r="K5" s="17"/>
      <c r="L5" s="35" t="s">
        <v>110</v>
      </c>
      <c r="M5" s="36"/>
      <c r="N5" s="36"/>
      <c r="O5" s="37"/>
      <c r="P5" s="82" t="s">
        <v>109</v>
      </c>
      <c r="Q5" s="21" t="s">
        <v>31</v>
      </c>
      <c r="R5" s="30" t="s">
        <v>48</v>
      </c>
      <c r="S5" s="31"/>
      <c r="T5" s="31"/>
      <c r="U5" s="32"/>
      <c r="V5" s="30" t="s">
        <v>21</v>
      </c>
      <c r="W5" s="31"/>
      <c r="X5" s="31"/>
      <c r="Y5" s="32"/>
      <c r="Z5" s="33" t="s">
        <v>34</v>
      </c>
      <c r="AA5" s="33"/>
      <c r="AB5" s="33"/>
      <c r="AC5" s="33"/>
      <c r="AD5" s="33"/>
      <c r="AE5" s="15"/>
      <c r="AF5" s="13"/>
      <c r="AG5" s="45"/>
      <c r="AH5" s="46"/>
    </row>
    <row r="6" spans="1:43" x14ac:dyDescent="0.45">
      <c r="A6" s="20" t="s">
        <v>28</v>
      </c>
      <c r="B6" s="98" t="s">
        <v>3</v>
      </c>
      <c r="C6" s="99" t="s">
        <v>32</v>
      </c>
      <c r="D6" s="99" t="s">
        <v>22</v>
      </c>
      <c r="E6" s="99" t="s">
        <v>18</v>
      </c>
      <c r="F6" s="99" t="s">
        <v>9</v>
      </c>
      <c r="G6" s="23" t="s">
        <v>4</v>
      </c>
      <c r="H6" s="23" t="s">
        <v>13</v>
      </c>
      <c r="I6" s="23" t="s">
        <v>14</v>
      </c>
      <c r="J6" s="23" t="s">
        <v>5</v>
      </c>
      <c r="K6" s="20" t="s">
        <v>16</v>
      </c>
      <c r="L6" s="20" t="s">
        <v>23</v>
      </c>
      <c r="M6" s="20" t="s">
        <v>24</v>
      </c>
      <c r="N6" s="20" t="s">
        <v>29</v>
      </c>
      <c r="O6" s="20" t="s">
        <v>25</v>
      </c>
      <c r="P6" s="20" t="s">
        <v>30</v>
      </c>
      <c r="Q6" s="23" t="s">
        <v>26</v>
      </c>
      <c r="R6" s="23" t="s">
        <v>4</v>
      </c>
      <c r="S6" s="23" t="s">
        <v>13</v>
      </c>
      <c r="T6" s="23" t="s">
        <v>14</v>
      </c>
      <c r="U6" s="23" t="s">
        <v>5</v>
      </c>
      <c r="V6" s="23" t="s">
        <v>4</v>
      </c>
      <c r="W6" s="23" t="s">
        <v>13</v>
      </c>
      <c r="X6" s="23" t="s">
        <v>14</v>
      </c>
      <c r="Y6" s="23" t="s">
        <v>5</v>
      </c>
      <c r="Z6" s="23" t="s">
        <v>4</v>
      </c>
      <c r="AA6" s="23" t="s">
        <v>13</v>
      </c>
      <c r="AB6" s="23" t="s">
        <v>14</v>
      </c>
      <c r="AC6" s="23" t="s">
        <v>5</v>
      </c>
      <c r="AD6" s="23" t="s">
        <v>42</v>
      </c>
      <c r="AE6" s="16" t="s">
        <v>40</v>
      </c>
      <c r="AF6" s="14" t="s">
        <v>41</v>
      </c>
      <c r="AG6" s="42"/>
      <c r="AH6" s="44"/>
      <c r="AM6" s="1"/>
      <c r="AN6" s="1"/>
      <c r="AO6" s="1"/>
      <c r="AP6" s="1"/>
      <c r="AQ6" s="1"/>
    </row>
    <row r="7" spans="1:43" x14ac:dyDescent="0.45">
      <c r="A7" s="4">
        <v>45971</v>
      </c>
      <c r="B7" s="55">
        <v>1</v>
      </c>
      <c r="C7" s="9" t="str">
        <f>IF(B7="","",
  IF(MOD($B7,1)=0,
    "Dimensions: L W H",
    "-"
  )
)</f>
        <v>Dimensions: L W H</v>
      </c>
      <c r="D7" s="8" t="str">
        <f>IF(E7="","",
  IF(MOD($B7,1)=0,
    "완료",
    "-"
  )
)</f>
        <v>완료</v>
      </c>
      <c r="E7" s="1" t="s">
        <v>45</v>
      </c>
      <c r="F7" s="3"/>
      <c r="G7" s="1" t="s">
        <v>43</v>
      </c>
      <c r="H7" s="1" t="s">
        <v>17</v>
      </c>
      <c r="I7" s="1" t="s">
        <v>17</v>
      </c>
      <c r="J7" s="1" t="s">
        <v>43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종합!$C$29, "")</f>
        <v>2.2599999999999998</v>
      </c>
      <c r="Q7" s="1" t="s">
        <v>17</v>
      </c>
      <c r="R7" s="9" t="str">
        <f>IF(MOD($B7,5)=0, "스핀들유격: ","-" )</f>
        <v>-</v>
      </c>
      <c r="S7" s="9" t="str">
        <f>IF(MOD($B7,5)=0, "스핀들유격: ","-" )</f>
        <v>-</v>
      </c>
      <c r="T7" s="9" t="str">
        <f>IF(MOD($B7,5)=0, "스핀들유격: ","-" )</f>
        <v>-</v>
      </c>
      <c r="U7" s="9" t="str">
        <f>IF(MOD($B7,5)=0, "스핀들유격: ","-" )</f>
        <v>-</v>
      </c>
      <c r="V7" s="9" t="str">
        <f>IF(MOD($B7,5)=0, "000-000","-" )</f>
        <v>-</v>
      </c>
      <c r="W7" s="9" t="str">
        <f>IF(MOD($B7,5)=0, "000-000","-" )</f>
        <v>-</v>
      </c>
      <c r="X7" s="9" t="str">
        <f>IF(MOD($B7,5)=0, "000-000","-" )</f>
        <v>-</v>
      </c>
      <c r="Y7" s="9" t="str">
        <f>IF(MOD($B7,5)=0, "000-000","-" )</f>
        <v>-</v>
      </c>
      <c r="Z7" s="9" t="str">
        <f>IF(MOD($B7,5)=0, "000-000","-" )</f>
        <v>-</v>
      </c>
      <c r="AA7" s="9" t="str">
        <f>IF(MOD($B7,5)=0, "000-000","-" )</f>
        <v>-</v>
      </c>
      <c r="AB7" s="9" t="str">
        <f>IF(MOD($B7,5)=0, "000-000","-" )</f>
        <v>-</v>
      </c>
      <c r="AC7" s="9" t="str">
        <f>IF(MOD($B7,5)=0, "000-000","-" )</f>
        <v>-</v>
      </c>
      <c r="AD7" s="9" t="str">
        <f>IF(MOD($B7,5)=0, "스핀들소음 :","-" )</f>
        <v>-</v>
      </c>
      <c r="AE7" s="9" t="str">
        <f>IF(MOD($B7,40)=0, "필터세척 :"&amp; CHAR(10) &amp; "FLOW   (T1, T4 : / T2, T3 : / T4 : )","-" )</f>
        <v>-</v>
      </c>
      <c r="AF7" s="9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55">
        <v>2</v>
      </c>
      <c r="C8" s="9" t="str">
        <f>IF(B8="","",
  IF(MOD($B8,1)=0,
    "Dimensions: L W H",
    "-"
  )
)</f>
        <v>Dimensions: L W H</v>
      </c>
      <c r="D8" s="8" t="str">
        <f>IF(E8="","",
  IF(MOD($B8,1)=0,
    "완료",
    "-"
  )
)</f>
        <v>완료</v>
      </c>
      <c r="E8" s="1" t="s">
        <v>44</v>
      </c>
      <c r="F8" s="3"/>
      <c r="G8" s="1" t="s">
        <v>43</v>
      </c>
      <c r="H8" s="1" t="s">
        <v>17</v>
      </c>
      <c r="I8" s="1" t="s">
        <v>17</v>
      </c>
      <c r="J8" s="1" t="s">
        <v>43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종합!$C$29, "")</f>
        <v>2.2599999999999998</v>
      </c>
      <c r="Q8" s="1" t="s">
        <v>17</v>
      </c>
      <c r="R8" s="9" t="str">
        <f>IF(MOD($B8,5)=0, "스핀들유격: ","-" )</f>
        <v>-</v>
      </c>
      <c r="S8" s="9" t="str">
        <f>IF(MOD($B8,5)=0, "스핀들유격: ","-" )</f>
        <v>-</v>
      </c>
      <c r="T8" s="9" t="str">
        <f>IF(MOD($B8,5)=0, "스핀들유격: ","-" )</f>
        <v>-</v>
      </c>
      <c r="U8" s="9" t="str">
        <f>IF(MOD($B8,5)=0, "스핀들유격: ","-" )</f>
        <v>-</v>
      </c>
      <c r="V8" s="9" t="str">
        <f>IF(MOD($B8,5)=0, "000-000","-" )</f>
        <v>-</v>
      </c>
      <c r="W8" s="9" t="str">
        <f>IF(MOD($B8,5)=0, "000-000","-" )</f>
        <v>-</v>
      </c>
      <c r="X8" s="9" t="str">
        <f>IF(MOD($B8,5)=0, "000-000","-" )</f>
        <v>-</v>
      </c>
      <c r="Y8" s="9" t="str">
        <f>IF(MOD($B8,5)=0, "000-000","-" )</f>
        <v>-</v>
      </c>
      <c r="Z8" s="9" t="str">
        <f>IF(MOD($B8,5)=0, "000-000","-" )</f>
        <v>-</v>
      </c>
      <c r="AA8" s="9" t="str">
        <f>IF(MOD($B8,5)=0, "000-000","-" )</f>
        <v>-</v>
      </c>
      <c r="AB8" s="9" t="str">
        <f>IF(MOD($B8,5)=0, "000-000","-" )</f>
        <v>-</v>
      </c>
      <c r="AC8" s="9" t="str">
        <f>IF(MOD($B8,5)=0, "000-000","-" )</f>
        <v>-</v>
      </c>
      <c r="AD8" s="9" t="str">
        <f>IF(MOD($B8,5)=0, "스핀들소음 :","-" )</f>
        <v>-</v>
      </c>
      <c r="AE8" s="9" t="str">
        <f>IF(MOD($B8,40)=0, "필터세척 :"&amp; CHAR(10) &amp; "FLOW   (T1, T4 : / T2, T3 : / T4 : )","-" )</f>
        <v>-</v>
      </c>
      <c r="AF8" s="9" t="str">
        <f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55">
        <v>2</v>
      </c>
      <c r="C9" s="9" t="str">
        <f>IF(B9="","",
  IF(MOD($B9,1)=0,
    "Dimensions: L W H",
    "-"
  )
)</f>
        <v>Dimensions: L W H</v>
      </c>
      <c r="D9" s="8" t="str">
        <f>IF(E9="","",
  IF(MOD($B9,1)=0,
    "완료",
    "-"
  )
)</f>
        <v>완료</v>
      </c>
      <c r="E9" s="1" t="s">
        <v>44</v>
      </c>
      <c r="F9" s="3"/>
      <c r="G9" s="1" t="s">
        <v>43</v>
      </c>
      <c r="H9" s="1" t="s">
        <v>17</v>
      </c>
      <c r="I9" s="1" t="s">
        <v>17</v>
      </c>
      <c r="J9" s="1" t="s">
        <v>43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종합!$C$29, "")</f>
        <v>2.2599999999999998</v>
      </c>
      <c r="Q9" s="1" t="s">
        <v>17</v>
      </c>
      <c r="R9" s="9" t="str">
        <f>IF(MOD($B9,5)=0, "스핀들유격: ","-" )</f>
        <v>-</v>
      </c>
      <c r="S9" s="9" t="str">
        <f>IF(MOD($B9,5)=0, "스핀들유격: ","-" )</f>
        <v>-</v>
      </c>
      <c r="T9" s="9" t="str">
        <f>IF(MOD($B9,5)=0, "스핀들유격: ","-" )</f>
        <v>-</v>
      </c>
      <c r="U9" s="9" t="str">
        <f>IF(MOD($B9,5)=0, "스핀들유격: ","-" )</f>
        <v>-</v>
      </c>
      <c r="V9" s="9" t="str">
        <f>IF(MOD($B9,5)=0, "000-000","-" )</f>
        <v>-</v>
      </c>
      <c r="W9" s="9" t="str">
        <f>IF(MOD($B9,5)=0, "000-000","-" )</f>
        <v>-</v>
      </c>
      <c r="X9" s="9" t="str">
        <f>IF(MOD($B9,5)=0, "000-000","-" )</f>
        <v>-</v>
      </c>
      <c r="Y9" s="9" t="str">
        <f>IF(MOD($B9,5)=0, "000-000","-" )</f>
        <v>-</v>
      </c>
      <c r="Z9" s="9" t="str">
        <f>IF(MOD($B9,5)=0, "000-000","-" )</f>
        <v>-</v>
      </c>
      <c r="AA9" s="9" t="str">
        <f>IF(MOD($B9,5)=0, "000-000","-" )</f>
        <v>-</v>
      </c>
      <c r="AB9" s="9" t="str">
        <f>IF(MOD($B9,5)=0, "000-000","-" )</f>
        <v>-</v>
      </c>
      <c r="AC9" s="9" t="str">
        <f>IF(MOD($B9,5)=0, "000-000","-" )</f>
        <v>-</v>
      </c>
      <c r="AD9" s="9" t="str">
        <f>IF(MOD($B9,5)=0, "스핀들소음 :","-" )</f>
        <v>-</v>
      </c>
      <c r="AE9" s="9" t="str">
        <f>IF(MOD($B9,40)=0, "필터세척 :"&amp; CHAR(10) &amp; "FLOW   (T1, T4 : / T2, T3 : / T4 : )","-" )</f>
        <v>-</v>
      </c>
      <c r="AF9" s="9" t="str">
        <f>IF($B9="","",
  IF(MOD(B9,160)=0,
    "TENSION (XL : / ZL : / XR : / ZR : / Y : )" &amp; CHAR(10) &amp;
    "필터교체",
    "-"
  )
)</f>
        <v>-</v>
      </c>
      <c r="AG9" s="1" t="s">
        <v>17</v>
      </c>
      <c r="AH9" s="2"/>
    </row>
    <row r="10" spans="1:43" x14ac:dyDescent="0.45">
      <c r="A10" s="4">
        <v>45971</v>
      </c>
      <c r="B10" s="55">
        <v>4</v>
      </c>
      <c r="C10" s="9" t="str">
        <f>IF(B10="","",
  IF(MOD($B10,1)=0,
    "Dimensions: L W H",
    "-"
  )
)</f>
        <v>Dimensions: L W H</v>
      </c>
      <c r="D10" s="8" t="str">
        <f>IF(E10="","",
  IF(MOD($B10,1)=0,
    "완료",
    "-"
  )
)</f>
        <v>완료</v>
      </c>
      <c r="E10" s="1" t="s">
        <v>44</v>
      </c>
      <c r="F10" s="3"/>
      <c r="G10" s="1" t="s">
        <v>43</v>
      </c>
      <c r="H10" s="1" t="s">
        <v>17</v>
      </c>
      <c r="I10" s="1" t="s">
        <v>17</v>
      </c>
      <c r="J10" s="1" t="s">
        <v>43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종합!$C$29, "")</f>
        <v>2.2599999999999998</v>
      </c>
      <c r="Q10" s="1" t="s">
        <v>17</v>
      </c>
      <c r="R10" s="9" t="str">
        <f>IF(MOD($B10,5)=0, "스핀들유격: ","-" )</f>
        <v>-</v>
      </c>
      <c r="S10" s="9" t="str">
        <f>IF(MOD($B10,5)=0, "스핀들유격: ","-" )</f>
        <v>-</v>
      </c>
      <c r="T10" s="9" t="str">
        <f>IF(MOD($B10,5)=0, "스핀들유격: ","-" )</f>
        <v>-</v>
      </c>
      <c r="U10" s="9" t="str">
        <f>IF(MOD($B10,5)=0, "스핀들유격: ","-" )</f>
        <v>-</v>
      </c>
      <c r="V10" s="9" t="str">
        <f>IF(MOD($B10,5)=0, "000-000","-" )</f>
        <v>-</v>
      </c>
      <c r="W10" s="9" t="str">
        <f>IF(MOD($B10,5)=0, "000-000","-" )</f>
        <v>-</v>
      </c>
      <c r="X10" s="9" t="str">
        <f>IF(MOD($B10,5)=0, "000-000","-" )</f>
        <v>-</v>
      </c>
      <c r="Y10" s="9" t="str">
        <f>IF(MOD($B10,5)=0, "000-000","-" )</f>
        <v>-</v>
      </c>
      <c r="Z10" s="9" t="str">
        <f>IF(MOD($B10,5)=0, "000-000","-" )</f>
        <v>-</v>
      </c>
      <c r="AA10" s="9" t="str">
        <f>IF(MOD($B10,5)=0, "000-000","-" )</f>
        <v>-</v>
      </c>
      <c r="AB10" s="9" t="str">
        <f>IF(MOD($B10,5)=0, "000-000","-" )</f>
        <v>-</v>
      </c>
      <c r="AC10" s="9" t="str">
        <f>IF(MOD($B10,5)=0, "000-000","-" )</f>
        <v>-</v>
      </c>
      <c r="AD10" s="9" t="str">
        <f>IF(MOD($B10,5)=0, "스핀들소음 :","-" )</f>
        <v>-</v>
      </c>
      <c r="AE10" s="9" t="str">
        <f>IF(MOD($B10,40)=0, "필터세척 :"&amp; CHAR(10) &amp; "FLOW   (T1, T4 : / T2, T3 : / T4 : )","-" )</f>
        <v>-</v>
      </c>
      <c r="AF10" s="9" t="str">
        <f>IF($B10="","",
  IF(MOD(B10,160)=0,
    "TENSION (XL : / ZL : / XR : / ZR : / Y : )" &amp; CHAR(10) &amp;
    "필터교체",
    "-"
  )
)</f>
        <v>-</v>
      </c>
      <c r="AG10" s="1" t="s">
        <v>17</v>
      </c>
      <c r="AH10" s="2"/>
    </row>
    <row r="11" spans="1:43" x14ac:dyDescent="0.45">
      <c r="A11" s="4">
        <v>45971</v>
      </c>
      <c r="B11" s="55">
        <v>5</v>
      </c>
      <c r="C11" s="9" t="str">
        <f>IF(B11="","",
  IF(MOD($B11,1)=0,
    "Dimensions: L W H",
    "-"
  )
)</f>
        <v>Dimensions: L W H</v>
      </c>
      <c r="D11" s="8" t="str">
        <f>IF(E11="","",
  IF(MOD($B11,1)=0,
    "완료",
    "-"
  )
)</f>
        <v>완료</v>
      </c>
      <c r="E11" s="1" t="s">
        <v>44</v>
      </c>
      <c r="F11" s="3"/>
      <c r="G11" s="1" t="s">
        <v>43</v>
      </c>
      <c r="H11" s="1" t="s">
        <v>17</v>
      </c>
      <c r="I11" s="1" t="s">
        <v>17</v>
      </c>
      <c r="J11" s="1" t="s">
        <v>43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종합!$C$29, "")</f>
        <v>2.2599999999999998</v>
      </c>
      <c r="Q11" s="1" t="s">
        <v>17</v>
      </c>
      <c r="R11" s="9" t="s">
        <v>50</v>
      </c>
      <c r="S11" s="9" t="s">
        <v>50</v>
      </c>
      <c r="T11" s="9" t="s">
        <v>50</v>
      </c>
      <c r="U11" s="9" t="s">
        <v>50</v>
      </c>
      <c r="V11" s="9" t="s">
        <v>51</v>
      </c>
      <c r="W11" s="9" t="s">
        <v>52</v>
      </c>
      <c r="X11" s="9" t="s">
        <v>53</v>
      </c>
      <c r="Y11" s="9" t="s">
        <v>54</v>
      </c>
      <c r="Z11" s="9" t="str">
        <f>IF(MOD($B11,5)=0, "000-000","-" )</f>
        <v>000-000</v>
      </c>
      <c r="AA11" s="9" t="str">
        <f>IF(MOD($B11,5)=0, "000-000","-" )</f>
        <v>000-000</v>
      </c>
      <c r="AB11" s="9" t="str">
        <f>IF(MOD($B11,5)=0, "000-000","-" )</f>
        <v>000-000</v>
      </c>
      <c r="AC11" s="9" t="str">
        <f>IF(MOD($B11,5)=0, "000-000","-" )</f>
        <v>000-000</v>
      </c>
      <c r="AD11" s="9" t="s">
        <v>82</v>
      </c>
      <c r="AE11" s="9" t="str">
        <f>IF(MOD($B11,40)=0, "필터세척 :"&amp; CHAR(10) &amp; "FLOW   (T1, T4 : / T2, T3 : / T4 : )","-" )</f>
        <v>-</v>
      </c>
      <c r="AF11" s="9" t="str">
        <f>IF($B11="","",
  IF(MOD(B11,160)=0,
    "TENSION (XL : / ZL : / XR : / ZR : / Y : )" &amp; CHAR(10) &amp;
    "필터교체",
    "-"
  )
)</f>
        <v>-</v>
      </c>
      <c r="AG11" s="1" t="s">
        <v>17</v>
      </c>
      <c r="AH11" s="2"/>
    </row>
    <row r="12" spans="1:43" x14ac:dyDescent="0.45">
      <c r="A12" s="4">
        <v>45971</v>
      </c>
      <c r="B12" s="55">
        <v>6</v>
      </c>
      <c r="C12" s="9" t="str">
        <f>IF(B12="","",
  IF(MOD($B12,1)=0,
    "Dimensions: L W H",
    "-"
  )
)</f>
        <v>Dimensions: L W H</v>
      </c>
      <c r="D12" s="8" t="str">
        <f>IF(E12="","",
  IF(MOD($B12,1)=0,
    "완료",
    "-"
  )
)</f>
        <v>완료</v>
      </c>
      <c r="E12" s="1" t="s">
        <v>44</v>
      </c>
      <c r="F12" s="3"/>
      <c r="G12" s="1" t="s">
        <v>43</v>
      </c>
      <c r="H12" s="1" t="s">
        <v>17</v>
      </c>
      <c r="I12" s="1" t="s">
        <v>17</v>
      </c>
      <c r="J12" s="1" t="s">
        <v>43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종합!$C$29, "")</f>
        <v>2.2599999999999998</v>
      </c>
      <c r="Q12" s="1" t="s">
        <v>17</v>
      </c>
      <c r="R12" s="9" t="str">
        <f>IF(MOD($B12,5)=0, "스핀들유격: ","-" )</f>
        <v>-</v>
      </c>
      <c r="S12" s="9" t="str">
        <f>IF(MOD($B12,5)=0, "스핀들유격: ","-" )</f>
        <v>-</v>
      </c>
      <c r="T12" s="9" t="str">
        <f>IF(MOD($B12,5)=0, "스핀들유격: ","-" )</f>
        <v>-</v>
      </c>
      <c r="U12" s="9" t="str">
        <f>IF(MOD($B12,5)=0, "스핀들유격: ","-" )</f>
        <v>-</v>
      </c>
      <c r="V12" s="9" t="str">
        <f>IF(MOD($B12,5)=0, "000-000","-" )</f>
        <v>-</v>
      </c>
      <c r="W12" s="9" t="str">
        <f>IF(MOD($B12,5)=0, "000-000","-" )</f>
        <v>-</v>
      </c>
      <c r="X12" s="9" t="str">
        <f>IF(MOD($B12,5)=0, "000-000","-" )</f>
        <v>-</v>
      </c>
      <c r="Y12" s="9" t="str">
        <f>IF(MOD($B12,5)=0, "000-000","-" )</f>
        <v>-</v>
      </c>
      <c r="Z12" s="9" t="str">
        <f>IF(MOD($B12,5)=0, "000-000","-" )</f>
        <v>-</v>
      </c>
      <c r="AA12" s="9" t="str">
        <f>IF(MOD($B12,5)=0, "000-000","-" )</f>
        <v>-</v>
      </c>
      <c r="AB12" s="9" t="str">
        <f>IF(MOD($B12,5)=0, "000-000","-" )</f>
        <v>-</v>
      </c>
      <c r="AC12" s="9" t="str">
        <f>IF(MOD($B12,5)=0, "000-000","-" )</f>
        <v>-</v>
      </c>
      <c r="AD12" s="9" t="str">
        <f>IF(MOD($B12,5)=0, "스핀들소음 :","-" )</f>
        <v>-</v>
      </c>
      <c r="AE12" s="9" t="str">
        <f>IF(MOD($B12,40)=0, "필터세척 :"&amp; CHAR(10) &amp; "FLOW   (T1, T4 : / T2, T3 : / T4 : )","-" )</f>
        <v>-</v>
      </c>
      <c r="AF12" s="9" t="str">
        <f>IF($B12="","",
  IF(MOD(B12,160)=0,
    "TENSION (XL : / ZL : / XR : / ZR : / Y : )" &amp; CHAR(10) &amp;
    "필터교체",
    "-"
  )
)</f>
        <v>-</v>
      </c>
      <c r="AG12" s="1" t="s">
        <v>17</v>
      </c>
      <c r="AH12" s="2"/>
    </row>
    <row r="13" spans="1:43" x14ac:dyDescent="0.45">
      <c r="A13" s="4">
        <v>45972</v>
      </c>
      <c r="B13" s="55">
        <v>7</v>
      </c>
      <c r="C13" s="9" t="str">
        <f>IF(B13="","",
  IF(MOD($B13,1)=0,
    "Dimensions: L W H",
    "-"
  )
)</f>
        <v>Dimensions: L W H</v>
      </c>
      <c r="D13" s="8" t="str">
        <f>IF(E13="","",
  IF(MOD($B13,1)=0,
    "완료",
    "-"
  )
)</f>
        <v>완료</v>
      </c>
      <c r="E13" s="1" t="s">
        <v>49</v>
      </c>
      <c r="F13" s="3"/>
      <c r="G13" s="1">
        <v>0</v>
      </c>
      <c r="H13" s="1" t="s">
        <v>17</v>
      </c>
      <c r="I13" s="1" t="s">
        <v>17</v>
      </c>
      <c r="J13" s="1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종합!$C$29, "")</f>
        <v>2.2599999999999998</v>
      </c>
      <c r="Q13" s="1" t="s">
        <v>17</v>
      </c>
      <c r="R13" s="9" t="str">
        <f>IF(MOD($B13,5)=0, "스핀들유격: ","-" )</f>
        <v>-</v>
      </c>
      <c r="S13" s="9" t="str">
        <f>IF(MOD($B13,5)=0, "스핀들유격: ","-" )</f>
        <v>-</v>
      </c>
      <c r="T13" s="9" t="str">
        <f>IF(MOD($B13,5)=0, "스핀들유격: ","-" )</f>
        <v>-</v>
      </c>
      <c r="U13" s="9" t="str">
        <f>IF(MOD($B13,5)=0, "스핀들유격: ","-" )</f>
        <v>-</v>
      </c>
      <c r="V13" s="9" t="str">
        <f>IF(MOD($B13,5)=0, "000-000","-" )</f>
        <v>-</v>
      </c>
      <c r="W13" s="9" t="str">
        <f>IF(MOD($B13,5)=0, "000-000","-" )</f>
        <v>-</v>
      </c>
      <c r="X13" s="9" t="str">
        <f>IF(MOD($B13,5)=0, "000-000","-" )</f>
        <v>-</v>
      </c>
      <c r="Y13" s="9" t="str">
        <f>IF(MOD($B13,5)=0, "000-000","-" )</f>
        <v>-</v>
      </c>
      <c r="Z13" s="9" t="str">
        <f>IF(MOD($B13,5)=0, "000-000","-" )</f>
        <v>-</v>
      </c>
      <c r="AA13" s="9" t="str">
        <f>IF(MOD($B13,5)=0, "000-000","-" )</f>
        <v>-</v>
      </c>
      <c r="AB13" s="9" t="str">
        <f>IF(MOD($B13,5)=0, "000-000","-" )</f>
        <v>-</v>
      </c>
      <c r="AC13" s="9" t="str">
        <f>IF(MOD($B13,5)=0, "000-000","-" )</f>
        <v>-</v>
      </c>
      <c r="AD13" s="9" t="str">
        <f>IF(MOD($B13,5)=0, "스핀들소음 :","-" )</f>
        <v>-</v>
      </c>
      <c r="AE13" s="9" t="str">
        <f>IF(MOD($B13,40)=0, "필터세척 :"&amp; CHAR(10) &amp; "FLOW   (T1, T4 : / T2, T3 : / T4 : )","-" )</f>
        <v>-</v>
      </c>
      <c r="AF13" s="9" t="str">
        <f>IF($B13="","",
  IF(MOD(B13,160)=0,
    "TENSION (XL : / ZL : / XR : / ZR : / Y : )" &amp; CHAR(10) &amp;
    "필터교체",
    "-"
  )
)</f>
        <v>-</v>
      </c>
      <c r="AG13" s="1" t="s">
        <v>17</v>
      </c>
      <c r="AH13" s="2"/>
    </row>
    <row r="14" spans="1:43" x14ac:dyDescent="0.45">
      <c r="A14" s="4">
        <v>45972</v>
      </c>
      <c r="B14" s="55">
        <v>8</v>
      </c>
      <c r="C14" s="9" t="str">
        <f>IF(B14="","",
  IF(MOD($B14,1)=0,
    "Dimensions: L W H",
    "-"
  )
)</f>
        <v>Dimensions: L W H</v>
      </c>
      <c r="D14" s="8" t="s">
        <v>107</v>
      </c>
      <c r="E14" s="1" t="s">
        <v>45</v>
      </c>
      <c r="F14" s="3"/>
      <c r="G14" s="1">
        <v>1</v>
      </c>
      <c r="H14" s="1" t="s">
        <v>17</v>
      </c>
      <c r="I14" s="1" t="s">
        <v>17</v>
      </c>
      <c r="J14" s="1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종합!$C$29, "")</f>
        <v>2.2599999999999998</v>
      </c>
      <c r="Q14" s="1" t="s">
        <v>17</v>
      </c>
      <c r="R14" s="9" t="str">
        <f>IF(MOD($B14,5)=0, "스핀들유격: ","-" )</f>
        <v>-</v>
      </c>
      <c r="S14" s="9" t="str">
        <f>IF(MOD($B14,5)=0, "스핀들유격: ","-" )</f>
        <v>-</v>
      </c>
      <c r="T14" s="9" t="str">
        <f>IF(MOD($B14,5)=0, "스핀들유격: ","-" )</f>
        <v>-</v>
      </c>
      <c r="U14" s="9" t="str">
        <f>IF(MOD($B14,5)=0, "스핀들유격: ","-" )</f>
        <v>-</v>
      </c>
      <c r="V14" s="9" t="str">
        <f>IF(MOD($B14,5)=0, "000-000","-" )</f>
        <v>-</v>
      </c>
      <c r="W14" s="9" t="str">
        <f>IF(MOD($B14,5)=0, "000-000","-" )</f>
        <v>-</v>
      </c>
      <c r="X14" s="9" t="str">
        <f>IF(MOD($B14,5)=0, "000-000","-" )</f>
        <v>-</v>
      </c>
      <c r="Y14" s="9" t="str">
        <f>IF(MOD($B14,5)=0, "000-000","-" )</f>
        <v>-</v>
      </c>
      <c r="Z14" s="9" t="str">
        <f>IF(MOD($B14,5)=0, "000-000","-" )</f>
        <v>-</v>
      </c>
      <c r="AA14" s="9" t="str">
        <f>IF(MOD($B14,5)=0, "000-000","-" )</f>
        <v>-</v>
      </c>
      <c r="AB14" s="9" t="str">
        <f>IF(MOD($B14,5)=0, "000-000","-" )</f>
        <v>-</v>
      </c>
      <c r="AC14" s="9" t="str">
        <f>IF(MOD($B14,5)=0, "000-000","-" )</f>
        <v>-</v>
      </c>
      <c r="AD14" s="9" t="str">
        <f>IF(MOD($B14,5)=0, "스핀들소음 :","-" )</f>
        <v>-</v>
      </c>
      <c r="AE14" s="9" t="str">
        <f>IF(MOD($B14,40)=0, "필터세척 :"&amp; CHAR(10) &amp; "FLOW   (T1, T4 : / T2, T3 : / T4 : )","-" )</f>
        <v>-</v>
      </c>
      <c r="AF14" s="9" t="str">
        <f>IF($B14="","",
  IF(MOD(B14,160)=0,
    "TENSION (XL : / ZL : / XR : / ZR : / Y : )" &amp; CHAR(10) &amp;
    "필터교체",
    "-"
  )
)</f>
        <v>-</v>
      </c>
      <c r="AG14" s="1" t="s">
        <v>17</v>
      </c>
      <c r="AH14" s="2"/>
    </row>
    <row r="15" spans="1:43" x14ac:dyDescent="0.45">
      <c r="A15" s="4"/>
      <c r="B15" s="55"/>
      <c r="C15" s="9"/>
      <c r="D15" s="8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"/>
      <c r="AH15" s="2"/>
    </row>
    <row r="16" spans="1:43" x14ac:dyDescent="0.45">
      <c r="A16" s="50"/>
      <c r="B16" s="55"/>
      <c r="C16" s="9"/>
      <c r="D16" s="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"/>
      <c r="AH16" s="2"/>
    </row>
    <row r="17" spans="1:34" x14ac:dyDescent="0.45">
      <c r="A17" s="50"/>
      <c r="B17" s="55"/>
      <c r="C17" s="9"/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"/>
      <c r="AH17" s="2"/>
    </row>
    <row r="20" spans="1:34" x14ac:dyDescent="0.45">
      <c r="A20" s="7" t="s">
        <v>19</v>
      </c>
      <c r="B20" s="81" t="s">
        <v>19</v>
      </c>
      <c r="C20" s="7" t="s">
        <v>19</v>
      </c>
      <c r="D20" s="7" t="s">
        <v>19</v>
      </c>
      <c r="E20" s="7" t="s">
        <v>19</v>
      </c>
      <c r="F20" s="7" t="s">
        <v>19</v>
      </c>
      <c r="G20" s="7" t="s">
        <v>19</v>
      </c>
      <c r="H20" s="7" t="s">
        <v>19</v>
      </c>
      <c r="I20" s="7" t="s">
        <v>19</v>
      </c>
      <c r="J20" s="7" t="s">
        <v>19</v>
      </c>
      <c r="K20" s="7" t="s">
        <v>19</v>
      </c>
      <c r="L20" s="7" t="s">
        <v>19</v>
      </c>
      <c r="M20" s="7" t="s">
        <v>19</v>
      </c>
      <c r="N20" s="7" t="s">
        <v>19</v>
      </c>
      <c r="O20" s="7" t="s">
        <v>19</v>
      </c>
      <c r="P20" s="7" t="s">
        <v>19</v>
      </c>
      <c r="Q20" s="7" t="s">
        <v>19</v>
      </c>
      <c r="R20" s="7" t="s">
        <v>19</v>
      </c>
      <c r="S20" s="7" t="s">
        <v>19</v>
      </c>
      <c r="T20" s="7" t="s">
        <v>19</v>
      </c>
      <c r="U20" s="7" t="s">
        <v>19</v>
      </c>
      <c r="V20" s="7" t="s">
        <v>19</v>
      </c>
      <c r="W20" s="7" t="s">
        <v>19</v>
      </c>
      <c r="X20" s="7" t="s">
        <v>19</v>
      </c>
      <c r="Y20" s="7" t="s">
        <v>19</v>
      </c>
      <c r="Z20" s="7" t="s">
        <v>19</v>
      </c>
      <c r="AA20" s="7" t="s">
        <v>19</v>
      </c>
      <c r="AB20" s="7" t="s">
        <v>19</v>
      </c>
      <c r="AC20" s="7" t="s">
        <v>19</v>
      </c>
      <c r="AD20" s="7" t="s">
        <v>19</v>
      </c>
      <c r="AE20" s="7" t="s">
        <v>19</v>
      </c>
      <c r="AF20" s="7" t="s">
        <v>19</v>
      </c>
      <c r="AG20" s="7" t="s">
        <v>19</v>
      </c>
      <c r="AH20" s="7" t="s">
        <v>19</v>
      </c>
    </row>
  </sheetData>
  <mergeCells count="11"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G14 I14">
    <cfRule type="containsText" dxfId="75" priority="36" operator="containsText" text="신품">
      <formula>NOT(ISERROR(SEARCH("신품",G7)))</formula>
    </cfRule>
    <cfRule type="containsText" dxfId="74" priority="37" operator="containsText" text="중고">
      <formula>NOT(ISERROR(SEARCH("중고",G7)))</formula>
    </cfRule>
  </conditionalFormatting>
  <conditionalFormatting sqref="J7:J9 J14">
    <cfRule type="containsText" dxfId="73" priority="34" operator="containsText" text="신품">
      <formula>NOT(ISERROR(SEARCH("신품",J7)))</formula>
    </cfRule>
    <cfRule type="containsText" dxfId="72" priority="35" operator="containsText" text="중고">
      <formula>NOT(ISERROR(SEARCH("중고",J7)))</formula>
    </cfRule>
  </conditionalFormatting>
  <conditionalFormatting sqref="I10 G10">
    <cfRule type="containsText" dxfId="69" priority="30" operator="containsText" text="신품">
      <formula>NOT(ISERROR(SEARCH("신품",G10)))</formula>
    </cfRule>
    <cfRule type="containsText" dxfId="68" priority="31" operator="containsText" text="중고">
      <formula>NOT(ISERROR(SEARCH("중고",G10)))</formula>
    </cfRule>
  </conditionalFormatting>
  <conditionalFormatting sqref="J10">
    <cfRule type="containsText" dxfId="67" priority="28" operator="containsText" text="신품">
      <formula>NOT(ISERROR(SEARCH("신품",J10)))</formula>
    </cfRule>
    <cfRule type="containsText" dxfId="66" priority="29" operator="containsText" text="중고">
      <formula>NOT(ISERROR(SEARCH("중고",J10)))</formula>
    </cfRule>
  </conditionalFormatting>
  <conditionalFormatting sqref="G11 I11">
    <cfRule type="containsText" dxfId="63" priority="24" operator="containsText" text="신품">
      <formula>NOT(ISERROR(SEARCH("신품",G11)))</formula>
    </cfRule>
    <cfRule type="containsText" dxfId="62" priority="25" operator="containsText" text="중고">
      <formula>NOT(ISERROR(SEARCH("중고",G11)))</formula>
    </cfRule>
  </conditionalFormatting>
  <conditionalFormatting sqref="J11">
    <cfRule type="containsText" dxfId="61" priority="22" operator="containsText" text="신품">
      <formula>NOT(ISERROR(SEARCH("신품",J11)))</formula>
    </cfRule>
    <cfRule type="containsText" dxfId="60" priority="23" operator="containsText" text="중고">
      <formula>NOT(ISERROR(SEARCH("중고",J11)))</formula>
    </cfRule>
  </conditionalFormatting>
  <conditionalFormatting sqref="G12:G17 I12:I17">
    <cfRule type="containsText" dxfId="57" priority="18" operator="containsText" text="신품">
      <formula>NOT(ISERROR(SEARCH("신품",G12)))</formula>
    </cfRule>
    <cfRule type="containsText" dxfId="56" priority="19" operator="containsText" text="중고">
      <formula>NOT(ISERROR(SEARCH("중고",G12)))</formula>
    </cfRule>
  </conditionalFormatting>
  <conditionalFormatting sqref="J12:J17">
    <cfRule type="containsText" dxfId="55" priority="16" operator="containsText" text="신품">
      <formula>NOT(ISERROR(SEARCH("신품",J12)))</formula>
    </cfRule>
    <cfRule type="containsText" dxfId="54" priority="17" operator="containsText" text="중고">
      <formula>NOT(ISERROR(SEARCH("중고",J12)))</formula>
    </cfRule>
  </conditionalFormatting>
  <conditionalFormatting sqref="G13 I13">
    <cfRule type="containsText" dxfId="51" priority="12" operator="containsText" text="신품">
      <formula>NOT(ISERROR(SEARCH("신품",G13)))</formula>
    </cfRule>
    <cfRule type="containsText" dxfId="50" priority="13" operator="containsText" text="중고">
      <formula>NOT(ISERROR(SEARCH("중고",G13)))</formula>
    </cfRule>
  </conditionalFormatting>
  <conditionalFormatting sqref="J13">
    <cfRule type="containsText" dxfId="49" priority="10" operator="containsText" text="신품">
      <formula>NOT(ISERROR(SEARCH("신품",J13)))</formula>
    </cfRule>
    <cfRule type="containsText" dxfId="48" priority="11" operator="containsText" text="중고">
      <formula>NOT(ISERROR(SEARCH("중고",J13)))</formula>
    </cfRule>
  </conditionalFormatting>
  <conditionalFormatting sqref="D7:D10 D14">
    <cfRule type="containsText" dxfId="47" priority="8" operator="containsText" text="완료">
      <formula>NOT(ISERROR(SEARCH("완료",D7)))</formula>
    </cfRule>
    <cfRule type="containsText" dxfId="46" priority="9" operator="containsText" text="중단">
      <formula>NOT(ISERROR(SEARCH("중단",D7)))</formula>
    </cfRule>
  </conditionalFormatting>
  <conditionalFormatting sqref="D11">
    <cfRule type="containsText" dxfId="45" priority="6" operator="containsText" text="완료">
      <formula>NOT(ISERROR(SEARCH("완료",D11)))</formula>
    </cfRule>
    <cfRule type="containsText" dxfId="44" priority="7" operator="containsText" text="중단">
      <formula>NOT(ISERROR(SEARCH("중단",D11)))</formula>
    </cfRule>
  </conditionalFormatting>
  <conditionalFormatting sqref="D12:D17">
    <cfRule type="containsText" dxfId="43" priority="4" operator="containsText" text="완료">
      <formula>NOT(ISERROR(SEARCH("완료",D12)))</formula>
    </cfRule>
    <cfRule type="containsText" dxfId="42" priority="5" operator="containsText" text="중단">
      <formula>NOT(ISERROR(SEARCH("중단",D12)))</formula>
    </cfRule>
  </conditionalFormatting>
  <conditionalFormatting sqref="D13">
    <cfRule type="containsText" dxfId="41" priority="2" operator="containsText" text="완료">
      <formula>NOT(ISERROR(SEARCH("완료",D13)))</formula>
    </cfRule>
    <cfRule type="containsText" dxfId="40" priority="3" operator="containsText" text="중단">
      <formula>NOT(ISERROR(SEARCH("중단",D13)))</formula>
    </cfRule>
  </conditionalFormatting>
  <conditionalFormatting sqref="D7:D20">
    <cfRule type="containsText" dxfId="39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dimension ref="A1:AQ20"/>
  <sheetViews>
    <sheetView zoomScale="67" workbookViewId="0">
      <selection activeCell="A12" sqref="A12"/>
    </sheetView>
  </sheetViews>
  <sheetFormatPr defaultRowHeight="17" x14ac:dyDescent="0.45"/>
  <cols>
    <col min="1" max="1" width="11.33203125" bestFit="1" customWidth="1"/>
    <col min="2" max="2" width="11.4140625" style="6" customWidth="1"/>
    <col min="3" max="3" width="44.1640625" customWidth="1"/>
    <col min="4" max="4" width="12.9140625" style="6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78" t="s">
        <v>20</v>
      </c>
      <c r="B1" s="26"/>
      <c r="C1" s="79"/>
      <c r="D1" s="79"/>
      <c r="E1" s="79"/>
      <c r="F1" s="80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</row>
    <row r="2" spans="1:43" x14ac:dyDescent="0.45">
      <c r="A2" s="34" t="s">
        <v>11</v>
      </c>
      <c r="B2" s="89" t="s">
        <v>108</v>
      </c>
      <c r="C2" s="90"/>
      <c r="D2" s="90"/>
      <c r="E2" s="90"/>
      <c r="F2" s="91"/>
      <c r="G2" s="34" t="s">
        <v>111</v>
      </c>
      <c r="H2" s="34"/>
      <c r="I2" s="34"/>
      <c r="J2" s="34"/>
      <c r="K2" s="34"/>
      <c r="L2" s="34"/>
      <c r="M2" s="34"/>
      <c r="N2" s="34"/>
      <c r="O2" s="34"/>
      <c r="P2" s="34"/>
      <c r="Q2" s="39" t="s">
        <v>27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  <c r="AG2" s="39" t="s">
        <v>10</v>
      </c>
      <c r="AH2" s="41"/>
    </row>
    <row r="3" spans="1:43" x14ac:dyDescent="0.45">
      <c r="A3" s="34"/>
      <c r="B3" s="92"/>
      <c r="C3" s="93"/>
      <c r="D3" s="93"/>
      <c r="E3" s="93"/>
      <c r="F3" s="94"/>
      <c r="G3" s="34"/>
      <c r="H3" s="34"/>
      <c r="I3" s="34"/>
      <c r="J3" s="34"/>
      <c r="K3" s="34"/>
      <c r="L3" s="34"/>
      <c r="M3" s="34"/>
      <c r="N3" s="34"/>
      <c r="O3" s="34"/>
      <c r="P3" s="34"/>
      <c r="Q3" s="42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  <c r="AG3" s="45"/>
      <c r="AH3" s="46"/>
    </row>
    <row r="4" spans="1:43" x14ac:dyDescent="0.45">
      <c r="A4" s="34"/>
      <c r="B4" s="92"/>
      <c r="C4" s="93"/>
      <c r="D4" s="93"/>
      <c r="E4" s="93"/>
      <c r="F4" s="94"/>
      <c r="G4" s="34"/>
      <c r="H4" s="34"/>
      <c r="I4" s="34"/>
      <c r="J4" s="34"/>
      <c r="K4" s="34"/>
      <c r="L4" s="34"/>
      <c r="M4" s="34"/>
      <c r="N4" s="34"/>
      <c r="O4" s="34"/>
      <c r="P4" s="34"/>
      <c r="Q4" s="22"/>
      <c r="R4" s="31" t="s">
        <v>36</v>
      </c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2"/>
      <c r="AE4" s="13" t="s">
        <v>37</v>
      </c>
      <c r="AF4" s="13" t="s">
        <v>38</v>
      </c>
      <c r="AG4" s="45"/>
      <c r="AH4" s="46"/>
    </row>
    <row r="5" spans="1:43" x14ac:dyDescent="0.45">
      <c r="A5" s="34"/>
      <c r="B5" s="95"/>
      <c r="C5" s="96"/>
      <c r="D5" s="96"/>
      <c r="E5" s="96"/>
      <c r="F5" s="97"/>
      <c r="G5" s="38" t="s">
        <v>39</v>
      </c>
      <c r="H5" s="38"/>
      <c r="I5" s="38"/>
      <c r="J5" s="38"/>
      <c r="K5" s="17"/>
      <c r="L5" s="35" t="s">
        <v>110</v>
      </c>
      <c r="M5" s="36"/>
      <c r="N5" s="36"/>
      <c r="O5" s="37"/>
      <c r="P5" s="82" t="s">
        <v>109</v>
      </c>
      <c r="Q5" s="21" t="s">
        <v>31</v>
      </c>
      <c r="R5" s="30" t="s">
        <v>48</v>
      </c>
      <c r="S5" s="31"/>
      <c r="T5" s="31"/>
      <c r="U5" s="32"/>
      <c r="V5" s="30" t="s">
        <v>21</v>
      </c>
      <c r="W5" s="31"/>
      <c r="X5" s="31"/>
      <c r="Y5" s="32"/>
      <c r="Z5" s="33" t="s">
        <v>34</v>
      </c>
      <c r="AA5" s="33"/>
      <c r="AB5" s="33"/>
      <c r="AC5" s="33"/>
      <c r="AD5" s="33"/>
      <c r="AE5" s="15"/>
      <c r="AF5" s="13"/>
      <c r="AG5" s="45"/>
      <c r="AH5" s="46"/>
    </row>
    <row r="6" spans="1:43" x14ac:dyDescent="0.45">
      <c r="A6" s="20" t="s">
        <v>28</v>
      </c>
      <c r="B6" s="98" t="s">
        <v>3</v>
      </c>
      <c r="C6" s="99" t="s">
        <v>32</v>
      </c>
      <c r="D6" s="99" t="s">
        <v>22</v>
      </c>
      <c r="E6" s="99" t="s">
        <v>18</v>
      </c>
      <c r="F6" s="99" t="s">
        <v>9</v>
      </c>
      <c r="G6" s="23" t="s">
        <v>4</v>
      </c>
      <c r="H6" s="23" t="s">
        <v>13</v>
      </c>
      <c r="I6" s="23" t="s">
        <v>14</v>
      </c>
      <c r="J6" s="23" t="s">
        <v>5</v>
      </c>
      <c r="K6" s="20" t="s">
        <v>16</v>
      </c>
      <c r="L6" s="20" t="s">
        <v>23</v>
      </c>
      <c r="M6" s="20" t="s">
        <v>24</v>
      </c>
      <c r="N6" s="20" t="s">
        <v>29</v>
      </c>
      <c r="O6" s="20" t="s">
        <v>25</v>
      </c>
      <c r="P6" s="20" t="s">
        <v>30</v>
      </c>
      <c r="Q6" s="23" t="s">
        <v>26</v>
      </c>
      <c r="R6" s="23" t="s">
        <v>4</v>
      </c>
      <c r="S6" s="23" t="s">
        <v>13</v>
      </c>
      <c r="T6" s="23" t="s">
        <v>14</v>
      </c>
      <c r="U6" s="23" t="s">
        <v>5</v>
      </c>
      <c r="V6" s="23" t="s">
        <v>4</v>
      </c>
      <c r="W6" s="23" t="s">
        <v>13</v>
      </c>
      <c r="X6" s="23" t="s">
        <v>14</v>
      </c>
      <c r="Y6" s="23" t="s">
        <v>5</v>
      </c>
      <c r="Z6" s="23" t="s">
        <v>4</v>
      </c>
      <c r="AA6" s="23" t="s">
        <v>13</v>
      </c>
      <c r="AB6" s="23" t="s">
        <v>14</v>
      </c>
      <c r="AC6" s="23" t="s">
        <v>5</v>
      </c>
      <c r="AD6" s="23" t="s">
        <v>42</v>
      </c>
      <c r="AE6" s="16" t="s">
        <v>40</v>
      </c>
      <c r="AF6" s="14" t="s">
        <v>41</v>
      </c>
      <c r="AG6" s="42"/>
      <c r="AH6" s="44"/>
      <c r="AM6" s="1"/>
      <c r="AN6" s="1"/>
      <c r="AO6" s="1"/>
      <c r="AP6" s="1"/>
      <c r="AQ6" s="1"/>
    </row>
    <row r="7" spans="1:43" x14ac:dyDescent="0.45">
      <c r="A7" s="4">
        <v>45971</v>
      </c>
      <c r="B7" s="55">
        <v>1</v>
      </c>
      <c r="C7" s="9" t="str">
        <f>IF(B7="","",
  IF(MOD($B7,1)=0,
    "Dimensions: L W H",
    "-"
  )
)</f>
        <v>Dimensions: L W H</v>
      </c>
      <c r="D7" s="8" t="str">
        <f>IF(E7="","",
  IF(MOD($B7,1)=0,
    "완료",
    "-"
  )
)</f>
        <v>완료</v>
      </c>
      <c r="E7" s="1" t="s">
        <v>45</v>
      </c>
      <c r="F7" s="3"/>
      <c r="G7" s="1" t="s">
        <v>43</v>
      </c>
      <c r="H7" s="1" t="s">
        <v>17</v>
      </c>
      <c r="I7" s="1" t="s">
        <v>17</v>
      </c>
      <c r="J7" s="1" t="s">
        <v>43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종합!$C$29, "")</f>
        <v>2.2599999999999998</v>
      </c>
      <c r="Q7" s="1" t="s">
        <v>17</v>
      </c>
      <c r="R7" s="9" t="str">
        <f>IF(MOD($B7,5)=0, "스핀들유격: ","-" )</f>
        <v>-</v>
      </c>
      <c r="S7" s="9" t="str">
        <f>IF(MOD($B7,5)=0, "스핀들유격: ","-" )</f>
        <v>-</v>
      </c>
      <c r="T7" s="9" t="str">
        <f>IF(MOD($B7,5)=0, "스핀들유격: ","-" )</f>
        <v>-</v>
      </c>
      <c r="U7" s="9" t="str">
        <f>IF(MOD($B7,5)=0, "스핀들유격: ","-" )</f>
        <v>-</v>
      </c>
      <c r="V7" s="9" t="str">
        <f>IF(MOD($B7,5)=0, "000-000","-" )</f>
        <v>-</v>
      </c>
      <c r="W7" s="9" t="str">
        <f>IF(MOD($B7,5)=0, "000-000","-" )</f>
        <v>-</v>
      </c>
      <c r="X7" s="9" t="str">
        <f>IF(MOD($B7,5)=0, "000-000","-" )</f>
        <v>-</v>
      </c>
      <c r="Y7" s="9" t="str">
        <f>IF(MOD($B7,5)=0, "000-000","-" )</f>
        <v>-</v>
      </c>
      <c r="Z7" s="9" t="str">
        <f>IF(MOD($B7,5)=0, "000-000","-" )</f>
        <v>-</v>
      </c>
      <c r="AA7" s="9" t="str">
        <f>IF(MOD($B7,5)=0, "000-000","-" )</f>
        <v>-</v>
      </c>
      <c r="AB7" s="9" t="str">
        <f>IF(MOD($B7,5)=0, "000-000","-" )</f>
        <v>-</v>
      </c>
      <c r="AC7" s="9" t="str">
        <f>IF(MOD($B7,5)=0, "000-000","-" )</f>
        <v>-</v>
      </c>
      <c r="AD7" s="9" t="str">
        <f>IF(MOD($B7,5)=0, "스핀들소음 :","-" )</f>
        <v>-</v>
      </c>
      <c r="AE7" s="9" t="str">
        <f>IF(MOD($B7,40)=0, "필터세척 :"&amp; CHAR(10) &amp; "FLOW   (T1, T4 : / T2, T3 : / T4 : )","-" )</f>
        <v>-</v>
      </c>
      <c r="AF7" s="9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55">
        <v>2</v>
      </c>
      <c r="C8" s="9" t="str">
        <f>IF(B8="","",
  IF(MOD($B8,1)=0,
    "Dimensions: L W H",
    "-"
  )
)</f>
        <v>Dimensions: L W H</v>
      </c>
      <c r="D8" s="8" t="str">
        <f>IF(E8="","",
  IF(MOD($B8,1)=0,
    "완료",
    "-"
  )
)</f>
        <v>완료</v>
      </c>
      <c r="E8" s="1" t="s">
        <v>44</v>
      </c>
      <c r="F8" s="3"/>
      <c r="G8" s="1" t="s">
        <v>43</v>
      </c>
      <c r="H8" s="1" t="s">
        <v>17</v>
      </c>
      <c r="I8" s="1" t="s">
        <v>17</v>
      </c>
      <c r="J8" s="1" t="s">
        <v>43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종합!$C$29, "")</f>
        <v>2.2599999999999998</v>
      </c>
      <c r="Q8" s="1" t="s">
        <v>17</v>
      </c>
      <c r="R8" s="9" t="str">
        <f>IF(MOD($B8,5)=0, "스핀들유격: ","-" )</f>
        <v>-</v>
      </c>
      <c r="S8" s="9" t="str">
        <f>IF(MOD($B8,5)=0, "스핀들유격: ","-" )</f>
        <v>-</v>
      </c>
      <c r="T8" s="9" t="str">
        <f>IF(MOD($B8,5)=0, "스핀들유격: ","-" )</f>
        <v>-</v>
      </c>
      <c r="U8" s="9" t="str">
        <f>IF(MOD($B8,5)=0, "스핀들유격: ","-" )</f>
        <v>-</v>
      </c>
      <c r="V8" s="9" t="str">
        <f>IF(MOD($B8,5)=0, "000-000","-" )</f>
        <v>-</v>
      </c>
      <c r="W8" s="9" t="str">
        <f>IF(MOD($B8,5)=0, "000-000","-" )</f>
        <v>-</v>
      </c>
      <c r="X8" s="9" t="str">
        <f>IF(MOD($B8,5)=0, "000-000","-" )</f>
        <v>-</v>
      </c>
      <c r="Y8" s="9" t="str">
        <f>IF(MOD($B8,5)=0, "000-000","-" )</f>
        <v>-</v>
      </c>
      <c r="Z8" s="9" t="str">
        <f>IF(MOD($B8,5)=0, "000-000","-" )</f>
        <v>-</v>
      </c>
      <c r="AA8" s="9" t="str">
        <f>IF(MOD($B8,5)=0, "000-000","-" )</f>
        <v>-</v>
      </c>
      <c r="AB8" s="9" t="str">
        <f>IF(MOD($B8,5)=0, "000-000","-" )</f>
        <v>-</v>
      </c>
      <c r="AC8" s="9" t="str">
        <f>IF(MOD($B8,5)=0, "000-000","-" )</f>
        <v>-</v>
      </c>
      <c r="AD8" s="9" t="str">
        <f>IF(MOD($B8,5)=0, "스핀들소음 :","-" )</f>
        <v>-</v>
      </c>
      <c r="AE8" s="9" t="str">
        <f>IF(MOD($B8,40)=0, "필터세척 :"&amp; CHAR(10) &amp; "FLOW   (T1, T4 : / T2, T3 : / T4 : )","-" )</f>
        <v>-</v>
      </c>
      <c r="AF8" s="9" t="str">
        <f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55">
        <v>2</v>
      </c>
      <c r="C9" s="9" t="str">
        <f>IF(B9="","",
  IF(MOD($B9,1)=0,
    "Dimensions: L W H",
    "-"
  )
)</f>
        <v>Dimensions: L W H</v>
      </c>
      <c r="D9" s="8" t="str">
        <f>IF(E9="","",
  IF(MOD($B9,1)=0,
    "완료",
    "-"
  )
)</f>
        <v>완료</v>
      </c>
      <c r="E9" s="1" t="s">
        <v>44</v>
      </c>
      <c r="F9" s="3"/>
      <c r="G9" s="1" t="s">
        <v>43</v>
      </c>
      <c r="H9" s="1" t="s">
        <v>17</v>
      </c>
      <c r="I9" s="1" t="s">
        <v>17</v>
      </c>
      <c r="J9" s="1" t="s">
        <v>43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종합!$C$29, "")</f>
        <v>2.2599999999999998</v>
      </c>
      <c r="Q9" s="1" t="s">
        <v>17</v>
      </c>
      <c r="R9" s="9" t="str">
        <f>IF(MOD($B9,5)=0, "스핀들유격: ","-" )</f>
        <v>-</v>
      </c>
      <c r="S9" s="9" t="str">
        <f>IF(MOD($B9,5)=0, "스핀들유격: ","-" )</f>
        <v>-</v>
      </c>
      <c r="T9" s="9" t="str">
        <f>IF(MOD($B9,5)=0, "스핀들유격: ","-" )</f>
        <v>-</v>
      </c>
      <c r="U9" s="9" t="str">
        <f>IF(MOD($B9,5)=0, "스핀들유격: ","-" )</f>
        <v>-</v>
      </c>
      <c r="V9" s="9" t="str">
        <f>IF(MOD($B9,5)=0, "000-000","-" )</f>
        <v>-</v>
      </c>
      <c r="W9" s="9" t="str">
        <f>IF(MOD($B9,5)=0, "000-000","-" )</f>
        <v>-</v>
      </c>
      <c r="X9" s="9" t="str">
        <f>IF(MOD($B9,5)=0, "000-000","-" )</f>
        <v>-</v>
      </c>
      <c r="Y9" s="9" t="str">
        <f>IF(MOD($B9,5)=0, "000-000","-" )</f>
        <v>-</v>
      </c>
      <c r="Z9" s="9" t="str">
        <f>IF(MOD($B9,5)=0, "000-000","-" )</f>
        <v>-</v>
      </c>
      <c r="AA9" s="9" t="str">
        <f>IF(MOD($B9,5)=0, "000-000","-" )</f>
        <v>-</v>
      </c>
      <c r="AB9" s="9" t="str">
        <f>IF(MOD($B9,5)=0, "000-000","-" )</f>
        <v>-</v>
      </c>
      <c r="AC9" s="9" t="str">
        <f>IF(MOD($B9,5)=0, "000-000","-" )</f>
        <v>-</v>
      </c>
      <c r="AD9" s="9" t="str">
        <f>IF(MOD($B9,5)=0, "스핀들소음 :","-" )</f>
        <v>-</v>
      </c>
      <c r="AE9" s="9" t="str">
        <f>IF(MOD($B9,40)=0, "필터세척 :"&amp; CHAR(10) &amp; "FLOW   (T1, T4 : / T2, T3 : / T4 : )","-" )</f>
        <v>-</v>
      </c>
      <c r="AF9" s="9" t="str">
        <f>IF($B9="","",
  IF(MOD(B9,160)=0,
    "TENSION (XL : / ZL : / XR : / ZR : / Y : )" &amp; CHAR(10) &amp;
    "필터교체",
    "-"
  )
)</f>
        <v>-</v>
      </c>
      <c r="AG9" s="1" t="s">
        <v>17</v>
      </c>
      <c r="AH9" s="2"/>
    </row>
    <row r="10" spans="1:43" x14ac:dyDescent="0.45">
      <c r="A10" s="4">
        <v>45971</v>
      </c>
      <c r="B10" s="55">
        <v>4</v>
      </c>
      <c r="C10" s="9" t="str">
        <f>IF(B10="","",
  IF(MOD($B10,1)=0,
    "Dimensions: L W H",
    "-"
  )
)</f>
        <v>Dimensions: L W H</v>
      </c>
      <c r="D10" s="8" t="str">
        <f>IF(E10="","",
  IF(MOD($B10,1)=0,
    "완료",
    "-"
  )
)</f>
        <v>완료</v>
      </c>
      <c r="E10" s="1" t="s">
        <v>44</v>
      </c>
      <c r="F10" s="3"/>
      <c r="G10" s="1" t="s">
        <v>43</v>
      </c>
      <c r="H10" s="1" t="s">
        <v>17</v>
      </c>
      <c r="I10" s="1" t="s">
        <v>17</v>
      </c>
      <c r="J10" s="1" t="s">
        <v>43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종합!$C$29, "")</f>
        <v>2.2599999999999998</v>
      </c>
      <c r="Q10" s="1" t="s">
        <v>17</v>
      </c>
      <c r="R10" s="9" t="str">
        <f>IF(MOD($B10,5)=0, "스핀들유격: ","-" )</f>
        <v>-</v>
      </c>
      <c r="S10" s="9" t="str">
        <f>IF(MOD($B10,5)=0, "스핀들유격: ","-" )</f>
        <v>-</v>
      </c>
      <c r="T10" s="9" t="str">
        <f>IF(MOD($B10,5)=0, "스핀들유격: ","-" )</f>
        <v>-</v>
      </c>
      <c r="U10" s="9" t="str">
        <f>IF(MOD($B10,5)=0, "스핀들유격: ","-" )</f>
        <v>-</v>
      </c>
      <c r="V10" s="9" t="str">
        <f>IF(MOD($B10,5)=0, "000-000","-" )</f>
        <v>-</v>
      </c>
      <c r="W10" s="9" t="str">
        <f>IF(MOD($B10,5)=0, "000-000","-" )</f>
        <v>-</v>
      </c>
      <c r="X10" s="9" t="str">
        <f>IF(MOD($B10,5)=0, "000-000","-" )</f>
        <v>-</v>
      </c>
      <c r="Y10" s="9" t="str">
        <f>IF(MOD($B10,5)=0, "000-000","-" )</f>
        <v>-</v>
      </c>
      <c r="Z10" s="9" t="str">
        <f>IF(MOD($B10,5)=0, "000-000","-" )</f>
        <v>-</v>
      </c>
      <c r="AA10" s="9" t="str">
        <f>IF(MOD($B10,5)=0, "000-000","-" )</f>
        <v>-</v>
      </c>
      <c r="AB10" s="9" t="str">
        <f>IF(MOD($B10,5)=0, "000-000","-" )</f>
        <v>-</v>
      </c>
      <c r="AC10" s="9" t="str">
        <f>IF(MOD($B10,5)=0, "000-000","-" )</f>
        <v>-</v>
      </c>
      <c r="AD10" s="9" t="str">
        <f>IF(MOD($B10,5)=0, "스핀들소음 :","-" )</f>
        <v>-</v>
      </c>
      <c r="AE10" s="9" t="str">
        <f>IF(MOD($B10,40)=0, "필터세척 :"&amp; CHAR(10) &amp; "FLOW   (T1, T4 : / T2, T3 : / T4 : )","-" )</f>
        <v>-</v>
      </c>
      <c r="AF10" s="9" t="str">
        <f>IF($B10="","",
  IF(MOD(B10,160)=0,
    "TENSION (XL : / ZL : / XR : / ZR : / Y : )" &amp; CHAR(10) &amp;
    "필터교체",
    "-"
  )
)</f>
        <v>-</v>
      </c>
      <c r="AG10" s="1" t="s">
        <v>17</v>
      </c>
      <c r="AH10" s="2"/>
    </row>
    <row r="11" spans="1:43" x14ac:dyDescent="0.45">
      <c r="A11" s="4">
        <v>45971</v>
      </c>
      <c r="B11" s="55">
        <v>5</v>
      </c>
      <c r="C11" s="9" t="str">
        <f>IF(B11="","",
  IF(MOD($B11,1)=0,
    "Dimensions: L W H",
    "-"
  )
)</f>
        <v>Dimensions: L W H</v>
      </c>
      <c r="D11" s="8" t="str">
        <f>IF(E11="","",
  IF(MOD($B11,1)=0,
    "완료",
    "-"
  )
)</f>
        <v>완료</v>
      </c>
      <c r="E11" s="1" t="s">
        <v>44</v>
      </c>
      <c r="F11" s="3"/>
      <c r="G11" s="1" t="s">
        <v>43</v>
      </c>
      <c r="H11" s="1" t="s">
        <v>17</v>
      </c>
      <c r="I11" s="1" t="s">
        <v>17</v>
      </c>
      <c r="J11" s="1" t="s">
        <v>43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종합!$C$29, "")</f>
        <v>2.2599999999999998</v>
      </c>
      <c r="Q11" s="1" t="s">
        <v>17</v>
      </c>
      <c r="R11" s="9" t="s">
        <v>50</v>
      </c>
      <c r="S11" s="9" t="s">
        <v>50</v>
      </c>
      <c r="T11" s="9" t="s">
        <v>50</v>
      </c>
      <c r="U11" s="9" t="s">
        <v>50</v>
      </c>
      <c r="V11" s="9" t="s">
        <v>51</v>
      </c>
      <c r="W11" s="9" t="s">
        <v>52</v>
      </c>
      <c r="X11" s="9" t="s">
        <v>53</v>
      </c>
      <c r="Y11" s="9" t="s">
        <v>54</v>
      </c>
      <c r="Z11" s="9" t="str">
        <f>IF(MOD($B11,5)=0, "000-000","-" )</f>
        <v>000-000</v>
      </c>
      <c r="AA11" s="9" t="str">
        <f>IF(MOD($B11,5)=0, "000-000","-" )</f>
        <v>000-000</v>
      </c>
      <c r="AB11" s="9" t="str">
        <f>IF(MOD($B11,5)=0, "000-000","-" )</f>
        <v>000-000</v>
      </c>
      <c r="AC11" s="9" t="str">
        <f>IF(MOD($B11,5)=0, "000-000","-" )</f>
        <v>000-000</v>
      </c>
      <c r="AD11" s="9" t="s">
        <v>82</v>
      </c>
      <c r="AE11" s="9" t="str">
        <f>IF(MOD($B11,40)=0, "필터세척 :"&amp; CHAR(10) &amp; "FLOW   (T1, T4 : / T2, T3 : / T4 : )","-" )</f>
        <v>-</v>
      </c>
      <c r="AF11" s="9" t="str">
        <f>IF($B11="","",
  IF(MOD(B11,160)=0,
    "TENSION (XL : / ZL : / XR : / ZR : / Y : )" &amp; CHAR(10) &amp;
    "필터교체",
    "-"
  )
)</f>
        <v>-</v>
      </c>
      <c r="AG11" s="1" t="s">
        <v>17</v>
      </c>
      <c r="AH11" s="2"/>
    </row>
    <row r="12" spans="1:43" x14ac:dyDescent="0.45">
      <c r="A12" s="4">
        <v>45971</v>
      </c>
      <c r="B12" s="55">
        <v>6</v>
      </c>
      <c r="C12" s="9" t="str">
        <f>IF(B12="","",
  IF(MOD($B12,1)=0,
    "Dimensions: L W H",
    "-"
  )
)</f>
        <v>Dimensions: L W H</v>
      </c>
      <c r="D12" s="8" t="str">
        <f>IF(E12="","",
  IF(MOD($B12,1)=0,
    "완료",
    "-"
  )
)</f>
        <v>완료</v>
      </c>
      <c r="E12" s="1" t="s">
        <v>44</v>
      </c>
      <c r="F12" s="3"/>
      <c r="G12" s="1" t="s">
        <v>43</v>
      </c>
      <c r="H12" s="1" t="s">
        <v>17</v>
      </c>
      <c r="I12" s="1" t="s">
        <v>17</v>
      </c>
      <c r="J12" s="1" t="s">
        <v>43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종합!$C$29, "")</f>
        <v>2.2599999999999998</v>
      </c>
      <c r="Q12" s="1" t="s">
        <v>17</v>
      </c>
      <c r="R12" s="9" t="str">
        <f>IF(MOD($B12,5)=0, "스핀들유격: ","-" )</f>
        <v>-</v>
      </c>
      <c r="S12" s="9" t="str">
        <f>IF(MOD($B12,5)=0, "스핀들유격: ","-" )</f>
        <v>-</v>
      </c>
      <c r="T12" s="9" t="str">
        <f>IF(MOD($B12,5)=0, "스핀들유격: ","-" )</f>
        <v>-</v>
      </c>
      <c r="U12" s="9" t="str">
        <f>IF(MOD($B12,5)=0, "스핀들유격: ","-" )</f>
        <v>-</v>
      </c>
      <c r="V12" s="9" t="str">
        <f>IF(MOD($B12,5)=0, "000-000","-" )</f>
        <v>-</v>
      </c>
      <c r="W12" s="9" t="str">
        <f>IF(MOD($B12,5)=0, "000-000","-" )</f>
        <v>-</v>
      </c>
      <c r="X12" s="9" t="str">
        <f>IF(MOD($B12,5)=0, "000-000","-" )</f>
        <v>-</v>
      </c>
      <c r="Y12" s="9" t="str">
        <f>IF(MOD($B12,5)=0, "000-000","-" )</f>
        <v>-</v>
      </c>
      <c r="Z12" s="9" t="str">
        <f>IF(MOD($B12,5)=0, "000-000","-" )</f>
        <v>-</v>
      </c>
      <c r="AA12" s="9" t="str">
        <f>IF(MOD($B12,5)=0, "000-000","-" )</f>
        <v>-</v>
      </c>
      <c r="AB12" s="9" t="str">
        <f>IF(MOD($B12,5)=0, "000-000","-" )</f>
        <v>-</v>
      </c>
      <c r="AC12" s="9" t="str">
        <f>IF(MOD($B12,5)=0, "000-000","-" )</f>
        <v>-</v>
      </c>
      <c r="AD12" s="9" t="str">
        <f>IF(MOD($B12,5)=0, "스핀들소음 :","-" )</f>
        <v>-</v>
      </c>
      <c r="AE12" s="9" t="str">
        <f>IF(MOD($B12,40)=0, "필터세척 :"&amp; CHAR(10) &amp; "FLOW   (T1, T4 : / T2, T3 : / T4 : )","-" )</f>
        <v>-</v>
      </c>
      <c r="AF12" s="9" t="str">
        <f>IF($B12="","",
  IF(MOD(B12,160)=0,
    "TENSION (XL : / ZL : / XR : / ZR : / Y : )" &amp; CHAR(10) &amp;
    "필터교체",
    "-"
  )
)</f>
        <v>-</v>
      </c>
      <c r="AG12" s="1" t="s">
        <v>17</v>
      </c>
      <c r="AH12" s="2"/>
    </row>
    <row r="13" spans="1:43" x14ac:dyDescent="0.45">
      <c r="A13" s="4">
        <v>45972</v>
      </c>
      <c r="B13" s="55">
        <v>7</v>
      </c>
      <c r="C13" s="9" t="str">
        <f>IF(B13="","",
  IF(MOD($B13,1)=0,
    "Dimensions: L W H",
    "-"
  )
)</f>
        <v>Dimensions: L W H</v>
      </c>
      <c r="D13" s="8" t="str">
        <f>IF(E13="","",
  IF(MOD($B13,1)=0,
    "완료",
    "-"
  )
)</f>
        <v>완료</v>
      </c>
      <c r="E13" s="1" t="s">
        <v>49</v>
      </c>
      <c r="F13" s="3"/>
      <c r="G13" s="1">
        <v>0</v>
      </c>
      <c r="H13" s="1" t="s">
        <v>17</v>
      </c>
      <c r="I13" s="1" t="s">
        <v>17</v>
      </c>
      <c r="J13" s="1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종합!$C$29, "")</f>
        <v>2.2599999999999998</v>
      </c>
      <c r="Q13" s="1" t="s">
        <v>17</v>
      </c>
      <c r="R13" s="9" t="str">
        <f>IF(MOD($B13,5)=0, "스핀들유격: ","-" )</f>
        <v>-</v>
      </c>
      <c r="S13" s="9" t="str">
        <f>IF(MOD($B13,5)=0, "스핀들유격: ","-" )</f>
        <v>-</v>
      </c>
      <c r="T13" s="9" t="str">
        <f>IF(MOD($B13,5)=0, "스핀들유격: ","-" )</f>
        <v>-</v>
      </c>
      <c r="U13" s="9" t="str">
        <f>IF(MOD($B13,5)=0, "스핀들유격: ","-" )</f>
        <v>-</v>
      </c>
      <c r="V13" s="9" t="str">
        <f>IF(MOD($B13,5)=0, "000-000","-" )</f>
        <v>-</v>
      </c>
      <c r="W13" s="9" t="str">
        <f>IF(MOD($B13,5)=0, "000-000","-" )</f>
        <v>-</v>
      </c>
      <c r="X13" s="9" t="str">
        <f>IF(MOD($B13,5)=0, "000-000","-" )</f>
        <v>-</v>
      </c>
      <c r="Y13" s="9" t="str">
        <f>IF(MOD($B13,5)=0, "000-000","-" )</f>
        <v>-</v>
      </c>
      <c r="Z13" s="9" t="str">
        <f>IF(MOD($B13,5)=0, "000-000","-" )</f>
        <v>-</v>
      </c>
      <c r="AA13" s="9" t="str">
        <f>IF(MOD($B13,5)=0, "000-000","-" )</f>
        <v>-</v>
      </c>
      <c r="AB13" s="9" t="str">
        <f>IF(MOD($B13,5)=0, "000-000","-" )</f>
        <v>-</v>
      </c>
      <c r="AC13" s="9" t="str">
        <f>IF(MOD($B13,5)=0, "000-000","-" )</f>
        <v>-</v>
      </c>
      <c r="AD13" s="9" t="str">
        <f>IF(MOD($B13,5)=0, "스핀들소음 :","-" )</f>
        <v>-</v>
      </c>
      <c r="AE13" s="9" t="str">
        <f>IF(MOD($B13,40)=0, "필터세척 :"&amp; CHAR(10) &amp; "FLOW   (T1, T4 : / T2, T3 : / T4 : )","-" )</f>
        <v>-</v>
      </c>
      <c r="AF13" s="9" t="str">
        <f>IF($B13="","",
  IF(MOD(B13,160)=0,
    "TENSION (XL : / ZL : / XR : / ZR : / Y : )" &amp; CHAR(10) &amp;
    "필터교체",
    "-"
  )
)</f>
        <v>-</v>
      </c>
      <c r="AG13" s="1" t="s">
        <v>17</v>
      </c>
      <c r="AH13" s="2"/>
    </row>
    <row r="14" spans="1:43" x14ac:dyDescent="0.45">
      <c r="A14" s="4">
        <v>45972</v>
      </c>
      <c r="B14" s="55">
        <v>8</v>
      </c>
      <c r="C14" s="9" t="str">
        <f>IF(B14="","",
  IF(MOD($B14,1)=0,
    "Dimensions: L W H",
    "-"
  )
)</f>
        <v>Dimensions: L W H</v>
      </c>
      <c r="D14" s="8" t="s">
        <v>107</v>
      </c>
      <c r="E14" s="1" t="s">
        <v>45</v>
      </c>
      <c r="F14" s="3"/>
      <c r="G14" s="1">
        <v>1</v>
      </c>
      <c r="H14" s="1" t="s">
        <v>17</v>
      </c>
      <c r="I14" s="1" t="s">
        <v>17</v>
      </c>
      <c r="J14" s="1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종합!$C$29, "")</f>
        <v>2.2599999999999998</v>
      </c>
      <c r="Q14" s="1" t="s">
        <v>17</v>
      </c>
      <c r="R14" s="9" t="str">
        <f>IF(MOD($B14,5)=0, "스핀들유격: ","-" )</f>
        <v>-</v>
      </c>
      <c r="S14" s="9" t="str">
        <f>IF(MOD($B14,5)=0, "스핀들유격: ","-" )</f>
        <v>-</v>
      </c>
      <c r="T14" s="9" t="str">
        <f>IF(MOD($B14,5)=0, "스핀들유격: ","-" )</f>
        <v>-</v>
      </c>
      <c r="U14" s="9" t="str">
        <f>IF(MOD($B14,5)=0, "스핀들유격: ","-" )</f>
        <v>-</v>
      </c>
      <c r="V14" s="9" t="str">
        <f>IF(MOD($B14,5)=0, "000-000","-" )</f>
        <v>-</v>
      </c>
      <c r="W14" s="9" t="str">
        <f>IF(MOD($B14,5)=0, "000-000","-" )</f>
        <v>-</v>
      </c>
      <c r="X14" s="9" t="str">
        <f>IF(MOD($B14,5)=0, "000-000","-" )</f>
        <v>-</v>
      </c>
      <c r="Y14" s="9" t="str">
        <f>IF(MOD($B14,5)=0, "000-000","-" )</f>
        <v>-</v>
      </c>
      <c r="Z14" s="9" t="str">
        <f>IF(MOD($B14,5)=0, "000-000","-" )</f>
        <v>-</v>
      </c>
      <c r="AA14" s="9" t="str">
        <f>IF(MOD($B14,5)=0, "000-000","-" )</f>
        <v>-</v>
      </c>
      <c r="AB14" s="9" t="str">
        <f>IF(MOD($B14,5)=0, "000-000","-" )</f>
        <v>-</v>
      </c>
      <c r="AC14" s="9" t="str">
        <f>IF(MOD($B14,5)=0, "000-000","-" )</f>
        <v>-</v>
      </c>
      <c r="AD14" s="9" t="str">
        <f>IF(MOD($B14,5)=0, "스핀들소음 :","-" )</f>
        <v>-</v>
      </c>
      <c r="AE14" s="9" t="str">
        <f>IF(MOD($B14,40)=0, "필터세척 :"&amp; CHAR(10) &amp; "FLOW   (T1, T4 : / T2, T3 : / T4 : )","-" )</f>
        <v>-</v>
      </c>
      <c r="AF14" s="9" t="str">
        <f>IF($B14="","",
  IF(MOD(B14,160)=0,
    "TENSION (XL : / ZL : / XR : / ZR : / Y : )" &amp; CHAR(10) &amp;
    "필터교체",
    "-"
  )
)</f>
        <v>-</v>
      </c>
      <c r="AG14" s="1" t="s">
        <v>17</v>
      </c>
      <c r="AH14" s="2"/>
    </row>
    <row r="15" spans="1:43" x14ac:dyDescent="0.45">
      <c r="A15" s="4"/>
      <c r="B15" s="55"/>
      <c r="C15" s="9"/>
      <c r="D15" s="8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"/>
      <c r="AH15" s="2"/>
    </row>
    <row r="16" spans="1:43" x14ac:dyDescent="0.45">
      <c r="A16" s="50"/>
      <c r="B16" s="55"/>
      <c r="C16" s="9"/>
      <c r="D16" s="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"/>
      <c r="AH16" s="2"/>
    </row>
    <row r="17" spans="1:34" x14ac:dyDescent="0.45">
      <c r="A17" s="50"/>
      <c r="B17" s="55"/>
      <c r="C17" s="9"/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"/>
      <c r="AH17" s="2"/>
    </row>
    <row r="20" spans="1:34" x14ac:dyDescent="0.45">
      <c r="A20" s="7" t="s">
        <v>19</v>
      </c>
      <c r="B20" s="81" t="s">
        <v>19</v>
      </c>
      <c r="C20" s="7" t="s">
        <v>19</v>
      </c>
      <c r="D20" s="7" t="s">
        <v>19</v>
      </c>
      <c r="E20" s="7" t="s">
        <v>19</v>
      </c>
      <c r="F20" s="7" t="s">
        <v>19</v>
      </c>
      <c r="G20" s="7" t="s">
        <v>19</v>
      </c>
      <c r="H20" s="7" t="s">
        <v>19</v>
      </c>
      <c r="I20" s="7" t="s">
        <v>19</v>
      </c>
      <c r="J20" s="7" t="s">
        <v>19</v>
      </c>
      <c r="K20" s="7" t="s">
        <v>19</v>
      </c>
      <c r="L20" s="7" t="s">
        <v>19</v>
      </c>
      <c r="M20" s="7" t="s">
        <v>19</v>
      </c>
      <c r="N20" s="7" t="s">
        <v>19</v>
      </c>
      <c r="O20" s="7" t="s">
        <v>19</v>
      </c>
      <c r="P20" s="7" t="s">
        <v>19</v>
      </c>
      <c r="Q20" s="7" t="s">
        <v>19</v>
      </c>
      <c r="R20" s="7" t="s">
        <v>19</v>
      </c>
      <c r="S20" s="7" t="s">
        <v>19</v>
      </c>
      <c r="T20" s="7" t="s">
        <v>19</v>
      </c>
      <c r="U20" s="7" t="s">
        <v>19</v>
      </c>
      <c r="V20" s="7" t="s">
        <v>19</v>
      </c>
      <c r="W20" s="7" t="s">
        <v>19</v>
      </c>
      <c r="X20" s="7" t="s">
        <v>19</v>
      </c>
      <c r="Y20" s="7" t="s">
        <v>19</v>
      </c>
      <c r="Z20" s="7" t="s">
        <v>19</v>
      </c>
      <c r="AA20" s="7" t="s">
        <v>19</v>
      </c>
      <c r="AB20" s="7" t="s">
        <v>19</v>
      </c>
      <c r="AC20" s="7" t="s">
        <v>19</v>
      </c>
      <c r="AD20" s="7" t="s">
        <v>19</v>
      </c>
      <c r="AE20" s="7" t="s">
        <v>19</v>
      </c>
      <c r="AF20" s="7" t="s">
        <v>19</v>
      </c>
      <c r="AG20" s="7" t="s">
        <v>19</v>
      </c>
      <c r="AH20" s="7" t="s">
        <v>19</v>
      </c>
    </row>
  </sheetData>
  <mergeCells count="11"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G14 I14">
    <cfRule type="containsText" dxfId="36" priority="36" operator="containsText" text="신품">
      <formula>NOT(ISERROR(SEARCH("신품",G7)))</formula>
    </cfRule>
    <cfRule type="containsText" dxfId="35" priority="37" operator="containsText" text="중고">
      <formula>NOT(ISERROR(SEARCH("중고",G7)))</formula>
    </cfRule>
  </conditionalFormatting>
  <conditionalFormatting sqref="J7:J9 J14">
    <cfRule type="containsText" dxfId="34" priority="34" operator="containsText" text="신품">
      <formula>NOT(ISERROR(SEARCH("신품",J7)))</formula>
    </cfRule>
    <cfRule type="containsText" dxfId="33" priority="35" operator="containsText" text="중고">
      <formula>NOT(ISERROR(SEARCH("중고",J7)))</formula>
    </cfRule>
  </conditionalFormatting>
  <conditionalFormatting sqref="I10 G10">
    <cfRule type="containsText" dxfId="30" priority="30" operator="containsText" text="신품">
      <formula>NOT(ISERROR(SEARCH("신품",G10)))</formula>
    </cfRule>
    <cfRule type="containsText" dxfId="29" priority="31" operator="containsText" text="중고">
      <formula>NOT(ISERROR(SEARCH("중고",G10)))</formula>
    </cfRule>
  </conditionalFormatting>
  <conditionalFormatting sqref="J10">
    <cfRule type="containsText" dxfId="28" priority="28" operator="containsText" text="신품">
      <formula>NOT(ISERROR(SEARCH("신품",J10)))</formula>
    </cfRule>
    <cfRule type="containsText" dxfId="27" priority="29" operator="containsText" text="중고">
      <formula>NOT(ISERROR(SEARCH("중고",J10)))</formula>
    </cfRule>
  </conditionalFormatting>
  <conditionalFormatting sqref="G11 I11">
    <cfRule type="containsText" dxfId="24" priority="24" operator="containsText" text="신품">
      <formula>NOT(ISERROR(SEARCH("신품",G11)))</formula>
    </cfRule>
    <cfRule type="containsText" dxfId="23" priority="25" operator="containsText" text="중고">
      <formula>NOT(ISERROR(SEARCH("중고",G11)))</formula>
    </cfRule>
  </conditionalFormatting>
  <conditionalFormatting sqref="J11">
    <cfRule type="containsText" dxfId="22" priority="22" operator="containsText" text="신품">
      <formula>NOT(ISERROR(SEARCH("신품",J11)))</formula>
    </cfRule>
    <cfRule type="containsText" dxfId="21" priority="23" operator="containsText" text="중고">
      <formula>NOT(ISERROR(SEARCH("중고",J11)))</formula>
    </cfRule>
  </conditionalFormatting>
  <conditionalFormatting sqref="G12:G17 I12:I17">
    <cfRule type="containsText" dxfId="18" priority="18" operator="containsText" text="신품">
      <formula>NOT(ISERROR(SEARCH("신품",G12)))</formula>
    </cfRule>
    <cfRule type="containsText" dxfId="17" priority="19" operator="containsText" text="중고">
      <formula>NOT(ISERROR(SEARCH("중고",G12)))</formula>
    </cfRule>
  </conditionalFormatting>
  <conditionalFormatting sqref="J12:J17">
    <cfRule type="containsText" dxfId="16" priority="16" operator="containsText" text="신품">
      <formula>NOT(ISERROR(SEARCH("신품",J12)))</formula>
    </cfRule>
    <cfRule type="containsText" dxfId="15" priority="17" operator="containsText" text="중고">
      <formula>NOT(ISERROR(SEARCH("중고",J12)))</formula>
    </cfRule>
  </conditionalFormatting>
  <conditionalFormatting sqref="G13 I13">
    <cfRule type="containsText" dxfId="12" priority="12" operator="containsText" text="신품">
      <formula>NOT(ISERROR(SEARCH("신품",G13)))</formula>
    </cfRule>
    <cfRule type="containsText" dxfId="11" priority="13" operator="containsText" text="중고">
      <formula>NOT(ISERROR(SEARCH("중고",G13)))</formula>
    </cfRule>
  </conditionalFormatting>
  <conditionalFormatting sqref="J13">
    <cfRule type="containsText" dxfId="10" priority="10" operator="containsText" text="신품">
      <formula>NOT(ISERROR(SEARCH("신품",J13)))</formula>
    </cfRule>
    <cfRule type="containsText" dxfId="9" priority="11" operator="containsText" text="중고">
      <formula>NOT(ISERROR(SEARCH("중고",J13)))</formula>
    </cfRule>
  </conditionalFormatting>
  <conditionalFormatting sqref="D7:D10 D14">
    <cfRule type="containsText" dxfId="8" priority="8" operator="containsText" text="완료">
      <formula>NOT(ISERROR(SEARCH("완료",D7)))</formula>
    </cfRule>
    <cfRule type="containsText" dxfId="7" priority="9" operator="containsText" text="중단">
      <formula>NOT(ISERROR(SEARCH("중단",D7)))</formula>
    </cfRule>
  </conditionalFormatting>
  <conditionalFormatting sqref="D11">
    <cfRule type="containsText" dxfId="6" priority="6" operator="containsText" text="완료">
      <formula>NOT(ISERROR(SEARCH("완료",D11)))</formula>
    </cfRule>
    <cfRule type="containsText" dxfId="5" priority="7" operator="containsText" text="중단">
      <formula>NOT(ISERROR(SEARCH("중단",D11)))</formula>
    </cfRule>
  </conditionalFormatting>
  <conditionalFormatting sqref="D12:D17">
    <cfRule type="containsText" dxfId="4" priority="4" operator="containsText" text="완료">
      <formula>NOT(ISERROR(SEARCH("완료",D12)))</formula>
    </cfRule>
    <cfRule type="containsText" dxfId="3" priority="5" operator="containsText" text="중단">
      <formula>NOT(ISERROR(SEARCH("중단",D12)))</formula>
    </cfRule>
  </conditionalFormatting>
  <conditionalFormatting sqref="D13">
    <cfRule type="containsText" dxfId="2" priority="2" operator="containsText" text="완료">
      <formula>NOT(ISERROR(SEARCH("완료",D13)))</formula>
    </cfRule>
    <cfRule type="containsText" dxfId="1" priority="3" operator="containsText" text="중단">
      <formula>NOT(ISERROR(SEARCH("중단",D13)))</formula>
    </cfRule>
  </conditionalFormatting>
  <conditionalFormatting sqref="D7:D20">
    <cfRule type="containsText" dxfId="0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dimension ref="A1:H39"/>
  <sheetViews>
    <sheetView tabSelected="1" workbookViewId="0">
      <selection activeCell="E25" sqref="E25"/>
    </sheetView>
  </sheetViews>
  <sheetFormatPr defaultRowHeight="17" x14ac:dyDescent="0.45"/>
  <cols>
    <col min="1" max="1" width="19.33203125" bestFit="1" customWidth="1"/>
    <col min="2" max="2" width="13.33203125" customWidth="1"/>
    <col min="5" max="5" width="9" customWidth="1"/>
    <col min="7" max="7" width="34.1640625" customWidth="1"/>
    <col min="8" max="8" width="30.33203125" customWidth="1"/>
    <col min="9" max="9" width="6.33203125" bestFit="1" customWidth="1"/>
    <col min="10" max="13" width="6.6640625" bestFit="1" customWidth="1"/>
    <col min="14" max="14" width="27.25" customWidth="1"/>
  </cols>
  <sheetData>
    <row r="1" spans="1:8" ht="25.5" x14ac:dyDescent="0.45">
      <c r="A1" s="83" t="s">
        <v>47</v>
      </c>
      <c r="B1" s="84"/>
      <c r="C1" s="84"/>
      <c r="D1" s="84"/>
      <c r="E1" s="84"/>
      <c r="F1" s="84"/>
      <c r="G1" s="84"/>
      <c r="H1" s="85"/>
    </row>
    <row r="2" spans="1:8" x14ac:dyDescent="0.45">
      <c r="A2" s="29"/>
      <c r="B2" s="63" t="s">
        <v>57</v>
      </c>
      <c r="C2" s="63" t="s">
        <v>58</v>
      </c>
      <c r="D2" s="63" t="s">
        <v>59</v>
      </c>
      <c r="E2" s="63" t="s">
        <v>60</v>
      </c>
      <c r="F2" s="63" t="s">
        <v>61</v>
      </c>
      <c r="G2" s="63" t="s">
        <v>62</v>
      </c>
      <c r="H2" s="3"/>
    </row>
    <row r="3" spans="1:8" x14ac:dyDescent="0.45">
      <c r="A3" s="62" t="s">
        <v>73</v>
      </c>
      <c r="B3" s="62"/>
      <c r="C3" s="62"/>
      <c r="D3" s="62"/>
      <c r="E3" s="62"/>
      <c r="F3" s="62"/>
      <c r="G3" s="62"/>
      <c r="H3" s="70" t="s">
        <v>71</v>
      </c>
    </row>
    <row r="4" spans="1:8" x14ac:dyDescent="0.45">
      <c r="A4" s="66" t="s">
        <v>55</v>
      </c>
      <c r="B4" s="53">
        <f>COUNTIF('ES#8'!$A$7:$A$19,LEFT(A4,10))</f>
        <v>4</v>
      </c>
      <c r="C4" s="53">
        <f>COUNTIF('ES#9'!$A$7:$A$19,LEFT(A4,10))</f>
        <v>4</v>
      </c>
      <c r="D4" s="53">
        <f>COUNTIF('PP#2'!$A$7:$A$15,LEFT(A4,10))</f>
        <v>6</v>
      </c>
      <c r="E4" s="53">
        <f>COUNTIF('PP#3'!$A$7:$A$15,LEFT(A4,10))</f>
        <v>6</v>
      </c>
      <c r="F4" s="53">
        <f>COUNTIF('PP#4'!$A$7:$A$15,LEFT(A4,10))</f>
        <v>6</v>
      </c>
      <c r="G4" s="53">
        <f>COUNTIF('PP#5'!$A$7:$A$15,LEFT(A4,10))</f>
        <v>6</v>
      </c>
      <c r="H4" s="69">
        <f>SUM(B4:G4)</f>
        <v>32</v>
      </c>
    </row>
    <row r="5" spans="1:8" x14ac:dyDescent="0.45">
      <c r="A5" s="66" t="s">
        <v>63</v>
      </c>
      <c r="B5" s="53">
        <f>COUNTIF('ES#8'!$A$7:$A$19,LEFT(A5,10))</f>
        <v>2</v>
      </c>
      <c r="C5" s="53">
        <f>COUNTIF('ES#9'!$A$7:$A$19,LEFT(A5,10))</f>
        <v>2</v>
      </c>
      <c r="D5" s="53">
        <f>COUNTIF('PP#2'!$A$7:$A$15,LEFT(A5,10))</f>
        <v>2</v>
      </c>
      <c r="E5" s="53">
        <f>COUNTIF('PP#3'!$A$7:$A$15,LEFT(A5,10))</f>
        <v>2</v>
      </c>
      <c r="F5" s="53">
        <f>COUNTIF('PP#4'!$A$7:$A$15,LEFT(A5,10))</f>
        <v>2</v>
      </c>
      <c r="G5" s="53">
        <f>COUNTIF('PP#5'!$A$7:$A$15,LEFT(A5,10))</f>
        <v>2</v>
      </c>
      <c r="H5" s="58">
        <f>SUM(B5:G5)</f>
        <v>12</v>
      </c>
    </row>
    <row r="7" spans="1:8" x14ac:dyDescent="0.45">
      <c r="B7" s="60" t="s">
        <v>112</v>
      </c>
      <c r="C7" s="61"/>
      <c r="D7" s="61"/>
      <c r="E7" s="61"/>
      <c r="F7" s="61"/>
      <c r="G7" s="61"/>
    </row>
    <row r="8" spans="1:8" x14ac:dyDescent="0.45">
      <c r="B8" s="63" t="s">
        <v>57</v>
      </c>
      <c r="C8" s="63" t="s">
        <v>58</v>
      </c>
      <c r="D8" s="63" t="s">
        <v>59</v>
      </c>
      <c r="E8" s="63" t="s">
        <v>60</v>
      </c>
      <c r="F8" s="63" t="s">
        <v>61</v>
      </c>
      <c r="G8" s="63" t="s">
        <v>62</v>
      </c>
    </row>
    <row r="9" spans="1:8" x14ac:dyDescent="0.45">
      <c r="A9" s="66"/>
      <c r="B9" s="54">
        <f>SUM(B4:B5)</f>
        <v>6</v>
      </c>
      <c r="C9" s="54">
        <f>SUM(C4:C5)</f>
        <v>6</v>
      </c>
      <c r="D9" s="54">
        <f>SUM(D4:D5)</f>
        <v>8</v>
      </c>
      <c r="E9" s="54">
        <f>SUM(E4:E5)</f>
        <v>8</v>
      </c>
      <c r="F9" s="54">
        <f>SUM(F4:F5)</f>
        <v>8</v>
      </c>
      <c r="G9" s="54">
        <f>SUM(G4:G5)</f>
        <v>8</v>
      </c>
      <c r="H9" s="59">
        <f>SUM(B9:G9)</f>
        <v>44</v>
      </c>
    </row>
    <row r="12" spans="1:8" x14ac:dyDescent="0.45">
      <c r="A12" s="62" t="s">
        <v>72</v>
      </c>
      <c r="B12" s="62"/>
      <c r="C12" s="62"/>
      <c r="D12" s="62"/>
      <c r="E12" s="62"/>
      <c r="F12" s="62"/>
      <c r="G12" s="62"/>
      <c r="H12" s="68" t="s">
        <v>71</v>
      </c>
    </row>
    <row r="13" spans="1:8" x14ac:dyDescent="0.45">
      <c r="A13" s="66" t="s">
        <v>56</v>
      </c>
      <c r="B13" s="19">
        <f t="shared" ref="B13:G13" si="0">SUM(B4:B5)</f>
        <v>6</v>
      </c>
      <c r="C13" s="19">
        <f t="shared" si="0"/>
        <v>6</v>
      </c>
      <c r="D13" s="19">
        <f t="shared" si="0"/>
        <v>8</v>
      </c>
      <c r="E13" s="19">
        <f t="shared" si="0"/>
        <v>8</v>
      </c>
      <c r="F13" s="19">
        <f t="shared" si="0"/>
        <v>8</v>
      </c>
      <c r="G13" s="19">
        <f t="shared" si="0"/>
        <v>8</v>
      </c>
      <c r="H13" s="56">
        <f>SUM(B13:G13)</f>
        <v>44</v>
      </c>
    </row>
    <row r="14" spans="1:8" x14ac:dyDescent="0.45">
      <c r="A14" s="66" t="s">
        <v>64</v>
      </c>
      <c r="B14" s="19">
        <f>_xlfn.LET(
  _xlpm.ym, LEFT($A14,7),
  _xlpm.d0, DATEVALUE(_xlpm.ym &amp; "-01"),
  COUNTIFS('ES#8'!$A$7:$A$19, "&gt;=" &amp; _xlpm.d0,
           'ES#8'!$A$7:$A$19, "&lt;"  &amp; EOMONTH(_xlpm.d0,0)+1)
)</f>
        <v>6</v>
      </c>
      <c r="C14" s="19">
        <f>_xlfn.LET(
  _xlpm.ym, LEFT($A14,7),
  _xlpm.d0, DATEVALUE(_xlpm.ym &amp; "-01"),
  COUNTIFS('ES#9'!$A$7:$A$19, "&gt;=" &amp; _xlpm.d0,
           'ES#9'!$A$7:$A$19, "&lt;"  &amp; EOMONTH(_xlpm.d0,0)+1)
)</f>
        <v>6</v>
      </c>
      <c r="D14" s="19">
        <f>_xlfn.LET(
  _xlpm.ym, LEFT($A14,7),
  _xlpm.d0, DATEVALUE(_xlpm.ym &amp; "-01"),
  COUNTIFS('PP#2'!$A$7:$A$15, "&gt;=" &amp; _xlpm.d0,
           'PP#2'!$A$7:$A$15, "&lt;"  &amp; EOMONTH(_xlpm.d0,0)+1)
)</f>
        <v>8</v>
      </c>
      <c r="E14" s="19">
        <f>_xlfn.LET(
  _xlpm.ym, LEFT($A14,7),
  _xlpm.d0, DATEVALUE(_xlpm.ym &amp; "-01"),
  COUNTIFS('PP#3'!$A$7:$A$15, "&gt;=" &amp; _xlpm.d0,
           'PP#3'!$A$7:$A$15, "&lt;"  &amp; EOMONTH(_xlpm.d0,0)+1)
)</f>
        <v>8</v>
      </c>
      <c r="F14" s="19">
        <f>_xlfn.LET(
  _xlpm.ym, LEFT($A14,7),
  _xlpm.d0, DATEVALUE(_xlpm.ym &amp; "-01"),
  COUNTIFS('PP#4'!$A$7:$A$15, "&gt;=" &amp; _xlpm.d0,
           'PP#4'!$A$7:$A$15, "&lt;"  &amp; EOMONTH(_xlpm.d0,0)+1)
)</f>
        <v>8</v>
      </c>
      <c r="G14" s="19">
        <f>_xlfn.LET(
  _xlpm.ym, LEFT($A14,7),
  _xlpm.d0, DATEVALUE(_xlpm.ym &amp; "-01"),
  COUNTIFS('PP#5'!$A$7:$A$15, "&gt;=" &amp; _xlpm.d0,
           'PP#5'!$A$7:$A$15, "&lt;"  &amp; EOMONTH(_xlpm.d0,0)+1)
)</f>
        <v>8</v>
      </c>
      <c r="H14" s="19">
        <f>SUM(B14:G14)</f>
        <v>44</v>
      </c>
    </row>
    <row r="17" spans="1:7" x14ac:dyDescent="0.45">
      <c r="A17" s="47" t="s">
        <v>114</v>
      </c>
      <c r="B17" s="48"/>
      <c r="C17" s="48"/>
      <c r="D17" s="48"/>
      <c r="E17" s="48"/>
      <c r="F17" s="48"/>
      <c r="G17" s="49"/>
    </row>
    <row r="18" spans="1:7" x14ac:dyDescent="0.45">
      <c r="A18" s="71" t="s">
        <v>68</v>
      </c>
      <c r="B18" s="72"/>
      <c r="C18" s="72"/>
      <c r="D18" s="72"/>
      <c r="E18" s="72"/>
      <c r="F18" s="72"/>
      <c r="G18" s="73"/>
    </row>
    <row r="19" spans="1:7" x14ac:dyDescent="0.45">
      <c r="A19" s="64" t="s">
        <v>67</v>
      </c>
      <c r="B19" s="56">
        <f>SUM(H4:H5)</f>
        <v>44</v>
      </c>
      <c r="C19" s="1"/>
      <c r="D19" s="1"/>
      <c r="E19" s="1"/>
      <c r="F19" s="1"/>
      <c r="G19" s="3"/>
    </row>
    <row r="20" spans="1:7" x14ac:dyDescent="0.45">
      <c r="A20" s="64" t="s">
        <v>66</v>
      </c>
      <c r="B20" s="53">
        <f>COUNT(H4:H5)</f>
        <v>2</v>
      </c>
      <c r="C20" s="1"/>
      <c r="D20" s="1"/>
      <c r="E20" s="1"/>
      <c r="F20" s="1"/>
      <c r="G20" s="3"/>
    </row>
    <row r="21" spans="1:7" x14ac:dyDescent="0.45">
      <c r="A21" s="65" t="s">
        <v>113</v>
      </c>
      <c r="B21" s="54">
        <f>B19/B20</f>
        <v>22</v>
      </c>
      <c r="C21" s="51"/>
      <c r="D21" s="51"/>
      <c r="E21" s="51"/>
      <c r="F21" s="51"/>
      <c r="G21" s="52"/>
    </row>
    <row r="27" spans="1:7" x14ac:dyDescent="0.45">
      <c r="A27" s="83" t="s">
        <v>70</v>
      </c>
      <c r="B27" s="84"/>
      <c r="C27" s="84"/>
      <c r="D27" s="84"/>
      <c r="E27" s="85"/>
    </row>
    <row r="28" spans="1:7" x14ac:dyDescent="0.45">
      <c r="A28" s="86"/>
      <c r="B28" s="87"/>
      <c r="C28" s="87"/>
      <c r="D28" s="87"/>
      <c r="E28" s="88"/>
    </row>
    <row r="29" spans="1:7" x14ac:dyDescent="0.45">
      <c r="A29" s="62" t="s">
        <v>35</v>
      </c>
      <c r="B29" s="67" t="s">
        <v>30</v>
      </c>
      <c r="C29" s="57">
        <v>2.2599999999999998</v>
      </c>
      <c r="D29" s="18"/>
      <c r="E29" s="18"/>
    </row>
    <row r="30" spans="1:7" x14ac:dyDescent="0.45">
      <c r="A30" s="62"/>
      <c r="B30" s="67" t="s">
        <v>46</v>
      </c>
      <c r="C30" s="18"/>
      <c r="D30" s="18"/>
      <c r="E30" s="18"/>
    </row>
    <row r="31" spans="1:7" x14ac:dyDescent="0.45">
      <c r="A31" s="62"/>
      <c r="B31" s="18"/>
      <c r="C31" s="18"/>
      <c r="D31" s="18"/>
      <c r="E31" s="18"/>
    </row>
    <row r="32" spans="1:7" x14ac:dyDescent="0.45">
      <c r="A32" s="62"/>
      <c r="B32" s="18"/>
      <c r="C32" s="18"/>
      <c r="D32" s="18"/>
      <c r="E32" s="18"/>
    </row>
    <row r="33" spans="1:5" x14ac:dyDescent="0.45">
      <c r="A33" s="62"/>
      <c r="B33" s="18"/>
      <c r="C33" s="18"/>
      <c r="D33" s="18"/>
      <c r="E33" s="18"/>
    </row>
    <row r="34" spans="1:5" x14ac:dyDescent="0.45">
      <c r="A34" s="62" t="s">
        <v>69</v>
      </c>
      <c r="B34" s="66" t="s">
        <v>33</v>
      </c>
      <c r="C34" s="18"/>
      <c r="D34" s="18"/>
      <c r="E34" s="18"/>
    </row>
    <row r="35" spans="1:5" x14ac:dyDescent="0.45">
      <c r="A35" s="62"/>
      <c r="B35" s="18"/>
      <c r="C35" s="18"/>
      <c r="D35" s="18"/>
      <c r="E35" s="18"/>
    </row>
    <row r="36" spans="1:5" x14ac:dyDescent="0.45">
      <c r="A36" s="62"/>
      <c r="B36" s="18"/>
      <c r="C36" s="18"/>
      <c r="D36" s="18"/>
      <c r="E36" s="18"/>
    </row>
    <row r="37" spans="1:5" x14ac:dyDescent="0.45">
      <c r="A37" s="62"/>
      <c r="B37" s="18"/>
      <c r="C37" s="18"/>
      <c r="D37" s="18"/>
      <c r="E37" s="18"/>
    </row>
    <row r="38" spans="1:5" x14ac:dyDescent="0.45">
      <c r="A38" s="62"/>
      <c r="B38" s="18"/>
      <c r="C38" s="18"/>
      <c r="D38" s="18"/>
      <c r="E38" s="18"/>
    </row>
    <row r="39" spans="1:5" x14ac:dyDescent="0.45">
      <c r="A39" s="62"/>
      <c r="B39" s="18"/>
      <c r="C39" s="18"/>
      <c r="D39" s="18"/>
      <c r="E39" s="18"/>
    </row>
  </sheetData>
  <mergeCells count="9">
    <mergeCell ref="A29:A33"/>
    <mergeCell ref="A34:A39"/>
    <mergeCell ref="A27:E28"/>
    <mergeCell ref="A1:H1"/>
    <mergeCell ref="A12:G12"/>
    <mergeCell ref="A3:G3"/>
    <mergeCell ref="A17:G17"/>
    <mergeCell ref="A18:G18"/>
    <mergeCell ref="B7:G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2025-11-11T06:18:19Z</dcterms:modified>
</cp:coreProperties>
</file>