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581630DF-96F6-40B1-83FB-85BDC7D521F9}" xr6:coauthVersionLast="47" xr6:coauthVersionMax="47" xr10:uidLastSave="{00000000-0000-0000-0000-000000000000}"/>
  <bookViews>
    <workbookView xWindow="-110" yWindow="-110" windowWidth="25820" windowHeight="15500" firstSheet="1" activeTab="4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9" l="1"/>
  <c r="D15" i="18"/>
  <c r="D17" i="15"/>
  <c r="D17" i="16"/>
  <c r="D17" i="17"/>
  <c r="D17" i="2"/>
  <c r="D14" i="19"/>
  <c r="D14" i="18"/>
  <c r="C15" i="19"/>
  <c r="C15" i="18"/>
  <c r="D16" i="15"/>
  <c r="B17" i="15"/>
  <c r="R17" i="15" s="1"/>
  <c r="P17" i="15"/>
  <c r="AA17" i="15"/>
  <c r="D13" i="18"/>
  <c r="D13" i="19"/>
  <c r="C14" i="18"/>
  <c r="P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C14" i="19"/>
  <c r="P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D16" i="16"/>
  <c r="D16" i="17"/>
  <c r="D16" i="2"/>
  <c r="C17" i="16"/>
  <c r="P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C17" i="17"/>
  <c r="P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C17" i="2"/>
  <c r="P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R16" i="2"/>
  <c r="D15" i="15"/>
  <c r="D15" i="16"/>
  <c r="D15" i="17"/>
  <c r="D15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P16" i="2"/>
  <c r="C16" i="2"/>
  <c r="C16" i="16"/>
  <c r="P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C16" i="17"/>
  <c r="P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C16" i="15"/>
  <c r="P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H6" i="10"/>
  <c r="G6" i="10"/>
  <c r="F6" i="10"/>
  <c r="E6" i="10"/>
  <c r="D6" i="10"/>
  <c r="C6" i="10"/>
  <c r="D12" i="18"/>
  <c r="D12" i="19"/>
  <c r="C13" i="18"/>
  <c r="P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C13" i="19"/>
  <c r="P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D14" i="2"/>
  <c r="D14" i="15"/>
  <c r="D14" i="16"/>
  <c r="D14" i="17"/>
  <c r="C15" i="2"/>
  <c r="P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C15" i="15"/>
  <c r="P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C15" i="16"/>
  <c r="P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C15" i="17"/>
  <c r="P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D13" i="16"/>
  <c r="D12" i="16"/>
  <c r="D11" i="16"/>
  <c r="D10" i="16"/>
  <c r="D9" i="16"/>
  <c r="D8" i="16"/>
  <c r="D7" i="16"/>
  <c r="D13" i="17"/>
  <c r="D12" i="17"/>
  <c r="D11" i="17"/>
  <c r="D10" i="17"/>
  <c r="D9" i="17"/>
  <c r="D8" i="17"/>
  <c r="D7" i="17"/>
  <c r="D13" i="15"/>
  <c r="D12" i="15"/>
  <c r="D11" i="15"/>
  <c r="D10" i="15"/>
  <c r="D9" i="15"/>
  <c r="D8" i="15"/>
  <c r="D7" i="15"/>
  <c r="D11" i="19"/>
  <c r="D10" i="19"/>
  <c r="D9" i="19"/>
  <c r="D8" i="19"/>
  <c r="D7" i="19"/>
  <c r="AC14" i="17"/>
  <c r="AB14" i="17"/>
  <c r="AA14" i="17"/>
  <c r="Z14" i="17"/>
  <c r="Y14" i="17"/>
  <c r="X14" i="17"/>
  <c r="W14" i="17"/>
  <c r="V14" i="17"/>
  <c r="AC13" i="17"/>
  <c r="AB13" i="17"/>
  <c r="AA13" i="17"/>
  <c r="Z13" i="17"/>
  <c r="Y13" i="17"/>
  <c r="X13" i="17"/>
  <c r="W13" i="17"/>
  <c r="V13" i="17"/>
  <c r="AC12" i="17"/>
  <c r="AB12" i="17"/>
  <c r="AA12" i="17"/>
  <c r="Z12" i="17"/>
  <c r="Y12" i="17"/>
  <c r="X12" i="17"/>
  <c r="W12" i="17"/>
  <c r="V12" i="17"/>
  <c r="AC11" i="17"/>
  <c r="AB11" i="17"/>
  <c r="AA11" i="17"/>
  <c r="Z11" i="17"/>
  <c r="AC10" i="17"/>
  <c r="AB10" i="17"/>
  <c r="AA10" i="17"/>
  <c r="Z10" i="17"/>
  <c r="Y10" i="17"/>
  <c r="X10" i="17"/>
  <c r="W10" i="17"/>
  <c r="V10" i="17"/>
  <c r="AC9" i="17"/>
  <c r="AB9" i="17"/>
  <c r="AA9" i="17"/>
  <c r="Z9" i="17"/>
  <c r="Y9" i="17"/>
  <c r="X9" i="17"/>
  <c r="W9" i="17"/>
  <c r="V9" i="17"/>
  <c r="AC8" i="17"/>
  <c r="AB8" i="17"/>
  <c r="AA8" i="17"/>
  <c r="Z8" i="17"/>
  <c r="Y8" i="17"/>
  <c r="X8" i="17"/>
  <c r="W8" i="17"/>
  <c r="V8" i="17"/>
  <c r="AC7" i="17"/>
  <c r="AB7" i="17"/>
  <c r="AA7" i="17"/>
  <c r="Z7" i="17"/>
  <c r="Y7" i="17"/>
  <c r="X7" i="17"/>
  <c r="W7" i="17"/>
  <c r="V7" i="17"/>
  <c r="AC14" i="16"/>
  <c r="AB14" i="16"/>
  <c r="AA14" i="16"/>
  <c r="Z14" i="16"/>
  <c r="Y14" i="16"/>
  <c r="X14" i="16"/>
  <c r="W14" i="16"/>
  <c r="V14" i="16"/>
  <c r="AC13" i="16"/>
  <c r="AB13" i="16"/>
  <c r="AA13" i="16"/>
  <c r="Z13" i="16"/>
  <c r="Y13" i="16"/>
  <c r="X13" i="16"/>
  <c r="W13" i="16"/>
  <c r="V13" i="16"/>
  <c r="AC12" i="16"/>
  <c r="AB12" i="16"/>
  <c r="AA12" i="16"/>
  <c r="Z12" i="16"/>
  <c r="Y12" i="16"/>
  <c r="X12" i="16"/>
  <c r="W12" i="16"/>
  <c r="V12" i="16"/>
  <c r="AC11" i="16"/>
  <c r="AB11" i="16"/>
  <c r="AA11" i="16"/>
  <c r="Z11" i="16"/>
  <c r="AC10" i="16"/>
  <c r="AB10" i="16"/>
  <c r="AA10" i="16"/>
  <c r="Z10" i="16"/>
  <c r="Y10" i="16"/>
  <c r="X10" i="16"/>
  <c r="W10" i="16"/>
  <c r="V10" i="16"/>
  <c r="AC9" i="16"/>
  <c r="AB9" i="16"/>
  <c r="AA9" i="16"/>
  <c r="Z9" i="16"/>
  <c r="Y9" i="16"/>
  <c r="X9" i="16"/>
  <c r="W9" i="16"/>
  <c r="V9" i="16"/>
  <c r="AC8" i="16"/>
  <c r="AB8" i="16"/>
  <c r="AA8" i="16"/>
  <c r="Z8" i="16"/>
  <c r="Y8" i="16"/>
  <c r="X8" i="16"/>
  <c r="W8" i="16"/>
  <c r="V8" i="16"/>
  <c r="AC7" i="16"/>
  <c r="AB7" i="16"/>
  <c r="AA7" i="16"/>
  <c r="Z7" i="16"/>
  <c r="Y7" i="16"/>
  <c r="X7" i="16"/>
  <c r="W7" i="16"/>
  <c r="V7" i="16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14" i="2"/>
  <c r="AB14" i="2"/>
  <c r="AA14" i="2"/>
  <c r="Z14" i="2"/>
  <c r="Y14" i="2"/>
  <c r="X14" i="2"/>
  <c r="W14" i="2"/>
  <c r="V14" i="2"/>
  <c r="AC13" i="2"/>
  <c r="AB13" i="2"/>
  <c r="AA13" i="2"/>
  <c r="Z13" i="2"/>
  <c r="Y13" i="2"/>
  <c r="X13" i="2"/>
  <c r="W13" i="2"/>
  <c r="V13" i="2"/>
  <c r="AC12" i="2"/>
  <c r="AB12" i="2"/>
  <c r="AA12" i="2"/>
  <c r="Z12" i="2"/>
  <c r="Y12" i="2"/>
  <c r="X12" i="2"/>
  <c r="W12" i="2"/>
  <c r="V12" i="2"/>
  <c r="AC10" i="2"/>
  <c r="AB10" i="2"/>
  <c r="AA10" i="2"/>
  <c r="Z10" i="2"/>
  <c r="Y10" i="2"/>
  <c r="X10" i="2"/>
  <c r="W10" i="2"/>
  <c r="V10" i="2"/>
  <c r="AC9" i="2"/>
  <c r="AB9" i="2"/>
  <c r="AA9" i="2"/>
  <c r="Z9" i="2"/>
  <c r="Y9" i="2"/>
  <c r="X9" i="2"/>
  <c r="W9" i="2"/>
  <c r="V9" i="2"/>
  <c r="AC8" i="2"/>
  <c r="AB8" i="2"/>
  <c r="AA8" i="2"/>
  <c r="Z8" i="2"/>
  <c r="Y8" i="2"/>
  <c r="X8" i="2"/>
  <c r="W8" i="2"/>
  <c r="V8" i="2"/>
  <c r="AC7" i="2"/>
  <c r="AB7" i="2"/>
  <c r="AA7" i="2"/>
  <c r="Z7" i="2"/>
  <c r="Y7" i="2"/>
  <c r="X7" i="2"/>
  <c r="W7" i="2"/>
  <c r="V7" i="2"/>
  <c r="AC12" i="19"/>
  <c r="AB12" i="19"/>
  <c r="AA12" i="19"/>
  <c r="Z12" i="19"/>
  <c r="Y12" i="19"/>
  <c r="X12" i="19"/>
  <c r="W12" i="19"/>
  <c r="V12" i="19"/>
  <c r="AC10" i="19"/>
  <c r="AB10" i="19"/>
  <c r="AA10" i="19"/>
  <c r="Z10" i="19"/>
  <c r="Y10" i="19"/>
  <c r="X10" i="19"/>
  <c r="W10" i="19"/>
  <c r="V10" i="19"/>
  <c r="AC9" i="19"/>
  <c r="AB9" i="19"/>
  <c r="AA9" i="19"/>
  <c r="Z9" i="19"/>
  <c r="Y9" i="19"/>
  <c r="X9" i="19"/>
  <c r="W9" i="19"/>
  <c r="V9" i="19"/>
  <c r="AC8" i="19"/>
  <c r="AB8" i="19"/>
  <c r="AA8" i="19"/>
  <c r="Z8" i="19"/>
  <c r="Y8" i="19"/>
  <c r="X8" i="19"/>
  <c r="W8" i="19"/>
  <c r="V8" i="19"/>
  <c r="AC7" i="19"/>
  <c r="AB7" i="19"/>
  <c r="AA7" i="19"/>
  <c r="Z7" i="19"/>
  <c r="Y7" i="19"/>
  <c r="X7" i="19"/>
  <c r="W7" i="19"/>
  <c r="V7" i="19"/>
  <c r="AC12" i="18"/>
  <c r="AB12" i="18"/>
  <c r="AA12" i="18"/>
  <c r="Z12" i="18"/>
  <c r="Y12" i="18"/>
  <c r="X12" i="18"/>
  <c r="W12" i="18"/>
  <c r="V12" i="18"/>
  <c r="AC10" i="18"/>
  <c r="AB10" i="18"/>
  <c r="AA10" i="18"/>
  <c r="Z10" i="18"/>
  <c r="Y10" i="18"/>
  <c r="X10" i="18"/>
  <c r="W10" i="18"/>
  <c r="V10" i="18"/>
  <c r="AC9" i="18"/>
  <c r="AB9" i="18"/>
  <c r="AA9" i="18"/>
  <c r="Z9" i="18"/>
  <c r="Y9" i="18"/>
  <c r="X9" i="18"/>
  <c r="W9" i="18"/>
  <c r="V9" i="18"/>
  <c r="AC8" i="18"/>
  <c r="AB8" i="18"/>
  <c r="AA8" i="18"/>
  <c r="Z8" i="18"/>
  <c r="Y8" i="18"/>
  <c r="X8" i="18"/>
  <c r="W8" i="18"/>
  <c r="V8" i="18"/>
  <c r="AC7" i="18"/>
  <c r="AB7" i="18"/>
  <c r="AA7" i="18"/>
  <c r="Z7" i="18"/>
  <c r="Y7" i="18"/>
  <c r="X7" i="18"/>
  <c r="W7" i="18"/>
  <c r="V7" i="18"/>
  <c r="C13" i="15"/>
  <c r="AF13" i="15"/>
  <c r="AE13" i="15"/>
  <c r="AD13" i="15"/>
  <c r="U13" i="15"/>
  <c r="T13" i="15"/>
  <c r="S13" i="15"/>
  <c r="R13" i="15"/>
  <c r="P13" i="15"/>
  <c r="C13" i="16"/>
  <c r="AF13" i="16"/>
  <c r="AE13" i="16"/>
  <c r="AD13" i="16"/>
  <c r="U13" i="16"/>
  <c r="T13" i="16"/>
  <c r="S13" i="16"/>
  <c r="R13" i="16"/>
  <c r="P13" i="16"/>
  <c r="C13" i="17"/>
  <c r="AF13" i="17"/>
  <c r="AE13" i="17"/>
  <c r="AD13" i="17"/>
  <c r="U13" i="17"/>
  <c r="T13" i="17"/>
  <c r="S13" i="17"/>
  <c r="R13" i="17"/>
  <c r="P13" i="17"/>
  <c r="D13" i="2"/>
  <c r="C13" i="2"/>
  <c r="AF13" i="2"/>
  <c r="AE13" i="2"/>
  <c r="AD13" i="2"/>
  <c r="U13" i="2"/>
  <c r="T13" i="2"/>
  <c r="S13" i="2"/>
  <c r="R13" i="2"/>
  <c r="P13" i="2"/>
  <c r="AD12" i="19"/>
  <c r="U12" i="19"/>
  <c r="T12" i="19"/>
  <c r="S12" i="19"/>
  <c r="R12" i="19"/>
  <c r="AD12" i="18"/>
  <c r="AE12" i="18"/>
  <c r="AF12" i="18"/>
  <c r="U12" i="18"/>
  <c r="T12" i="18"/>
  <c r="S12" i="18"/>
  <c r="R12" i="18"/>
  <c r="C12" i="19"/>
  <c r="AF12" i="19"/>
  <c r="AE12" i="19"/>
  <c r="P12" i="19"/>
  <c r="C12" i="18"/>
  <c r="P12" i="18"/>
  <c r="P8" i="18"/>
  <c r="P9" i="18"/>
  <c r="P10" i="18"/>
  <c r="P11" i="18"/>
  <c r="P8" i="19"/>
  <c r="P9" i="19"/>
  <c r="P10" i="19"/>
  <c r="P11" i="19"/>
  <c r="P8" i="2"/>
  <c r="P9" i="2"/>
  <c r="P10" i="2"/>
  <c r="P11" i="2"/>
  <c r="P12" i="2"/>
  <c r="P14" i="2"/>
  <c r="P8" i="15"/>
  <c r="P9" i="15"/>
  <c r="P10" i="15"/>
  <c r="P11" i="15"/>
  <c r="P12" i="15"/>
  <c r="P14" i="15"/>
  <c r="P8" i="16"/>
  <c r="P9" i="16"/>
  <c r="P10" i="16"/>
  <c r="P11" i="16"/>
  <c r="P12" i="16"/>
  <c r="P14" i="16"/>
  <c r="P8" i="17"/>
  <c r="P9" i="17"/>
  <c r="P10" i="17"/>
  <c r="P11" i="17"/>
  <c r="P12" i="17"/>
  <c r="P14" i="17"/>
  <c r="P7" i="18"/>
  <c r="P7" i="19"/>
  <c r="P7" i="2"/>
  <c r="P7" i="15"/>
  <c r="P7" i="16"/>
  <c r="P7" i="17"/>
  <c r="C11" i="19"/>
  <c r="AF11" i="19"/>
  <c r="AE11" i="19"/>
  <c r="D11" i="18"/>
  <c r="C11" i="18"/>
  <c r="AF11" i="18"/>
  <c r="AE11" i="18"/>
  <c r="H5" i="10"/>
  <c r="G5" i="10"/>
  <c r="F5" i="10"/>
  <c r="E5" i="10"/>
  <c r="D5" i="10"/>
  <c r="C5" i="10"/>
  <c r="H12" i="10"/>
  <c r="G12" i="10"/>
  <c r="F12" i="10"/>
  <c r="E12" i="10"/>
  <c r="C12" i="10"/>
  <c r="D12" i="10"/>
  <c r="C12" i="15"/>
  <c r="AF12" i="15"/>
  <c r="AE12" i="15"/>
  <c r="AD12" i="15"/>
  <c r="U12" i="15"/>
  <c r="T12" i="15"/>
  <c r="S12" i="15"/>
  <c r="R12" i="15"/>
  <c r="C12" i="16"/>
  <c r="AF12" i="16"/>
  <c r="AE12" i="16"/>
  <c r="AD12" i="16"/>
  <c r="U12" i="16"/>
  <c r="T12" i="16"/>
  <c r="S12" i="16"/>
  <c r="R12" i="16"/>
  <c r="C12" i="17"/>
  <c r="AF12" i="17"/>
  <c r="AE12" i="17"/>
  <c r="AD12" i="17"/>
  <c r="U12" i="17"/>
  <c r="T12" i="17"/>
  <c r="S12" i="17"/>
  <c r="R12" i="17"/>
  <c r="D12" i="2"/>
  <c r="C12" i="2"/>
  <c r="AF12" i="2"/>
  <c r="AE12" i="2"/>
  <c r="AD12" i="2"/>
  <c r="U12" i="2"/>
  <c r="T12" i="2"/>
  <c r="S12" i="2"/>
  <c r="R12" i="2"/>
  <c r="C11" i="15"/>
  <c r="AF11" i="15"/>
  <c r="AE11" i="15"/>
  <c r="C11" i="16"/>
  <c r="AF11" i="16"/>
  <c r="AE11" i="16"/>
  <c r="C11" i="17"/>
  <c r="AF11" i="17"/>
  <c r="AE11" i="17"/>
  <c r="D11" i="2"/>
  <c r="C11" i="2"/>
  <c r="AF11" i="2"/>
  <c r="AE11" i="2"/>
  <c r="D10" i="18"/>
  <c r="C10" i="18"/>
  <c r="AF10" i="18"/>
  <c r="AE10" i="18"/>
  <c r="AD10" i="18"/>
  <c r="U10" i="18"/>
  <c r="T10" i="18"/>
  <c r="S10" i="18"/>
  <c r="R10" i="18"/>
  <c r="C10" i="19"/>
  <c r="AF10" i="19"/>
  <c r="AE10" i="19"/>
  <c r="AD10" i="19"/>
  <c r="U10" i="19"/>
  <c r="T10" i="19"/>
  <c r="S10" i="19"/>
  <c r="R10" i="19"/>
  <c r="C10" i="16"/>
  <c r="AF10" i="16"/>
  <c r="AE10" i="16"/>
  <c r="AD10" i="16"/>
  <c r="U10" i="16"/>
  <c r="T10" i="16"/>
  <c r="S10" i="16"/>
  <c r="R10" i="16"/>
  <c r="C10" i="17"/>
  <c r="AF10" i="17"/>
  <c r="AE10" i="17"/>
  <c r="AD10" i="17"/>
  <c r="U10" i="17"/>
  <c r="T10" i="17"/>
  <c r="S10" i="17"/>
  <c r="R10" i="17"/>
  <c r="C10" i="15"/>
  <c r="AF10" i="15"/>
  <c r="AE10" i="15"/>
  <c r="AD10" i="15"/>
  <c r="U10" i="15"/>
  <c r="T10" i="15"/>
  <c r="S10" i="15"/>
  <c r="R10" i="15"/>
  <c r="R14" i="2"/>
  <c r="S14" i="2"/>
  <c r="T14" i="2"/>
  <c r="U14" i="2"/>
  <c r="AD14" i="2"/>
  <c r="AE14" i="2"/>
  <c r="AF14" i="2"/>
  <c r="C14" i="2"/>
  <c r="C9" i="19"/>
  <c r="AF9" i="19"/>
  <c r="AE9" i="19"/>
  <c r="AD9" i="19"/>
  <c r="U9" i="19"/>
  <c r="T9" i="19"/>
  <c r="S9" i="19"/>
  <c r="R9" i="19"/>
  <c r="C8" i="19"/>
  <c r="AF8" i="19"/>
  <c r="AE8" i="19"/>
  <c r="AD8" i="19"/>
  <c r="U8" i="19"/>
  <c r="T8" i="19"/>
  <c r="S8" i="19"/>
  <c r="R8" i="19"/>
  <c r="C7" i="19"/>
  <c r="AF7" i="19"/>
  <c r="AE7" i="19"/>
  <c r="AD7" i="19"/>
  <c r="U7" i="19"/>
  <c r="T7" i="19"/>
  <c r="S7" i="19"/>
  <c r="R7" i="19"/>
  <c r="D9" i="18"/>
  <c r="C9" i="18"/>
  <c r="AF9" i="18"/>
  <c r="AE9" i="18"/>
  <c r="AD9" i="18"/>
  <c r="U9" i="18"/>
  <c r="T9" i="18"/>
  <c r="S9" i="18"/>
  <c r="R9" i="18"/>
  <c r="D8" i="18"/>
  <c r="C8" i="18"/>
  <c r="AF8" i="18"/>
  <c r="AE8" i="18"/>
  <c r="AD8" i="18"/>
  <c r="U8" i="18"/>
  <c r="T8" i="18"/>
  <c r="S8" i="18"/>
  <c r="R8" i="18"/>
  <c r="D7" i="18"/>
  <c r="C7" i="18"/>
  <c r="AF7" i="18"/>
  <c r="AE7" i="18"/>
  <c r="AD7" i="18"/>
  <c r="U7" i="18"/>
  <c r="T7" i="18"/>
  <c r="S7" i="18"/>
  <c r="R7" i="18"/>
  <c r="C14" i="17"/>
  <c r="AF14" i="17"/>
  <c r="AE14" i="17"/>
  <c r="AD14" i="17"/>
  <c r="U14" i="17"/>
  <c r="T14" i="17"/>
  <c r="S14" i="17"/>
  <c r="R14" i="17"/>
  <c r="C9" i="17"/>
  <c r="AF9" i="17"/>
  <c r="AE9" i="17"/>
  <c r="AD9" i="17"/>
  <c r="U9" i="17"/>
  <c r="T9" i="17"/>
  <c r="S9" i="17"/>
  <c r="R9" i="17"/>
  <c r="C8" i="17"/>
  <c r="AF8" i="17"/>
  <c r="AE8" i="17"/>
  <c r="AD8" i="17"/>
  <c r="U8" i="17"/>
  <c r="T8" i="17"/>
  <c r="S8" i="17"/>
  <c r="R8" i="17"/>
  <c r="C7" i="17"/>
  <c r="AF7" i="17"/>
  <c r="AE7" i="17"/>
  <c r="AD7" i="17"/>
  <c r="U7" i="17"/>
  <c r="T7" i="17"/>
  <c r="S7" i="17"/>
  <c r="R7" i="17"/>
  <c r="C14" i="16"/>
  <c r="AF14" i="16"/>
  <c r="AE14" i="16"/>
  <c r="AD14" i="16"/>
  <c r="U14" i="16"/>
  <c r="T14" i="16"/>
  <c r="S14" i="16"/>
  <c r="R14" i="16"/>
  <c r="C9" i="16"/>
  <c r="AF9" i="16"/>
  <c r="AE9" i="16"/>
  <c r="AD9" i="16"/>
  <c r="U9" i="16"/>
  <c r="T9" i="16"/>
  <c r="S9" i="16"/>
  <c r="R9" i="16"/>
  <c r="C8" i="16"/>
  <c r="AF8" i="16"/>
  <c r="AE8" i="16"/>
  <c r="AD8" i="16"/>
  <c r="U8" i="16"/>
  <c r="T8" i="16"/>
  <c r="S8" i="16"/>
  <c r="R8" i="16"/>
  <c r="C7" i="16"/>
  <c r="AF7" i="16"/>
  <c r="AE7" i="16"/>
  <c r="AD7" i="16"/>
  <c r="U7" i="16"/>
  <c r="T7" i="16"/>
  <c r="S7" i="16"/>
  <c r="R7" i="16"/>
  <c r="C14" i="15"/>
  <c r="AF14" i="15"/>
  <c r="AE14" i="15"/>
  <c r="AD14" i="15"/>
  <c r="U14" i="15"/>
  <c r="T14" i="15"/>
  <c r="S14" i="15"/>
  <c r="R14" i="15"/>
  <c r="C9" i="15"/>
  <c r="AF9" i="15"/>
  <c r="AE9" i="15"/>
  <c r="AD9" i="15"/>
  <c r="U9" i="15"/>
  <c r="T9" i="15"/>
  <c r="S9" i="15"/>
  <c r="R9" i="15"/>
  <c r="C8" i="15"/>
  <c r="AF8" i="15"/>
  <c r="AE8" i="15"/>
  <c r="AD8" i="15"/>
  <c r="U8" i="15"/>
  <c r="T8" i="15"/>
  <c r="S8" i="15"/>
  <c r="R8" i="15"/>
  <c r="C7" i="15"/>
  <c r="AF7" i="15"/>
  <c r="AE7" i="15"/>
  <c r="AD7" i="15"/>
  <c r="U7" i="15"/>
  <c r="T7" i="15"/>
  <c r="S7" i="15"/>
  <c r="R7" i="15"/>
  <c r="R9" i="2"/>
  <c r="S9" i="2"/>
  <c r="T9" i="2"/>
  <c r="U9" i="2"/>
  <c r="AD9" i="2"/>
  <c r="AE9" i="2"/>
  <c r="AF9" i="2"/>
  <c r="C9" i="2"/>
  <c r="D9" i="2"/>
  <c r="R7" i="2"/>
  <c r="D8" i="2"/>
  <c r="D10" i="2"/>
  <c r="D7" i="2"/>
  <c r="C7" i="2"/>
  <c r="C8" i="2"/>
  <c r="C10" i="2"/>
  <c r="U10" i="2"/>
  <c r="U8" i="2"/>
  <c r="U7" i="2"/>
  <c r="T10" i="2"/>
  <c r="T8" i="2"/>
  <c r="T7" i="2"/>
  <c r="S10" i="2"/>
  <c r="S8" i="2"/>
  <c r="S7" i="2"/>
  <c r="R8" i="2"/>
  <c r="R10" i="2"/>
  <c r="AE8" i="2"/>
  <c r="AE10" i="2"/>
  <c r="AE7" i="2"/>
  <c r="AF7" i="2"/>
  <c r="AF8" i="2"/>
  <c r="AF10" i="2"/>
  <c r="AD8" i="2"/>
  <c r="AD10" i="2"/>
  <c r="AD7" i="2"/>
  <c r="Z17" i="15" l="1"/>
  <c r="W17" i="15"/>
  <c r="U17" i="15"/>
  <c r="C17" i="15"/>
  <c r="AE17" i="15"/>
  <c r="V17" i="15"/>
  <c r="AD17" i="15"/>
  <c r="T17" i="15"/>
  <c r="AC17" i="15"/>
  <c r="S17" i="15"/>
  <c r="AB17" i="15"/>
  <c r="Y17" i="15"/>
  <c r="AF17" i="15"/>
  <c r="X17" i="15"/>
  <c r="B12" i="10"/>
  <c r="B20" i="10" s="1"/>
  <c r="B6" i="10"/>
  <c r="L12" i="10"/>
  <c r="B5" i="10"/>
  <c r="M12" i="10"/>
  <c r="K12" i="10"/>
  <c r="N12" i="10"/>
  <c r="O12" i="10"/>
  <c r="P12" i="10"/>
  <c r="B19" i="10" l="1"/>
  <c r="B18" i="10"/>
  <c r="B21" i="10" l="1"/>
</calcChain>
</file>

<file path=xl/sharedStrings.xml><?xml version="1.0" encoding="utf-8"?>
<sst xmlns="http://schemas.openxmlformats.org/spreadsheetml/2006/main" count="1063" uniqueCount="129">
  <si>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</si>
  <si>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</si>
  <si>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</si>
  <si>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</si>
  <si>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</si>
  <si>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</si>
  <si>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</si>
  <si>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</si>
  <si>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</si>
  <si>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</si>
  <si>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</si>
  <si>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</si>
  <si>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</si>
  <si>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</si>
  <si>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</si>
  <si>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</si>
  <si>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</si>
  <si>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</si>
  <si>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</si>
  <si>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</si>
  <si>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</si>
  <si>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</si>
  <si>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</si>
  <si>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</si>
  <si>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</si>
  <si>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</si>
  <si>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</si>
  <si>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</si>
  <si>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</si>
  <si>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</si>
  <si>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</si>
  <si>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</si>
  <si>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</si>
  <si>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</si>
  <si>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</si>
  <si>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</si>
  <si>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</si>
  <si>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</si>
  <si>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</si>
  <si>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</si>
  <si>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</si>
  <si>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</si>
  <si>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</si>
  <si>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</si>
  <si>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</si>
  <si>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</si>
  <si>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</si>
  <si>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</si>
  <si>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</si>
  <si>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</si>
  <si>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</si>
  <si>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</si>
  <si>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</si>
  <si>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</si>
  <si>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</si>
  <si>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</si>
  <si>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</si>
  <si>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</si>
  <si>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</si>
  <si>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</si>
  <si>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</si>
  <si>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</si>
  <si>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</si>
  <si>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</si>
  <si>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</si>
  <si>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</si>
  <si>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</si>
  <si>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</si>
  <si>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</si>
  <si>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</si>
  <si>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</si>
  <si>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</si>
  <si>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</si>
  <si>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</si>
  <si>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</si>
  <si>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</si>
  <si>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</si>
  <si>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</si>
  <si>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</si>
  <si>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</si>
  <si>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</si>
  <si>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</si>
  <si>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</si>
  <si>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</si>
  <si>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</si>
  <si>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</si>
  <si>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</si>
  <si>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</si>
  <si>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</si>
  <si>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</si>
  <si>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</si>
  <si>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</si>
  <si>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</si>
  <si>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</si>
  <si>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</si>
  <si>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</si>
  <si>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</si>
  <si>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</si>
  <si>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</si>
  <si>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</si>
  <si>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</si>
  <si>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</si>
  <si>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</si>
  <si>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</si>
  <si>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</si>
  <si>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</si>
  <si>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</si>
  <si>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</si>
  <si>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</si>
  <si>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</si>
  <si>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</si>
  <si>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</si>
  <si>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</si>
  <si>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</si>
  <si>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</si>
  <si>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2025-11 월가공수량(수식검증)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</si>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</sst>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0" xfId="3" applyBorder="1">
      <alignment vertical="center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2" fillId="4" borderId="0" xfId="1" applyFill="1" applyBorder="1">
      <alignment vertical="center"/>
    </xf>
    <xf numFmtId="0" fontId="7" fillId="4" borderId="0" xfId="2" applyFill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</cellXfs>
  <cellStyles count="4">
    <cellStyle name="경고문" xfId="3" builtinId="11"/>
    <cellStyle name="계산" xfId="2" builtinId="22"/>
    <cellStyle name="설명 텍스트" xfId="1" builtinId="53"/>
    <cellStyle name="표준" xfId="0" builtinId="0"/>
  </cellStyles>
  <dxfs count="189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12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249977111117893"/>
  </sheetPr>
  <dimension ref="A1:AQ23"/>
  <sheetViews>
    <sheetView topLeftCell="M1" zoomScale="55" zoomScaleNormal="55" workbookViewId="0">
      <selection activeCell="C18" sqref="C18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50" t="s">
        <v>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</row>
    <row r="2" spans="1:43" x14ac:dyDescent="0.45">
      <c r="A2" s="55" t="s">
        <v>11</v>
      </c>
      <c r="B2" s="56" t="s">
        <v>92</v>
      </c>
      <c r="C2" s="57"/>
      <c r="D2" s="57"/>
      <c r="E2" s="57"/>
      <c r="F2" s="58"/>
      <c r="G2" s="55" t="s">
        <v>111</v>
      </c>
      <c r="H2" s="55"/>
      <c r="I2" s="55"/>
      <c r="J2" s="55"/>
      <c r="K2" s="55"/>
      <c r="L2" s="55"/>
      <c r="M2" s="55"/>
      <c r="N2" s="55"/>
      <c r="O2" s="55"/>
      <c r="P2" s="55"/>
      <c r="Q2" s="56" t="s">
        <v>26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  <c r="AG2" s="56" t="s">
        <v>10</v>
      </c>
      <c r="AH2" s="58"/>
    </row>
    <row r="3" spans="1:43" x14ac:dyDescent="0.45">
      <c r="A3" s="55"/>
      <c r="B3" s="62"/>
      <c r="C3" s="65"/>
      <c r="D3" s="65"/>
      <c r="E3" s="65"/>
      <c r="F3" s="63"/>
      <c r="G3" s="55"/>
      <c r="H3" s="55"/>
      <c r="I3" s="55"/>
      <c r="J3" s="55"/>
      <c r="K3" s="55"/>
      <c r="L3" s="55"/>
      <c r="M3" s="55"/>
      <c r="N3" s="55"/>
      <c r="O3" s="55"/>
      <c r="P3" s="55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62"/>
      <c r="AH3" s="63"/>
    </row>
    <row r="4" spans="1:43" x14ac:dyDescent="0.45">
      <c r="A4" s="55"/>
      <c r="B4" s="62"/>
      <c r="C4" s="65"/>
      <c r="D4" s="65"/>
      <c r="E4" s="65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23"/>
      <c r="R4" s="53" t="s">
        <v>33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4"/>
      <c r="AE4" s="12" t="s">
        <v>34</v>
      </c>
      <c r="AF4" s="12" t="s">
        <v>35</v>
      </c>
      <c r="AG4" s="62"/>
      <c r="AH4" s="63"/>
    </row>
    <row r="5" spans="1:43" x14ac:dyDescent="0.45">
      <c r="A5" s="55"/>
      <c r="B5" s="59"/>
      <c r="C5" s="60"/>
      <c r="D5" s="60"/>
      <c r="E5" s="60"/>
      <c r="F5" s="61"/>
      <c r="G5" s="64" t="s">
        <v>36</v>
      </c>
      <c r="H5" s="64"/>
      <c r="I5" s="64"/>
      <c r="J5" s="64"/>
      <c r="K5" s="43"/>
      <c r="L5" s="59" t="s">
        <v>94</v>
      </c>
      <c r="M5" s="60"/>
      <c r="N5" s="60"/>
      <c r="O5" s="61"/>
      <c r="P5" s="44" t="s">
        <v>93</v>
      </c>
      <c r="Q5" s="21" t="s">
        <v>30</v>
      </c>
      <c r="R5" s="52" t="s">
        <v>44</v>
      </c>
      <c r="S5" s="53"/>
      <c r="T5" s="53"/>
      <c r="U5" s="54"/>
      <c r="V5" s="52" t="s">
        <v>20</v>
      </c>
      <c r="W5" s="53"/>
      <c r="X5" s="53"/>
      <c r="Y5" s="54"/>
      <c r="Z5" s="55" t="s">
        <v>122</v>
      </c>
      <c r="AA5" s="55"/>
      <c r="AB5" s="55"/>
      <c r="AC5" s="55"/>
      <c r="AD5" s="55"/>
      <c r="AE5" s="14"/>
      <c r="AF5" s="12"/>
      <c r="AG5" s="62"/>
      <c r="AH5" s="63"/>
    </row>
    <row r="6" spans="1:43" x14ac:dyDescent="0.45">
      <c r="A6" s="22" t="s">
        <v>27</v>
      </c>
      <c r="B6" s="22" t="s">
        <v>3</v>
      </c>
      <c r="C6" s="42" t="s">
        <v>31</v>
      </c>
      <c r="D6" s="42" t="s">
        <v>21</v>
      </c>
      <c r="E6" s="42" t="s">
        <v>124</v>
      </c>
      <c r="F6" s="42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2" t="s">
        <v>25</v>
      </c>
      <c r="R6" s="22" t="s">
        <v>4</v>
      </c>
      <c r="S6" s="22" t="s">
        <v>13</v>
      </c>
      <c r="T6" s="22" t="s">
        <v>14</v>
      </c>
      <c r="U6" s="22" t="s">
        <v>5</v>
      </c>
      <c r="V6" s="22" t="s">
        <v>4</v>
      </c>
      <c r="W6" s="22" t="s">
        <v>13</v>
      </c>
      <c r="X6" s="22" t="s">
        <v>14</v>
      </c>
      <c r="Y6" s="22" t="s">
        <v>5</v>
      </c>
      <c r="Z6" s="22" t="s">
        <v>4</v>
      </c>
      <c r="AA6" s="22" t="s">
        <v>13</v>
      </c>
      <c r="AB6" s="22" t="s">
        <v>14</v>
      </c>
      <c r="AC6" s="22" t="s">
        <v>5</v>
      </c>
      <c r="AD6" s="22" t="s">
        <v>39</v>
      </c>
      <c r="AE6" s="15" t="s">
        <v>37</v>
      </c>
      <c r="AF6" s="13" t="s">
        <v>38</v>
      </c>
      <c r="AG6" s="59"/>
      <c r="AH6" s="61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4" si="0">IF(B7="","",
  IF(MOD($B7,1)=0,
    "Dimensions: L W H",
    "-"
  )
)</f>
        <v>Dimensions: L W H</v>
      </c>
      <c r="D7" s="7" t="str">
        <f t="shared" ref="D7:D14" si="1">IF(E7="","",
  IF(MOD($B7,1)=0,
    "완료",
    "-"
  )
)</f>
        <v>완료</v>
      </c>
      <c r="E7" s="1">
        <v>21</v>
      </c>
      <c r="F7" s="3"/>
      <c r="G7" s="1" t="s">
        <v>40</v>
      </c>
      <c r="H7" s="1" t="s">
        <v>17</v>
      </c>
      <c r="I7" s="1" t="s">
        <v>17</v>
      </c>
      <c r="J7" s="1" t="s">
        <v>40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4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25">
        <v>2</v>
      </c>
      <c r="C8" s="8" t="str">
        <f t="shared" si="0"/>
        <v>Dimensions: L W H</v>
      </c>
      <c r="D8" s="7" t="str">
        <f t="shared" si="1"/>
        <v>완료</v>
      </c>
      <c r="E8" s="1">
        <v>21</v>
      </c>
      <c r="F8" s="3"/>
      <c r="G8" s="1" t="s">
        <v>40</v>
      </c>
      <c r="H8" s="1" t="s">
        <v>17</v>
      </c>
      <c r="I8" s="1" t="s">
        <v>17</v>
      </c>
      <c r="J8" s="1" t="s">
        <v>40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3" si="5"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25">
        <v>3</v>
      </c>
      <c r="C9" s="8" t="str">
        <f t="shared" si="0"/>
        <v>Dimensions: L W H</v>
      </c>
      <c r="D9" s="7" t="str">
        <f t="shared" si="1"/>
        <v>완료</v>
      </c>
      <c r="E9" s="1">
        <v>21</v>
      </c>
      <c r="F9" s="3"/>
      <c r="G9" s="1" t="s">
        <v>40</v>
      </c>
      <c r="H9" s="1" t="s">
        <v>17</v>
      </c>
      <c r="I9" s="1" t="s">
        <v>17</v>
      </c>
      <c r="J9" s="1" t="s">
        <v>40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5"/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25"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1" t="s">
        <v>40</v>
      </c>
      <c r="H10" s="1" t="s">
        <v>17</v>
      </c>
      <c r="I10" s="1" t="s">
        <v>17</v>
      </c>
      <c r="J10" s="1" t="s">
        <v>40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5"/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25">
        <v>5</v>
      </c>
      <c r="C11" s="8" t="str">
        <f t="shared" si="0"/>
        <v>Dimensions: L W H</v>
      </c>
      <c r="D11" s="7" t="str">
        <f t="shared" si="1"/>
        <v>완료</v>
      </c>
      <c r="E11" s="1">
        <v>23</v>
      </c>
      <c r="F11" s="3"/>
      <c r="G11" s="28">
        <v>0</v>
      </c>
      <c r="H11" s="1" t="s">
        <v>17</v>
      </c>
      <c r="I11" s="1" t="s">
        <v>17</v>
      </c>
      <c r="J11" s="28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125</v>
      </c>
      <c r="S11" s="8" t="s">
        <v>125</v>
      </c>
      <c r="T11" s="8" t="s">
        <v>125</v>
      </c>
      <c r="U11" s="8" t="s">
        <v>125</v>
      </c>
      <c r="V11" s="8" t="s">
        <v>59</v>
      </c>
      <c r="W11" s="8" t="s">
        <v>60</v>
      </c>
      <c r="X11" s="8" t="s">
        <v>61</v>
      </c>
      <c r="Y11" s="8" t="s">
        <v>62</v>
      </c>
      <c r="Z11" s="8" t="s">
        <v>63</v>
      </c>
      <c r="AA11" s="8" t="s">
        <v>64</v>
      </c>
      <c r="AB11" s="8" t="s">
        <v>65</v>
      </c>
      <c r="AC11" s="8" t="s">
        <v>66</v>
      </c>
      <c r="AD11" s="8" t="s">
        <v>125</v>
      </c>
      <c r="AE11" s="8" t="str">
        <f t="shared" si="4"/>
        <v>-</v>
      </c>
      <c r="AF11" s="8" t="str">
        <f t="shared" si="5"/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25">
        <v>6</v>
      </c>
      <c r="C12" s="8" t="str">
        <f t="shared" si="0"/>
        <v>Dimensions: L W H</v>
      </c>
      <c r="D12" s="7" t="str">
        <f t="shared" si="1"/>
        <v>완료</v>
      </c>
      <c r="E12" s="1">
        <v>21</v>
      </c>
      <c r="F12" s="3"/>
      <c r="G12" s="28">
        <v>1</v>
      </c>
      <c r="H12" s="1" t="s">
        <v>17</v>
      </c>
      <c r="I12" s="1" t="s">
        <v>17</v>
      </c>
      <c r="J12" s="28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 t="shared" ref="R12:U14" si="6">IF(MOD($B12,5)=0, "스핀들유격: ","-" )</f>
        <v>-</v>
      </c>
      <c r="S12" s="8" t="str">
        <f t="shared" si="6"/>
        <v>-</v>
      </c>
      <c r="T12" s="8" t="str">
        <f t="shared" si="6"/>
        <v>-</v>
      </c>
      <c r="U12" s="8" t="str">
        <f t="shared" si="6"/>
        <v>-</v>
      </c>
      <c r="V12" s="8" t="str">
        <f t="shared" ref="V12:AC14" si="7">IF(MOD($B12,5)=0, "000-000","-" )</f>
        <v>-</v>
      </c>
      <c r="W12" s="8" t="str">
        <f t="shared" si="7"/>
        <v>-</v>
      </c>
      <c r="X12" s="8" t="str">
        <f t="shared" si="7"/>
        <v>-</v>
      </c>
      <c r="Y12" s="8" t="str">
        <f t="shared" si="7"/>
        <v>-</v>
      </c>
      <c r="Z12" s="8" t="str">
        <f t="shared" si="7"/>
        <v>-</v>
      </c>
      <c r="AA12" s="8" t="str">
        <f t="shared" si="7"/>
        <v>-</v>
      </c>
      <c r="AB12" s="8" t="str">
        <f t="shared" si="7"/>
        <v>-</v>
      </c>
      <c r="AC12" s="8" t="str">
        <f t="shared" si="7"/>
        <v>-</v>
      </c>
      <c r="AD12" s="8" t="str">
        <f>IF(MOD($B12,5)=0, "스핀들소음 :","-" )</f>
        <v>-</v>
      </c>
      <c r="AE12" s="8" t="str">
        <f t="shared" si="4"/>
        <v>-</v>
      </c>
      <c r="AF12" s="8" t="str">
        <f t="shared" si="5"/>
        <v>-</v>
      </c>
      <c r="AG12" s="46" t="s">
        <v>99</v>
      </c>
      <c r="AH12" s="1" t="s">
        <v>17</v>
      </c>
    </row>
    <row r="13" spans="1:43" x14ac:dyDescent="0.45">
      <c r="A13" s="4">
        <v>45972</v>
      </c>
      <c r="B13" s="25">
        <v>7</v>
      </c>
      <c r="C13" s="8" t="str">
        <f t="shared" si="0"/>
        <v>Dimensions: L W H</v>
      </c>
      <c r="D13" s="7" t="str">
        <f t="shared" si="1"/>
        <v>완료</v>
      </c>
      <c r="E13" s="1">
        <v>21</v>
      </c>
      <c r="F13" s="3"/>
      <c r="G13" s="28">
        <v>2</v>
      </c>
      <c r="H13" s="1" t="s">
        <v>17</v>
      </c>
      <c r="I13" s="1" t="s">
        <v>17</v>
      </c>
      <c r="J13" s="28">
        <v>2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 t="shared" si="6"/>
        <v>-</v>
      </c>
      <c r="S13" s="8" t="str">
        <f t="shared" si="6"/>
        <v>-</v>
      </c>
      <c r="T13" s="8" t="str">
        <f t="shared" si="6"/>
        <v>-</v>
      </c>
      <c r="U13" s="8" t="str">
        <f t="shared" si="6"/>
        <v>-</v>
      </c>
      <c r="V13" s="8" t="str">
        <f t="shared" si="7"/>
        <v>-</v>
      </c>
      <c r="W13" s="8" t="str">
        <f t="shared" si="7"/>
        <v>-</v>
      </c>
      <c r="X13" s="8" t="str">
        <f t="shared" si="7"/>
        <v>-</v>
      </c>
      <c r="Y13" s="8" t="str">
        <f t="shared" si="7"/>
        <v>-</v>
      </c>
      <c r="Z13" s="8" t="str">
        <f t="shared" si="7"/>
        <v>-</v>
      </c>
      <c r="AA13" s="8" t="str">
        <f t="shared" si="7"/>
        <v>-</v>
      </c>
      <c r="AB13" s="8" t="str">
        <f t="shared" si="7"/>
        <v>-</v>
      </c>
      <c r="AC13" s="8" t="str">
        <f t="shared" si="7"/>
        <v>-</v>
      </c>
      <c r="AD13" s="8" t="str">
        <f>IF(MOD($B13,5)=0, "스핀들소음 :","-" )</f>
        <v>-</v>
      </c>
      <c r="AE13" s="8" t="str">
        <f t="shared" si="4"/>
        <v>-</v>
      </c>
      <c r="AF13" s="8" t="str">
        <f t="shared" si="5"/>
        <v>-</v>
      </c>
      <c r="AG13" s="47" t="s">
        <v>99</v>
      </c>
      <c r="AH13" s="1" t="s">
        <v>17</v>
      </c>
    </row>
    <row r="14" spans="1:43" x14ac:dyDescent="0.45">
      <c r="A14" s="4">
        <v>45973</v>
      </c>
      <c r="B14" s="25">
        <v>8</v>
      </c>
      <c r="C14" s="8" t="str">
        <f t="shared" si="0"/>
        <v>Dimensions: L W H</v>
      </c>
      <c r="D14" s="7" t="str">
        <f t="shared" si="1"/>
        <v>완료</v>
      </c>
      <c r="E14" s="1">
        <v>23</v>
      </c>
      <c r="F14" s="3"/>
      <c r="G14" s="28">
        <v>3</v>
      </c>
      <c r="H14" s="1" t="s">
        <v>17</v>
      </c>
      <c r="I14" s="1" t="s">
        <v>17</v>
      </c>
      <c r="J14" s="28">
        <v>3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 t="shared" si="6"/>
        <v>-</v>
      </c>
      <c r="S14" s="8" t="str">
        <f t="shared" si="6"/>
        <v>-</v>
      </c>
      <c r="T14" s="8" t="str">
        <f t="shared" si="6"/>
        <v>-</v>
      </c>
      <c r="U14" s="8" t="str">
        <f t="shared" si="6"/>
        <v>-</v>
      </c>
      <c r="V14" s="8" t="str">
        <f t="shared" si="7"/>
        <v>-</v>
      </c>
      <c r="W14" s="8" t="str">
        <f t="shared" si="7"/>
        <v>-</v>
      </c>
      <c r="X14" s="8" t="str">
        <f t="shared" si="7"/>
        <v>-</v>
      </c>
      <c r="Y14" s="8" t="str">
        <f t="shared" si="7"/>
        <v>-</v>
      </c>
      <c r="Z14" s="8" t="str">
        <f t="shared" si="7"/>
        <v>-</v>
      </c>
      <c r="AA14" s="8" t="str">
        <f t="shared" si="7"/>
        <v>-</v>
      </c>
      <c r="AB14" s="8" t="str">
        <f t="shared" si="7"/>
        <v>-</v>
      </c>
      <c r="AC14" s="8" t="str">
        <f t="shared" si="7"/>
        <v>-</v>
      </c>
      <c r="AD14" s="8" t="str">
        <f>IF(MOD($B14,5)=0, "스핀들소음 :","-" )</f>
        <v>-</v>
      </c>
      <c r="AE14" s="8" t="str">
        <f t="shared" si="4"/>
        <v>-</v>
      </c>
      <c r="AF14" s="8" t="str">
        <f t="shared" ref="AF14" si="8">IF($B14="","",
  IF(MOD(B14,160)=0,
    "TENSION (XL : / ZL : / XR : / ZR : / Y : )" &amp; CHAR(10) &amp;
    "필터교체",
    "-"
  )
)</f>
        <v>-</v>
      </c>
      <c r="AG14" s="47" t="s">
        <v>99</v>
      </c>
      <c r="AH14" s="1" t="s">
        <v>17</v>
      </c>
    </row>
    <row r="15" spans="1:43" x14ac:dyDescent="0.45">
      <c r="A15" s="4">
        <v>45973</v>
      </c>
      <c r="B15" s="25">
        <v>9</v>
      </c>
      <c r="C15" s="8" t="str">
        <f t="shared" ref="C15" si="9">IF(B15="","",
  IF(MOD($B15,1)=0,
    "Dimensions: L W H",
    "-"
  )
)</f>
        <v>Dimensions: L W H</v>
      </c>
      <c r="D15" s="7" t="str">
        <f>IF(D14="완료","진행중","")</f>
        <v>진행중</v>
      </c>
      <c r="E15" s="1">
        <v>23</v>
      </c>
      <c r="F15" s="3"/>
      <c r="G15" s="28">
        <v>4</v>
      </c>
      <c r="H15" s="1" t="s">
        <v>17</v>
      </c>
      <c r="I15" s="1" t="s">
        <v>17</v>
      </c>
      <c r="J15" s="28">
        <v>3</v>
      </c>
      <c r="K15" s="1"/>
      <c r="L15" s="1"/>
      <c r="M15" s="1"/>
      <c r="N15" s="1"/>
      <c r="O15" s="1"/>
      <c r="P15" s="1"/>
      <c r="Q15" s="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"/>
      <c r="AH15" s="2"/>
    </row>
    <row r="16" spans="1:43" x14ac:dyDescent="0.45">
      <c r="A16" s="4"/>
      <c r="B16" s="25"/>
      <c r="C16" s="8"/>
      <c r="D16" s="7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"/>
      <c r="AH16" s="2"/>
    </row>
    <row r="17" spans="1:34" x14ac:dyDescent="0.45">
      <c r="A17" s="4"/>
      <c r="B17" s="25"/>
      <c r="C17" s="8"/>
      <c r="D17" s="7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18" spans="1:34" x14ac:dyDescent="0.45">
      <c r="A18" s="4"/>
      <c r="B18" s="25"/>
      <c r="C18" s="8"/>
      <c r="D18" s="7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4"/>
      <c r="B19" s="25"/>
      <c r="C19" s="8"/>
      <c r="D19" s="7"/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4"/>
      <c r="B20" s="25"/>
      <c r="C20" s="8"/>
      <c r="D20" s="7"/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A21" s="4"/>
      <c r="B21" s="25"/>
      <c r="C21" s="8"/>
      <c r="D21" s="7"/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"/>
      <c r="AH21" s="2"/>
    </row>
    <row r="22" spans="1:34" x14ac:dyDescent="0.45">
      <c r="A22" s="4"/>
      <c r="B22" s="25"/>
      <c r="C22" s="8"/>
      <c r="D22" s="7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"/>
      <c r="AH22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D7:D9">
    <cfRule type="containsText" dxfId="188" priority="29" operator="containsText" text="완료">
      <formula>NOT(ISERROR(SEARCH("완료",D7)))</formula>
    </cfRule>
    <cfRule type="containsText" dxfId="187" priority="30" operator="containsText" text="중단">
      <formula>NOT(ISERROR(SEARCH("중단",D7)))</formula>
    </cfRule>
  </conditionalFormatting>
  <conditionalFormatting sqref="I7:I9 G7:G9">
    <cfRule type="containsText" dxfId="186" priority="27" operator="containsText" text="신품">
      <formula>NOT(ISERROR(SEARCH("신품",G7)))</formula>
    </cfRule>
    <cfRule type="containsText" dxfId="185" priority="28" operator="containsText" text="중고">
      <formula>NOT(ISERROR(SEARCH("중고",G7)))</formula>
    </cfRule>
  </conditionalFormatting>
  <conditionalFormatting sqref="J7:J9">
    <cfRule type="containsText" dxfId="184" priority="25" operator="containsText" text="신품">
      <formula>NOT(ISERROR(SEARCH("신품",J7)))</formula>
    </cfRule>
    <cfRule type="containsText" dxfId="183" priority="26" operator="containsText" text="중고">
      <formula>NOT(ISERROR(SEARCH("중고",J7)))</formula>
    </cfRule>
  </conditionalFormatting>
  <conditionalFormatting sqref="D10">
    <cfRule type="containsText" dxfId="182" priority="23" operator="containsText" text="완료">
      <formula>NOT(ISERROR(SEARCH("완료",D10)))</formula>
    </cfRule>
    <cfRule type="containsText" dxfId="181" priority="24" operator="containsText" text="중단">
      <formula>NOT(ISERROR(SEARCH("중단",D10)))</formula>
    </cfRule>
  </conditionalFormatting>
  <conditionalFormatting sqref="I10 G10">
    <cfRule type="containsText" dxfId="180" priority="21" operator="containsText" text="신품">
      <formula>NOT(ISERROR(SEARCH("신품",G10)))</formula>
    </cfRule>
    <cfRule type="containsText" dxfId="179" priority="22" operator="containsText" text="중고">
      <formula>NOT(ISERROR(SEARCH("중고",G10)))</formula>
    </cfRule>
  </conditionalFormatting>
  <conditionalFormatting sqref="J10">
    <cfRule type="containsText" dxfId="178" priority="19" operator="containsText" text="신품">
      <formula>NOT(ISERROR(SEARCH("신품",J10)))</formula>
    </cfRule>
    <cfRule type="containsText" dxfId="177" priority="20" operator="containsText" text="중고">
      <formula>NOT(ISERROR(SEARCH("중고",J10)))</formula>
    </cfRule>
  </conditionalFormatting>
  <conditionalFormatting sqref="D11:D14">
    <cfRule type="containsText" dxfId="176" priority="17" operator="containsText" text="완료">
      <formula>NOT(ISERROR(SEARCH("완료",D11)))</formula>
    </cfRule>
    <cfRule type="containsText" dxfId="175" priority="18" operator="containsText" text="중단">
      <formula>NOT(ISERROR(SEARCH("중단",D11)))</formula>
    </cfRule>
  </conditionalFormatting>
  <conditionalFormatting sqref="G11 I11 G13:G15">
    <cfRule type="containsText" dxfId="174" priority="15" operator="containsText" text="신품">
      <formula>NOT(ISERROR(SEARCH("신품",G11)))</formula>
    </cfRule>
    <cfRule type="containsText" dxfId="173" priority="16" operator="containsText" text="중고">
      <formula>NOT(ISERROR(SEARCH("중고",G11)))</formula>
    </cfRule>
  </conditionalFormatting>
  <conditionalFormatting sqref="J11 J13:J15">
    <cfRule type="containsText" dxfId="172" priority="13" operator="containsText" text="신품">
      <formula>NOT(ISERROR(SEARCH("신품",J11)))</formula>
    </cfRule>
    <cfRule type="containsText" dxfId="171" priority="14" operator="containsText" text="중고">
      <formula>NOT(ISERROR(SEARCH("중고",J11)))</formula>
    </cfRule>
  </conditionalFormatting>
  <conditionalFormatting sqref="D12:D14 D16:D22">
    <cfRule type="containsText" dxfId="170" priority="11" operator="containsText" text="완료">
      <formula>NOT(ISERROR(SEARCH("완료",D12)))</formula>
    </cfRule>
    <cfRule type="containsText" dxfId="169" priority="12" operator="containsText" text="중단">
      <formula>NOT(ISERROR(SEARCH("중단",D12)))</formula>
    </cfRule>
  </conditionalFormatting>
  <conditionalFormatting sqref="G12 G16:G22 I12:I22">
    <cfRule type="containsText" dxfId="168" priority="9" operator="containsText" text="신품">
      <formula>NOT(ISERROR(SEARCH("신품",G12)))</formula>
    </cfRule>
    <cfRule type="containsText" dxfId="167" priority="10" operator="containsText" text="중고">
      <formula>NOT(ISERROR(SEARCH("중고",G12)))</formula>
    </cfRule>
  </conditionalFormatting>
  <conditionalFormatting sqref="J12 J16:J22">
    <cfRule type="containsText" dxfId="166" priority="7" operator="containsText" text="신품">
      <formula>NOT(ISERROR(SEARCH("신품",J12)))</formula>
    </cfRule>
    <cfRule type="containsText" dxfId="165" priority="8" operator="containsText" text="중고">
      <formula>NOT(ISERROR(SEARCH("중고",J12)))</formula>
    </cfRule>
  </conditionalFormatting>
  <conditionalFormatting sqref="D7:D14 D16:D23">
    <cfRule type="containsText" dxfId="164" priority="6" operator="containsText" text="진행중">
      <formula>NOT(ISERROR(SEARCH("진행중",D7)))</formula>
    </cfRule>
  </conditionalFormatting>
  <conditionalFormatting sqref="D15">
    <cfRule type="containsText" dxfId="9" priority="4" operator="containsText" text="완료">
      <formula>NOT(ISERROR(SEARCH("완료",D15)))</formula>
    </cfRule>
    <cfRule type="containsText" dxfId="8" priority="5" operator="containsText" text="중단">
      <formula>NOT(ISERROR(SEARCH("중단",D15)))</formula>
    </cfRule>
  </conditionalFormatting>
  <conditionalFormatting sqref="D15">
    <cfRule type="containsText" dxfId="7" priority="2" operator="containsText" text="완료">
      <formula>NOT(ISERROR(SEARCH("완료",D15)))</formula>
    </cfRule>
    <cfRule type="containsText" dxfId="6" priority="3" operator="containsText" text="중단">
      <formula>NOT(ISERROR(SEARCH("중단",D15)))</formula>
    </cfRule>
  </conditionalFormatting>
  <conditionalFormatting sqref="D15">
    <cfRule type="containsText" dxfId="5" priority="1" operator="containsText" text="진행중">
      <formula>NOT(ISERROR(SEARCH("진행중",D15)))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249977111117893"/>
  </sheetPr>
  <dimension ref="A1:AQ23"/>
  <sheetViews>
    <sheetView zoomScale="55" zoomScaleNormal="55" workbookViewId="0">
      <selection activeCell="C18" sqref="C18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50" t="s">
        <v>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</row>
    <row r="2" spans="1:43" x14ac:dyDescent="0.45">
      <c r="A2" s="55" t="s">
        <v>11</v>
      </c>
      <c r="B2" s="56" t="s">
        <v>92</v>
      </c>
      <c r="C2" s="57"/>
      <c r="D2" s="57"/>
      <c r="E2" s="57"/>
      <c r="F2" s="58"/>
      <c r="G2" s="55" t="s">
        <v>111</v>
      </c>
      <c r="H2" s="55"/>
      <c r="I2" s="55"/>
      <c r="J2" s="55"/>
      <c r="K2" s="55"/>
      <c r="L2" s="55"/>
      <c r="M2" s="55"/>
      <c r="N2" s="55"/>
      <c r="O2" s="55"/>
      <c r="P2" s="55"/>
      <c r="Q2" s="56" t="s">
        <v>26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  <c r="AG2" s="56" t="s">
        <v>10</v>
      </c>
      <c r="AH2" s="58"/>
    </row>
    <row r="3" spans="1:43" x14ac:dyDescent="0.45">
      <c r="A3" s="55"/>
      <c r="B3" s="62"/>
      <c r="C3" s="65"/>
      <c r="D3" s="65"/>
      <c r="E3" s="65"/>
      <c r="F3" s="63"/>
      <c r="G3" s="55"/>
      <c r="H3" s="55"/>
      <c r="I3" s="55"/>
      <c r="J3" s="55"/>
      <c r="K3" s="55"/>
      <c r="L3" s="55"/>
      <c r="M3" s="55"/>
      <c r="N3" s="55"/>
      <c r="O3" s="55"/>
      <c r="P3" s="55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62"/>
      <c r="AH3" s="63"/>
    </row>
    <row r="4" spans="1:43" x14ac:dyDescent="0.45">
      <c r="A4" s="55"/>
      <c r="B4" s="62"/>
      <c r="C4" s="65"/>
      <c r="D4" s="65"/>
      <c r="E4" s="65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23"/>
      <c r="R4" s="53" t="s">
        <v>33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4"/>
      <c r="AE4" s="12" t="s">
        <v>34</v>
      </c>
      <c r="AF4" s="12" t="s">
        <v>35</v>
      </c>
      <c r="AG4" s="62"/>
      <c r="AH4" s="63"/>
    </row>
    <row r="5" spans="1:43" x14ac:dyDescent="0.45">
      <c r="A5" s="55"/>
      <c r="B5" s="59"/>
      <c r="C5" s="60"/>
      <c r="D5" s="60"/>
      <c r="E5" s="60"/>
      <c r="F5" s="61"/>
      <c r="G5" s="64" t="s">
        <v>36</v>
      </c>
      <c r="H5" s="64"/>
      <c r="I5" s="64"/>
      <c r="J5" s="64"/>
      <c r="K5" s="43"/>
      <c r="L5" s="59" t="s">
        <v>94</v>
      </c>
      <c r="M5" s="60"/>
      <c r="N5" s="60"/>
      <c r="O5" s="61"/>
      <c r="P5" s="44" t="s">
        <v>93</v>
      </c>
      <c r="Q5" s="21" t="s">
        <v>30</v>
      </c>
      <c r="R5" s="52" t="s">
        <v>44</v>
      </c>
      <c r="S5" s="53"/>
      <c r="T5" s="53"/>
      <c r="U5" s="54"/>
      <c r="V5" s="52" t="s">
        <v>20</v>
      </c>
      <c r="W5" s="53"/>
      <c r="X5" s="53"/>
      <c r="Y5" s="54"/>
      <c r="Z5" s="66" t="s">
        <v>123</v>
      </c>
      <c r="AA5" s="55"/>
      <c r="AB5" s="55"/>
      <c r="AC5" s="55"/>
      <c r="AD5" s="55"/>
      <c r="AE5" s="14"/>
      <c r="AF5" s="12"/>
      <c r="AG5" s="62"/>
      <c r="AH5" s="63"/>
    </row>
    <row r="6" spans="1:43" x14ac:dyDescent="0.45">
      <c r="A6" s="22" t="s">
        <v>27</v>
      </c>
      <c r="B6" s="22" t="s">
        <v>3</v>
      </c>
      <c r="C6" s="42" t="s">
        <v>31</v>
      </c>
      <c r="D6" s="42" t="s">
        <v>21</v>
      </c>
      <c r="E6" s="42" t="s">
        <v>124</v>
      </c>
      <c r="F6" s="42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2" t="s">
        <v>25</v>
      </c>
      <c r="R6" s="22" t="s">
        <v>4</v>
      </c>
      <c r="S6" s="22" t="s">
        <v>13</v>
      </c>
      <c r="T6" s="22" t="s">
        <v>14</v>
      </c>
      <c r="U6" s="22" t="s">
        <v>5</v>
      </c>
      <c r="V6" s="22" t="s">
        <v>4</v>
      </c>
      <c r="W6" s="22" t="s">
        <v>13</v>
      </c>
      <c r="X6" s="22" t="s">
        <v>14</v>
      </c>
      <c r="Y6" s="22" t="s">
        <v>5</v>
      </c>
      <c r="Z6" s="22" t="s">
        <v>4</v>
      </c>
      <c r="AA6" s="22" t="s">
        <v>13</v>
      </c>
      <c r="AB6" s="22" t="s">
        <v>14</v>
      </c>
      <c r="AC6" s="22" t="s">
        <v>5</v>
      </c>
      <c r="AD6" s="22" t="s">
        <v>39</v>
      </c>
      <c r="AE6" s="15" t="s">
        <v>37</v>
      </c>
      <c r="AF6" s="13" t="s">
        <v>38</v>
      </c>
      <c r="AG6" s="59"/>
      <c r="AH6" s="61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4" si="0">IF(B7="","",
  IF(MOD($B7,1)=0,
    "Dimensions: L W H",
    "-"
  )
)</f>
        <v>Dimensions: L W H</v>
      </c>
      <c r="D7" s="7" t="str">
        <f t="shared" ref="D7:D14" si="1">IF(E7="","",
  IF(MOD($B7,1)=0,
    "완료",
    "-"
  )
)</f>
        <v>완료</v>
      </c>
      <c r="E7" s="1">
        <v>21</v>
      </c>
      <c r="F7" s="3"/>
      <c r="G7" s="1" t="s">
        <v>40</v>
      </c>
      <c r="H7" s="1" t="s">
        <v>17</v>
      </c>
      <c r="I7" s="1" t="s">
        <v>17</v>
      </c>
      <c r="J7" s="1" t="s">
        <v>40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4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25">
        <v>2</v>
      </c>
      <c r="C8" s="8" t="str">
        <f t="shared" si="0"/>
        <v>Dimensions: L W H</v>
      </c>
      <c r="D8" s="7" t="str">
        <f t="shared" si="1"/>
        <v>완료</v>
      </c>
      <c r="E8" s="1">
        <v>21</v>
      </c>
      <c r="F8" s="3"/>
      <c r="G8" s="1" t="s">
        <v>40</v>
      </c>
      <c r="H8" s="1" t="s">
        <v>17</v>
      </c>
      <c r="I8" s="1" t="s">
        <v>17</v>
      </c>
      <c r="J8" s="1" t="s">
        <v>40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3" si="5"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25">
        <v>3</v>
      </c>
      <c r="C9" s="8" t="str">
        <f t="shared" si="0"/>
        <v>Dimensions: L W H</v>
      </c>
      <c r="D9" s="7" t="str">
        <f t="shared" si="1"/>
        <v>완료</v>
      </c>
      <c r="E9" s="1">
        <v>21</v>
      </c>
      <c r="F9" s="3"/>
      <c r="G9" s="1" t="s">
        <v>40</v>
      </c>
      <c r="H9" s="1" t="s">
        <v>17</v>
      </c>
      <c r="I9" s="1" t="s">
        <v>17</v>
      </c>
      <c r="J9" s="1" t="s">
        <v>40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5"/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25"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1" t="s">
        <v>40</v>
      </c>
      <c r="H10" s="1" t="s">
        <v>17</v>
      </c>
      <c r="I10" s="1" t="s">
        <v>17</v>
      </c>
      <c r="J10" s="1" t="s">
        <v>40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5"/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25">
        <v>5</v>
      </c>
      <c r="C11" s="8" t="str">
        <f t="shared" si="0"/>
        <v>Dimensions: L W H</v>
      </c>
      <c r="D11" s="7" t="str">
        <f t="shared" si="1"/>
        <v>완료</v>
      </c>
      <c r="E11" s="1">
        <v>23</v>
      </c>
      <c r="F11" s="3"/>
      <c r="G11" s="28">
        <v>0</v>
      </c>
      <c r="H11" s="1" t="s">
        <v>17</v>
      </c>
      <c r="I11" s="1" t="s">
        <v>17</v>
      </c>
      <c r="J11" s="28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68</v>
      </c>
      <c r="W11" s="8" t="s">
        <v>69</v>
      </c>
      <c r="X11" s="8" t="s">
        <v>70</v>
      </c>
      <c r="Y11" s="8" t="s">
        <v>71</v>
      </c>
      <c r="Z11" s="8" t="s">
        <v>72</v>
      </c>
      <c r="AA11" s="8" t="s">
        <v>73</v>
      </c>
      <c r="AB11" s="8" t="s">
        <v>74</v>
      </c>
      <c r="AC11" s="8" t="s">
        <v>75</v>
      </c>
      <c r="AD11" s="8" t="s">
        <v>67</v>
      </c>
      <c r="AE11" s="8" t="str">
        <f t="shared" si="4"/>
        <v>-</v>
      </c>
      <c r="AF11" s="8" t="str">
        <f t="shared" si="5"/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25">
        <v>6</v>
      </c>
      <c r="C12" s="8" t="str">
        <f t="shared" si="0"/>
        <v>Dimensions: L W H</v>
      </c>
      <c r="D12" s="7" t="str">
        <f t="shared" si="1"/>
        <v>완료</v>
      </c>
      <c r="E12" s="1">
        <v>21</v>
      </c>
      <c r="F12" s="3"/>
      <c r="G12" s="28">
        <v>1</v>
      </c>
      <c r="H12" s="1" t="s">
        <v>17</v>
      </c>
      <c r="I12" s="1" t="s">
        <v>17</v>
      </c>
      <c r="J12" s="28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 t="shared" ref="R12:U14" si="6">IF(MOD($B12,5)=0, "스핀들유격: ","-" )</f>
        <v>-</v>
      </c>
      <c r="S12" s="8" t="str">
        <f t="shared" si="6"/>
        <v>-</v>
      </c>
      <c r="T12" s="8" t="str">
        <f t="shared" si="6"/>
        <v>-</v>
      </c>
      <c r="U12" s="8" t="str">
        <f t="shared" si="6"/>
        <v>-</v>
      </c>
      <c r="V12" s="8" t="str">
        <f t="shared" ref="V12:AC14" si="7">IF(MOD($B12,5)=0, "000-000","-" )</f>
        <v>-</v>
      </c>
      <c r="W12" s="8" t="str">
        <f t="shared" si="7"/>
        <v>-</v>
      </c>
      <c r="X12" s="8" t="str">
        <f t="shared" si="7"/>
        <v>-</v>
      </c>
      <c r="Y12" s="8" t="str">
        <f t="shared" si="7"/>
        <v>-</v>
      </c>
      <c r="Z12" s="8" t="str">
        <f t="shared" si="7"/>
        <v>-</v>
      </c>
      <c r="AA12" s="8" t="str">
        <f t="shared" si="7"/>
        <v>-</v>
      </c>
      <c r="AB12" s="8" t="str">
        <f t="shared" si="7"/>
        <v>-</v>
      </c>
      <c r="AC12" s="8" t="str">
        <f t="shared" si="7"/>
        <v>-</v>
      </c>
      <c r="AD12" s="8" t="str">
        <f>IF(MOD($B12,5)=0, "스핀들소음 :","-" )</f>
        <v>-</v>
      </c>
      <c r="AE12" s="8" t="str">
        <f t="shared" si="4"/>
        <v>-</v>
      </c>
      <c r="AF12" s="8" t="str">
        <f t="shared" si="5"/>
        <v>-</v>
      </c>
      <c r="AG12" s="8" t="s">
        <v>99</v>
      </c>
      <c r="AH12" s="1" t="s">
        <v>17</v>
      </c>
    </row>
    <row r="13" spans="1:43" x14ac:dyDescent="0.45">
      <c r="A13" s="4">
        <v>45972</v>
      </c>
      <c r="B13" s="25">
        <v>7</v>
      </c>
      <c r="C13" s="8" t="str">
        <f t="shared" si="0"/>
        <v>Dimensions: L W H</v>
      </c>
      <c r="D13" s="7" t="str">
        <f t="shared" si="1"/>
        <v>완료</v>
      </c>
      <c r="E13" s="1">
        <v>21</v>
      </c>
      <c r="F13" s="3"/>
      <c r="G13" s="28">
        <v>2</v>
      </c>
      <c r="H13" s="1" t="s">
        <v>17</v>
      </c>
      <c r="I13" s="1" t="s">
        <v>17</v>
      </c>
      <c r="J13" s="28">
        <v>2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 t="shared" si="6"/>
        <v>-</v>
      </c>
      <c r="S13" s="8" t="str">
        <f t="shared" si="6"/>
        <v>-</v>
      </c>
      <c r="T13" s="8" t="str">
        <f t="shared" si="6"/>
        <v>-</v>
      </c>
      <c r="U13" s="8" t="str">
        <f t="shared" si="6"/>
        <v>-</v>
      </c>
      <c r="V13" s="8" t="str">
        <f t="shared" si="7"/>
        <v>-</v>
      </c>
      <c r="W13" s="8" t="str">
        <f t="shared" si="7"/>
        <v>-</v>
      </c>
      <c r="X13" s="8" t="str">
        <f t="shared" si="7"/>
        <v>-</v>
      </c>
      <c r="Y13" s="8" t="str">
        <f t="shared" si="7"/>
        <v>-</v>
      </c>
      <c r="Z13" s="8" t="str">
        <f t="shared" si="7"/>
        <v>-</v>
      </c>
      <c r="AA13" s="8" t="str">
        <f t="shared" si="7"/>
        <v>-</v>
      </c>
      <c r="AB13" s="8" t="str">
        <f t="shared" si="7"/>
        <v>-</v>
      </c>
      <c r="AC13" s="8" t="str">
        <f t="shared" si="7"/>
        <v>-</v>
      </c>
      <c r="AD13" s="8" t="str">
        <f>IF(MOD($B13,5)=0, "스핀들소음 :","-" )</f>
        <v>-</v>
      </c>
      <c r="AE13" s="8" t="str">
        <f t="shared" si="4"/>
        <v>-</v>
      </c>
      <c r="AF13" s="8" t="str">
        <f t="shared" si="5"/>
        <v>-</v>
      </c>
      <c r="AG13" s="8" t="s">
        <v>99</v>
      </c>
      <c r="AH13" s="1" t="s">
        <v>17</v>
      </c>
    </row>
    <row r="14" spans="1:43" x14ac:dyDescent="0.45">
      <c r="A14" s="4">
        <v>45973</v>
      </c>
      <c r="B14" s="25">
        <v>8</v>
      </c>
      <c r="C14" s="8" t="str">
        <f t="shared" si="0"/>
        <v>Dimensions: L W H</v>
      </c>
      <c r="D14" s="7" t="str">
        <f t="shared" si="1"/>
        <v>완료</v>
      </c>
      <c r="E14" s="1">
        <v>23</v>
      </c>
      <c r="F14" s="3"/>
      <c r="G14" s="28">
        <v>3</v>
      </c>
      <c r="H14" s="1" t="s">
        <v>17</v>
      </c>
      <c r="I14" s="1" t="s">
        <v>17</v>
      </c>
      <c r="J14" s="28">
        <v>3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 t="shared" si="6"/>
        <v>-</v>
      </c>
      <c r="S14" s="8" t="str">
        <f t="shared" si="6"/>
        <v>-</v>
      </c>
      <c r="T14" s="8" t="str">
        <f t="shared" si="6"/>
        <v>-</v>
      </c>
      <c r="U14" s="8" t="str">
        <f t="shared" si="6"/>
        <v>-</v>
      </c>
      <c r="V14" s="8" t="str">
        <f t="shared" si="7"/>
        <v>-</v>
      </c>
      <c r="W14" s="8" t="str">
        <f t="shared" si="7"/>
        <v>-</v>
      </c>
      <c r="X14" s="8" t="str">
        <f t="shared" si="7"/>
        <v>-</v>
      </c>
      <c r="Y14" s="8" t="str">
        <f t="shared" si="7"/>
        <v>-</v>
      </c>
      <c r="Z14" s="8" t="str">
        <f t="shared" si="7"/>
        <v>-</v>
      </c>
      <c r="AA14" s="8" t="str">
        <f t="shared" si="7"/>
        <v>-</v>
      </c>
      <c r="AB14" s="8" t="str">
        <f t="shared" si="7"/>
        <v>-</v>
      </c>
      <c r="AC14" s="8" t="str">
        <f t="shared" si="7"/>
        <v>-</v>
      </c>
      <c r="AD14" s="8" t="str">
        <f>IF(MOD($B14,5)=0, "스핀들소음 :","-" )</f>
        <v>-</v>
      </c>
      <c r="AE14" s="8" t="str">
        <f t="shared" si="4"/>
        <v>-</v>
      </c>
      <c r="AF14" s="8" t="str">
        <f t="shared" ref="AF14" si="8">IF($B14="","",
  IF(MOD(B14,160)=0,
    "TENSION (XL : / ZL : / XR : / ZR : / Y : )" &amp; CHAR(10) &amp;
    "필터교체",
    "-"
  )
)</f>
        <v>-</v>
      </c>
      <c r="AG14" s="8" t="s">
        <v>99</v>
      </c>
      <c r="AH14" s="1" t="s">
        <v>17</v>
      </c>
    </row>
    <row r="15" spans="1:43" x14ac:dyDescent="0.45">
      <c r="A15" s="4">
        <v>45973</v>
      </c>
      <c r="B15" s="25">
        <v>9</v>
      </c>
      <c r="C15" s="8" t="str">
        <f t="shared" ref="C15" si="9">IF(B15="","",
  IF(MOD($B15,1)=0,
    "Dimensions: L W H",
    "-"
  )
)</f>
        <v>Dimensions: L W H</v>
      </c>
      <c r="D15" s="7" t="str">
        <f>IF(D14="완료","진행중","")</f>
        <v>진행중</v>
      </c>
      <c r="E15" s="1">
        <v>23</v>
      </c>
      <c r="F15" s="3"/>
      <c r="G15" s="28">
        <v>4</v>
      </c>
      <c r="H15" s="1" t="s">
        <v>17</v>
      </c>
      <c r="I15" s="1" t="s">
        <v>17</v>
      </c>
      <c r="J15" s="28">
        <v>3</v>
      </c>
      <c r="K15" s="1"/>
      <c r="L15" s="1"/>
      <c r="M15" s="1"/>
      <c r="N15" s="1"/>
      <c r="O15" s="1"/>
      <c r="P15" s="1"/>
      <c r="Q15" s="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"/>
      <c r="AH15" s="2"/>
    </row>
    <row r="16" spans="1:43" x14ac:dyDescent="0.45">
      <c r="A16" s="4"/>
      <c r="B16" s="25"/>
      <c r="C16" s="8"/>
      <c r="D16" s="7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"/>
      <c r="AH16" s="2"/>
    </row>
    <row r="17" spans="1:34" x14ac:dyDescent="0.45">
      <c r="A17" s="4"/>
      <c r="B17" s="25"/>
      <c r="C17" s="8"/>
      <c r="D17" s="7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18" spans="1:34" x14ac:dyDescent="0.45">
      <c r="A18" s="4"/>
      <c r="B18" s="25"/>
      <c r="C18" s="8"/>
      <c r="D18" s="7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4"/>
      <c r="B19" s="25"/>
      <c r="C19" s="8"/>
      <c r="D19" s="7"/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4"/>
      <c r="B20" s="25"/>
      <c r="C20" s="8"/>
      <c r="D20" s="7"/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A21" s="4"/>
      <c r="B21" s="25"/>
      <c r="C21" s="8"/>
      <c r="D21" s="7"/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"/>
      <c r="AH21" s="2"/>
    </row>
    <row r="22" spans="1:34" x14ac:dyDescent="0.45">
      <c r="A22" s="4"/>
      <c r="B22" s="25"/>
      <c r="C22" s="8"/>
      <c r="D22" s="7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"/>
      <c r="AH22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">
    <cfRule type="containsText" dxfId="163" priority="37" operator="containsText" text="신품">
      <formula>NOT(ISERROR(SEARCH("신품",G7)))</formula>
    </cfRule>
    <cfRule type="containsText" dxfId="162" priority="38" operator="containsText" text="중고">
      <formula>NOT(ISERROR(SEARCH("중고",G7)))</formula>
    </cfRule>
  </conditionalFormatting>
  <conditionalFormatting sqref="J7:J9">
    <cfRule type="containsText" dxfId="161" priority="35" operator="containsText" text="신품">
      <formula>NOT(ISERROR(SEARCH("신품",J7)))</formula>
    </cfRule>
    <cfRule type="containsText" dxfId="160" priority="36" operator="containsText" text="중고">
      <formula>NOT(ISERROR(SEARCH("중고",J7)))</formula>
    </cfRule>
  </conditionalFormatting>
  <conditionalFormatting sqref="I10 G10">
    <cfRule type="containsText" dxfId="159" priority="31" operator="containsText" text="신품">
      <formula>NOT(ISERROR(SEARCH("신품",G10)))</formula>
    </cfRule>
    <cfRule type="containsText" dxfId="158" priority="32" operator="containsText" text="중고">
      <formula>NOT(ISERROR(SEARCH("중고",G10)))</formula>
    </cfRule>
  </conditionalFormatting>
  <conditionalFormatting sqref="J10">
    <cfRule type="containsText" dxfId="157" priority="29" operator="containsText" text="신품">
      <formula>NOT(ISERROR(SEARCH("신품",J10)))</formula>
    </cfRule>
    <cfRule type="containsText" dxfId="156" priority="30" operator="containsText" text="중고">
      <formula>NOT(ISERROR(SEARCH("중고",J10)))</formula>
    </cfRule>
  </conditionalFormatting>
  <conditionalFormatting sqref="G11 I11 G13:G15">
    <cfRule type="containsText" dxfId="155" priority="25" operator="containsText" text="신품">
      <formula>NOT(ISERROR(SEARCH("신품",G11)))</formula>
    </cfRule>
    <cfRule type="containsText" dxfId="154" priority="26" operator="containsText" text="중고">
      <formula>NOT(ISERROR(SEARCH("중고",G11)))</formula>
    </cfRule>
  </conditionalFormatting>
  <conditionalFormatting sqref="J11 J13:J15">
    <cfRule type="containsText" dxfId="153" priority="23" operator="containsText" text="신품">
      <formula>NOT(ISERROR(SEARCH("신품",J11)))</formula>
    </cfRule>
    <cfRule type="containsText" dxfId="152" priority="24" operator="containsText" text="중고">
      <formula>NOT(ISERROR(SEARCH("중고",J11)))</formula>
    </cfRule>
  </conditionalFormatting>
  <conditionalFormatting sqref="G12 G16:G22 I12:I22">
    <cfRule type="containsText" dxfId="151" priority="19" operator="containsText" text="신품">
      <formula>NOT(ISERROR(SEARCH("신품",G12)))</formula>
    </cfRule>
    <cfRule type="containsText" dxfId="150" priority="20" operator="containsText" text="중고">
      <formula>NOT(ISERROR(SEARCH("중고",G12)))</formula>
    </cfRule>
  </conditionalFormatting>
  <conditionalFormatting sqref="J12 J16:J22">
    <cfRule type="containsText" dxfId="149" priority="17" operator="containsText" text="신품">
      <formula>NOT(ISERROR(SEARCH("신품",J12)))</formula>
    </cfRule>
    <cfRule type="containsText" dxfId="148" priority="18" operator="containsText" text="중고">
      <formula>NOT(ISERROR(SEARCH("중고",J12)))</formula>
    </cfRule>
  </conditionalFormatting>
  <conditionalFormatting sqref="D7:D9">
    <cfRule type="containsText" dxfId="147" priority="13" operator="containsText" text="완료">
      <formula>NOT(ISERROR(SEARCH("완료",D7)))</formula>
    </cfRule>
    <cfRule type="containsText" dxfId="146" priority="14" operator="containsText" text="중단">
      <formula>NOT(ISERROR(SEARCH("중단",D7)))</formula>
    </cfRule>
  </conditionalFormatting>
  <conditionalFormatting sqref="D10">
    <cfRule type="containsText" dxfId="145" priority="11" operator="containsText" text="완료">
      <formula>NOT(ISERROR(SEARCH("완료",D10)))</formula>
    </cfRule>
    <cfRule type="containsText" dxfId="144" priority="12" operator="containsText" text="중단">
      <formula>NOT(ISERROR(SEARCH("중단",D10)))</formula>
    </cfRule>
  </conditionalFormatting>
  <conditionalFormatting sqref="D11:D14">
    <cfRule type="containsText" dxfId="143" priority="9" operator="containsText" text="완료">
      <formula>NOT(ISERROR(SEARCH("완료",D11)))</formula>
    </cfRule>
    <cfRule type="containsText" dxfId="142" priority="10" operator="containsText" text="중단">
      <formula>NOT(ISERROR(SEARCH("중단",D11)))</formula>
    </cfRule>
  </conditionalFormatting>
  <conditionalFormatting sqref="D12:D14 D16:D22">
    <cfRule type="containsText" dxfId="141" priority="7" operator="containsText" text="완료">
      <formula>NOT(ISERROR(SEARCH("완료",D12)))</formula>
    </cfRule>
    <cfRule type="containsText" dxfId="140" priority="8" operator="containsText" text="중단">
      <formula>NOT(ISERROR(SEARCH("중단",D12)))</formula>
    </cfRule>
  </conditionalFormatting>
  <conditionalFormatting sqref="D7:D14 D16:D23">
    <cfRule type="containsText" dxfId="139" priority="6" operator="containsText" text="진행중">
      <formula>NOT(ISERROR(SEARCH("진행중",D7)))</formula>
    </cfRule>
  </conditionalFormatting>
  <conditionalFormatting sqref="D15">
    <cfRule type="containsText" dxfId="4" priority="4" operator="containsText" text="완료">
      <formula>NOT(ISERROR(SEARCH("완료",D15)))</formula>
    </cfRule>
    <cfRule type="containsText" dxfId="3" priority="5" operator="containsText" text="중단">
      <formula>NOT(ISERROR(SEARCH("중단",D15)))</formula>
    </cfRule>
  </conditionalFormatting>
  <conditionalFormatting sqref="D15">
    <cfRule type="containsText" dxfId="2" priority="2" operator="containsText" text="완료">
      <formula>NOT(ISERROR(SEARCH("완료",D15)))</formula>
    </cfRule>
    <cfRule type="containsText" dxfId="1" priority="3" operator="containsText" text="중단">
      <formula>NOT(ISERROR(SEARCH("중단",D15)))</formula>
    </cfRule>
  </conditionalFormatting>
  <conditionalFormatting sqref="D15">
    <cfRule type="containsText" dxfId="0" priority="1" operator="containsText" text="진행중">
      <formula>NOT(ISERROR(SEARCH("진행중",D15)))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499984740745262"/>
  </sheetPr>
  <dimension ref="A1:AQ23"/>
  <sheetViews>
    <sheetView topLeftCell="L1" zoomScale="55" zoomScaleNormal="55" workbookViewId="0">
      <selection activeCell="D17" sqref="D17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7" t="s">
        <v>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43" x14ac:dyDescent="0.45">
      <c r="A2" s="55" t="s">
        <v>11</v>
      </c>
      <c r="B2" s="56" t="s">
        <v>92</v>
      </c>
      <c r="C2" s="57"/>
      <c r="D2" s="57"/>
      <c r="E2" s="57"/>
      <c r="F2" s="58"/>
      <c r="G2" s="55" t="s">
        <v>111</v>
      </c>
      <c r="H2" s="55"/>
      <c r="I2" s="55"/>
      <c r="J2" s="55"/>
      <c r="K2" s="55"/>
      <c r="L2" s="55"/>
      <c r="M2" s="55"/>
      <c r="N2" s="55"/>
      <c r="O2" s="55"/>
      <c r="P2" s="55"/>
      <c r="Q2" s="56" t="s">
        <v>26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  <c r="AG2" s="56" t="s">
        <v>10</v>
      </c>
      <c r="AH2" s="58"/>
    </row>
    <row r="3" spans="1:43" x14ac:dyDescent="0.45">
      <c r="A3" s="55"/>
      <c r="B3" s="62"/>
      <c r="C3" s="65"/>
      <c r="D3" s="65"/>
      <c r="E3" s="65"/>
      <c r="F3" s="63"/>
      <c r="G3" s="55"/>
      <c r="H3" s="55"/>
      <c r="I3" s="55"/>
      <c r="J3" s="55"/>
      <c r="K3" s="55"/>
      <c r="L3" s="55"/>
      <c r="M3" s="55"/>
      <c r="N3" s="55"/>
      <c r="O3" s="55"/>
      <c r="P3" s="55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62"/>
      <c r="AH3" s="63"/>
    </row>
    <row r="4" spans="1:43" x14ac:dyDescent="0.45">
      <c r="A4" s="55"/>
      <c r="B4" s="62"/>
      <c r="C4" s="65"/>
      <c r="D4" s="65"/>
      <c r="E4" s="65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9"/>
      <c r="R4" s="53" t="s">
        <v>33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4"/>
      <c r="AE4" s="12" t="s">
        <v>34</v>
      </c>
      <c r="AF4" s="12" t="s">
        <v>35</v>
      </c>
      <c r="AG4" s="62"/>
      <c r="AH4" s="63"/>
    </row>
    <row r="5" spans="1:43" x14ac:dyDescent="0.45">
      <c r="A5" s="55"/>
      <c r="B5" s="59"/>
      <c r="C5" s="60"/>
      <c r="D5" s="60"/>
      <c r="E5" s="60"/>
      <c r="F5" s="61"/>
      <c r="G5" s="64" t="s">
        <v>36</v>
      </c>
      <c r="H5" s="64"/>
      <c r="I5" s="64"/>
      <c r="J5" s="64"/>
      <c r="K5" s="43"/>
      <c r="L5" s="59" t="s">
        <v>94</v>
      </c>
      <c r="M5" s="60"/>
      <c r="N5" s="60"/>
      <c r="O5" s="61"/>
      <c r="P5" s="44" t="s">
        <v>93</v>
      </c>
      <c r="Q5" s="11" t="s">
        <v>30</v>
      </c>
      <c r="R5" s="52" t="s">
        <v>44</v>
      </c>
      <c r="S5" s="53"/>
      <c r="T5" s="53"/>
      <c r="U5" s="54"/>
      <c r="V5" s="52" t="s">
        <v>20</v>
      </c>
      <c r="W5" s="53"/>
      <c r="X5" s="53"/>
      <c r="Y5" s="54"/>
      <c r="Z5" s="66" t="s">
        <v>123</v>
      </c>
      <c r="AA5" s="55"/>
      <c r="AB5" s="55"/>
      <c r="AC5" s="55"/>
      <c r="AD5" s="55"/>
      <c r="AE5" s="14"/>
      <c r="AF5" s="12"/>
      <c r="AG5" s="62"/>
      <c r="AH5" s="63"/>
    </row>
    <row r="6" spans="1:43" x14ac:dyDescent="0.45">
      <c r="A6" s="22" t="s">
        <v>27</v>
      </c>
      <c r="B6" s="22" t="s">
        <v>3</v>
      </c>
      <c r="C6" s="42" t="s">
        <v>31</v>
      </c>
      <c r="D6" s="42" t="s">
        <v>21</v>
      </c>
      <c r="E6" s="42" t="s">
        <v>124</v>
      </c>
      <c r="F6" s="42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10" t="s">
        <v>25</v>
      </c>
      <c r="R6" s="10" t="s">
        <v>4</v>
      </c>
      <c r="S6" s="10" t="s">
        <v>13</v>
      </c>
      <c r="T6" s="10" t="s">
        <v>14</v>
      </c>
      <c r="U6" s="10" t="s">
        <v>5</v>
      </c>
      <c r="V6" s="10" t="s">
        <v>4</v>
      </c>
      <c r="W6" s="10" t="s">
        <v>13</v>
      </c>
      <c r="X6" s="10" t="s">
        <v>14</v>
      </c>
      <c r="Y6" s="10" t="s">
        <v>5</v>
      </c>
      <c r="Z6" s="10" t="s">
        <v>4</v>
      </c>
      <c r="AA6" s="10" t="s">
        <v>13</v>
      </c>
      <c r="AB6" s="10" t="s">
        <v>14</v>
      </c>
      <c r="AC6" s="10" t="s">
        <v>5</v>
      </c>
      <c r="AD6" s="10" t="s">
        <v>39</v>
      </c>
      <c r="AE6" s="15" t="s">
        <v>37</v>
      </c>
      <c r="AF6" s="13" t="s">
        <v>38</v>
      </c>
      <c r="AG6" s="59"/>
      <c r="AH6" s="61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7" si="0">IF(B7="","",
  IF(MOD($B7,1)=0,
    "Dimensions: L W H",
    "-"
  )
)</f>
        <v>Dimensions: L W H</v>
      </c>
      <c r="D7" s="7" t="str">
        <f t="shared" ref="D7:D16" si="1">IF(E7="","",
  IF(MOD($B7,1)=0,
    "완료",
    "-"
  )
)</f>
        <v>완료</v>
      </c>
      <c r="E7" s="1">
        <v>19</v>
      </c>
      <c r="F7" s="3"/>
      <c r="G7" s="1" t="s">
        <v>40</v>
      </c>
      <c r="H7" s="1" t="s">
        <v>17</v>
      </c>
      <c r="I7" s="1" t="s">
        <v>17</v>
      </c>
      <c r="J7" s="1" t="s">
        <v>40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1" t="s">
        <v>40</v>
      </c>
      <c r="H8" s="1" t="s">
        <v>17</v>
      </c>
      <c r="I8" s="1" t="s">
        <v>17</v>
      </c>
      <c r="J8" s="1" t="s">
        <v>40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5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v>2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1" t="s">
        <v>40</v>
      </c>
      <c r="H9" s="1" t="s">
        <v>17</v>
      </c>
      <c r="I9" s="1" t="s">
        <v>17</v>
      </c>
      <c r="J9" s="1" t="s">
        <v>40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5"/>
        <v>-</v>
      </c>
      <c r="AG9" s="1" t="s">
        <v>17</v>
      </c>
      <c r="AH9" s="2"/>
    </row>
    <row r="10" spans="1:43" x14ac:dyDescent="0.45">
      <c r="A10" s="4">
        <v>45971</v>
      </c>
      <c r="B10" s="25"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1" t="s">
        <v>40</v>
      </c>
      <c r="H10" s="1" t="s">
        <v>17</v>
      </c>
      <c r="I10" s="1" t="s">
        <v>17</v>
      </c>
      <c r="J10" s="1" t="s">
        <v>40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5"/>
        <v>-</v>
      </c>
      <c r="AG10" s="1" t="s">
        <v>17</v>
      </c>
      <c r="AH10" s="2"/>
    </row>
    <row r="11" spans="1:43" x14ac:dyDescent="0.45">
      <c r="A11" s="4">
        <v>45971</v>
      </c>
      <c r="B11" s="25"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1" t="s">
        <v>40</v>
      </c>
      <c r="H11" s="1" t="s">
        <v>17</v>
      </c>
      <c r="I11" s="1" t="s">
        <v>17</v>
      </c>
      <c r="J11" s="1" t="s">
        <v>40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76</v>
      </c>
      <c r="W11" s="8" t="s">
        <v>77</v>
      </c>
      <c r="X11" s="8" t="s">
        <v>78</v>
      </c>
      <c r="Y11" s="8" t="s">
        <v>79</v>
      </c>
      <c r="Z11" s="8" t="s">
        <v>80</v>
      </c>
      <c r="AA11" s="8" t="s">
        <v>81</v>
      </c>
      <c r="AB11" s="8" t="s">
        <v>82</v>
      </c>
      <c r="AC11" s="8" t="s">
        <v>83</v>
      </c>
      <c r="AD11" s="8" t="s">
        <v>67</v>
      </c>
      <c r="AE11" s="8" t="str">
        <f t="shared" si="4"/>
        <v>-</v>
      </c>
      <c r="AF11" s="8" t="str">
        <f t="shared" si="5"/>
        <v>-</v>
      </c>
      <c r="AG11" s="1" t="s">
        <v>17</v>
      </c>
      <c r="AH11" s="2"/>
    </row>
    <row r="12" spans="1:43" x14ac:dyDescent="0.45">
      <c r="A12" s="4">
        <v>45971</v>
      </c>
      <c r="B12" s="25"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1" t="s">
        <v>40</v>
      </c>
      <c r="H12" s="1" t="s">
        <v>17</v>
      </c>
      <c r="I12" s="1" t="s">
        <v>17</v>
      </c>
      <c r="J12" s="1" t="s">
        <v>40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 t="shared" ref="R12:U17" si="6">IF(MOD($B12,5)=0, "스핀들유격: ","-" )</f>
        <v>-</v>
      </c>
      <c r="S12" s="8" t="str">
        <f t="shared" si="6"/>
        <v>-</v>
      </c>
      <c r="T12" s="8" t="str">
        <f t="shared" si="6"/>
        <v>-</v>
      </c>
      <c r="U12" s="8" t="str">
        <f t="shared" si="6"/>
        <v>-</v>
      </c>
      <c r="V12" s="8" t="str">
        <f t="shared" ref="V12:AC17" si="7">IF(MOD($B12,5)=0, "000-000","-" )</f>
        <v>-</v>
      </c>
      <c r="W12" s="8" t="str">
        <f t="shared" si="7"/>
        <v>-</v>
      </c>
      <c r="X12" s="8" t="str">
        <f t="shared" si="7"/>
        <v>-</v>
      </c>
      <c r="Y12" s="8" t="str">
        <f t="shared" si="7"/>
        <v>-</v>
      </c>
      <c r="Z12" s="8" t="str">
        <f t="shared" si="7"/>
        <v>-</v>
      </c>
      <c r="AA12" s="8" t="str">
        <f t="shared" si="7"/>
        <v>-</v>
      </c>
      <c r="AB12" s="8" t="str">
        <f t="shared" si="7"/>
        <v>-</v>
      </c>
      <c r="AC12" s="8" t="str">
        <f t="shared" si="7"/>
        <v>-</v>
      </c>
      <c r="AD12" s="8" t="str">
        <f t="shared" ref="AD12:AD17" si="8">IF(MOD($B12,5)=0, "스핀들소음 :","-" )</f>
        <v>-</v>
      </c>
      <c r="AE12" s="8" t="str">
        <f t="shared" si="4"/>
        <v>-</v>
      </c>
      <c r="AF12" s="8" t="str">
        <f t="shared" si="5"/>
        <v>-</v>
      </c>
      <c r="AG12" s="1" t="s">
        <v>17</v>
      </c>
      <c r="AH12" s="2"/>
    </row>
    <row r="13" spans="1:43" x14ac:dyDescent="0.45">
      <c r="A13" s="4">
        <v>45972</v>
      </c>
      <c r="B13" s="25"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28">
        <v>0</v>
      </c>
      <c r="H13" s="1" t="s">
        <v>17</v>
      </c>
      <c r="I13" s="1" t="s">
        <v>17</v>
      </c>
      <c r="J13" s="28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 t="shared" si="6"/>
        <v>-</v>
      </c>
      <c r="S13" s="8" t="str">
        <f t="shared" si="6"/>
        <v>-</v>
      </c>
      <c r="T13" s="8" t="str">
        <f t="shared" si="6"/>
        <v>-</v>
      </c>
      <c r="U13" s="8" t="str">
        <f t="shared" si="6"/>
        <v>-</v>
      </c>
      <c r="V13" s="8" t="str">
        <f t="shared" si="7"/>
        <v>-</v>
      </c>
      <c r="W13" s="8" t="str">
        <f t="shared" si="7"/>
        <v>-</v>
      </c>
      <c r="X13" s="8" t="str">
        <f t="shared" si="7"/>
        <v>-</v>
      </c>
      <c r="Y13" s="8" t="str">
        <f t="shared" si="7"/>
        <v>-</v>
      </c>
      <c r="Z13" s="8" t="str">
        <f t="shared" si="7"/>
        <v>-</v>
      </c>
      <c r="AA13" s="8" t="str">
        <f t="shared" si="7"/>
        <v>-</v>
      </c>
      <c r="AB13" s="8" t="str">
        <f t="shared" si="7"/>
        <v>-</v>
      </c>
      <c r="AC13" s="8" t="str">
        <f t="shared" si="7"/>
        <v>-</v>
      </c>
      <c r="AD13" s="8" t="str">
        <f t="shared" si="8"/>
        <v>-</v>
      </c>
      <c r="AE13" s="8" t="str">
        <f t="shared" si="4"/>
        <v>-</v>
      </c>
      <c r="AF13" s="8" t="str">
        <f t="shared" si="5"/>
        <v>-</v>
      </c>
      <c r="AG13" s="1" t="s">
        <v>17</v>
      </c>
      <c r="AH13" s="2"/>
    </row>
    <row r="14" spans="1:43" x14ac:dyDescent="0.45">
      <c r="A14" s="4">
        <v>45972</v>
      </c>
      <c r="B14" s="25"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28">
        <v>1</v>
      </c>
      <c r="H14" s="1" t="s">
        <v>17</v>
      </c>
      <c r="I14" s="1" t="s">
        <v>17</v>
      </c>
      <c r="J14" s="28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 t="shared" si="6"/>
        <v>-</v>
      </c>
      <c r="S14" s="8" t="str">
        <f t="shared" si="6"/>
        <v>-</v>
      </c>
      <c r="T14" s="8" t="str">
        <f t="shared" si="6"/>
        <v>-</v>
      </c>
      <c r="U14" s="8" t="str">
        <f t="shared" si="6"/>
        <v>-</v>
      </c>
      <c r="V14" s="8" t="str">
        <f t="shared" si="7"/>
        <v>-</v>
      </c>
      <c r="W14" s="8" t="str">
        <f t="shared" si="7"/>
        <v>-</v>
      </c>
      <c r="X14" s="8" t="str">
        <f t="shared" si="7"/>
        <v>-</v>
      </c>
      <c r="Y14" s="8" t="str">
        <f t="shared" si="7"/>
        <v>-</v>
      </c>
      <c r="Z14" s="8" t="str">
        <f t="shared" si="7"/>
        <v>-</v>
      </c>
      <c r="AA14" s="8" t="str">
        <f t="shared" si="7"/>
        <v>-</v>
      </c>
      <c r="AB14" s="8" t="str">
        <f t="shared" si="7"/>
        <v>-</v>
      </c>
      <c r="AC14" s="8" t="str">
        <f t="shared" si="7"/>
        <v>-</v>
      </c>
      <c r="AD14" s="8" t="str">
        <f t="shared" si="8"/>
        <v>-</v>
      </c>
      <c r="AE14" s="8" t="str">
        <f t="shared" si="4"/>
        <v>-</v>
      </c>
      <c r="AF14" s="8" t="str">
        <f t="shared" si="5"/>
        <v>-</v>
      </c>
      <c r="AG14" s="1" t="s">
        <v>17</v>
      </c>
      <c r="AH14" s="2"/>
    </row>
    <row r="15" spans="1:43" x14ac:dyDescent="0.45">
      <c r="A15" s="4">
        <v>45972</v>
      </c>
      <c r="B15" s="25"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28">
        <v>2</v>
      </c>
      <c r="H15" s="1" t="s">
        <v>17</v>
      </c>
      <c r="I15" s="1" t="s">
        <v>17</v>
      </c>
      <c r="J15" s="28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 t="shared" si="6"/>
        <v>-</v>
      </c>
      <c r="S15" s="8" t="str">
        <f t="shared" si="6"/>
        <v>-</v>
      </c>
      <c r="T15" s="8" t="str">
        <f t="shared" si="6"/>
        <v>-</v>
      </c>
      <c r="U15" s="8" t="str">
        <f t="shared" si="6"/>
        <v>-</v>
      </c>
      <c r="V15" s="8" t="str">
        <f t="shared" si="7"/>
        <v>-</v>
      </c>
      <c r="W15" s="8" t="str">
        <f t="shared" si="7"/>
        <v>-</v>
      </c>
      <c r="X15" s="8" t="str">
        <f t="shared" si="7"/>
        <v>-</v>
      </c>
      <c r="Y15" s="8" t="str">
        <f t="shared" si="7"/>
        <v>-</v>
      </c>
      <c r="Z15" s="8" t="str">
        <f t="shared" si="7"/>
        <v>-</v>
      </c>
      <c r="AA15" s="8" t="str">
        <f t="shared" si="7"/>
        <v>-</v>
      </c>
      <c r="AB15" s="8" t="str">
        <f t="shared" si="7"/>
        <v>-</v>
      </c>
      <c r="AC15" s="8" t="str">
        <f t="shared" si="7"/>
        <v>-</v>
      </c>
      <c r="AD15" s="8" t="str">
        <f t="shared" si="8"/>
        <v>-</v>
      </c>
      <c r="AE15" s="8" t="str">
        <f t="shared" si="4"/>
        <v>-</v>
      </c>
      <c r="AF15" s="8" t="str">
        <f t="shared" si="5"/>
        <v>-</v>
      </c>
      <c r="AG15" s="1" t="s">
        <v>17</v>
      </c>
      <c r="AH15" s="2"/>
    </row>
    <row r="16" spans="1:43" x14ac:dyDescent="0.45">
      <c r="A16" s="4">
        <v>45972</v>
      </c>
      <c r="B16" s="25"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28">
        <v>3</v>
      </c>
      <c r="H16" s="1" t="s">
        <v>17</v>
      </c>
      <c r="I16" s="1" t="s">
        <v>17</v>
      </c>
      <c r="J16" s="28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 t="shared" si="6"/>
        <v xml:space="preserve">스핀들유격: </v>
      </c>
      <c r="S16" s="8" t="str">
        <f t="shared" si="6"/>
        <v xml:space="preserve">스핀들유격: </v>
      </c>
      <c r="T16" s="8" t="str">
        <f t="shared" si="6"/>
        <v xml:space="preserve">스핀들유격: </v>
      </c>
      <c r="U16" s="8" t="str">
        <f t="shared" si="6"/>
        <v xml:space="preserve">스핀들유격: </v>
      </c>
      <c r="V16" s="8" t="str">
        <f t="shared" si="7"/>
        <v>000-000</v>
      </c>
      <c r="W16" s="8" t="str">
        <f t="shared" si="7"/>
        <v>000-000</v>
      </c>
      <c r="X16" s="8" t="str">
        <f t="shared" si="7"/>
        <v>000-000</v>
      </c>
      <c r="Y16" s="8" t="str">
        <f t="shared" si="7"/>
        <v>000-000</v>
      </c>
      <c r="Z16" s="8" t="str">
        <f t="shared" si="7"/>
        <v>000-000</v>
      </c>
      <c r="AA16" s="8" t="str">
        <f t="shared" si="7"/>
        <v>000-000</v>
      </c>
      <c r="AB16" s="8" t="str">
        <f t="shared" si="7"/>
        <v>000-000</v>
      </c>
      <c r="AC16" s="8" t="str">
        <f t="shared" si="7"/>
        <v>000-000</v>
      </c>
      <c r="AD16" s="8" t="str">
        <f t="shared" si="8"/>
        <v>스핀들소음 :</v>
      </c>
      <c r="AE16" s="8" t="str">
        <f t="shared" si="4"/>
        <v>-</v>
      </c>
      <c r="AF16" s="8" t="str">
        <f t="shared" si="5"/>
        <v>-</v>
      </c>
      <c r="AG16" s="1" t="s">
        <v>17</v>
      </c>
      <c r="AH16" s="2"/>
    </row>
    <row r="17" spans="1:34" x14ac:dyDescent="0.45">
      <c r="A17" s="4">
        <v>45973</v>
      </c>
      <c r="B17" s="25">
        <v>11</v>
      </c>
      <c r="C17" s="8" t="str">
        <f t="shared" si="0"/>
        <v>Dimensions: L W H</v>
      </c>
      <c r="D17" s="7" t="str">
        <f>IF(D16="완료","진행중","")</f>
        <v>진행중</v>
      </c>
      <c r="E17" s="1">
        <v>21</v>
      </c>
      <c r="F17" s="3"/>
      <c r="G17" s="28">
        <v>4</v>
      </c>
      <c r="H17" s="1" t="s">
        <v>17</v>
      </c>
      <c r="I17" s="1" t="s">
        <v>17</v>
      </c>
      <c r="J17" s="28">
        <v>4</v>
      </c>
      <c r="K17" s="1"/>
      <c r="L17" s="1" t="s">
        <v>15</v>
      </c>
      <c r="M17" s="1" t="s">
        <v>2</v>
      </c>
      <c r="N17" s="1">
        <v>160</v>
      </c>
      <c r="O17" s="1"/>
      <c r="P17" s="1">
        <f>IF(LEN(A17)&gt;0, 종합!$C$27, "")</f>
        <v>2.2599999999999998</v>
      </c>
      <c r="Q17" s="1" t="s">
        <v>17</v>
      </c>
      <c r="R17" s="8" t="str">
        <f t="shared" si="6"/>
        <v>-</v>
      </c>
      <c r="S17" s="8" t="str">
        <f t="shared" si="6"/>
        <v>-</v>
      </c>
      <c r="T17" s="8" t="str">
        <f t="shared" si="6"/>
        <v>-</v>
      </c>
      <c r="U17" s="8" t="str">
        <f t="shared" si="6"/>
        <v>-</v>
      </c>
      <c r="V17" s="8" t="str">
        <f t="shared" si="7"/>
        <v>-</v>
      </c>
      <c r="W17" s="8" t="str">
        <f t="shared" si="7"/>
        <v>-</v>
      </c>
      <c r="X17" s="8" t="str">
        <f t="shared" si="7"/>
        <v>-</v>
      </c>
      <c r="Y17" s="8" t="str">
        <f t="shared" si="7"/>
        <v>-</v>
      </c>
      <c r="Z17" s="8" t="str">
        <f t="shared" si="7"/>
        <v>-</v>
      </c>
      <c r="AA17" s="8" t="str">
        <f t="shared" si="7"/>
        <v>-</v>
      </c>
      <c r="AB17" s="8" t="str">
        <f t="shared" si="7"/>
        <v>-</v>
      </c>
      <c r="AC17" s="8" t="str">
        <f t="shared" si="7"/>
        <v>-</v>
      </c>
      <c r="AD17" s="8" t="str">
        <f t="shared" si="8"/>
        <v>-</v>
      </c>
      <c r="AE17" s="8" t="str">
        <f t="shared" si="4"/>
        <v>-</v>
      </c>
      <c r="AF17" s="8" t="str">
        <f t="shared" ref="AF17" si="9">IF($B17="","",
  IF(MOD(B17,160)=0,
    "TENSION (XL : / ZL : / XR : / ZR : / Y : )" &amp; CHAR(10) &amp;
    "필터교체",
    "-"
  )
)</f>
        <v>-</v>
      </c>
      <c r="AG17" s="1" t="s">
        <v>17</v>
      </c>
      <c r="AH17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Z5:AD5"/>
    <mergeCell ref="R4:AD4"/>
    <mergeCell ref="G5:J5"/>
    <mergeCell ref="A2:A5"/>
    <mergeCell ref="V5:Y5"/>
    <mergeCell ref="AG2:AH6"/>
    <mergeCell ref="R5:U5"/>
    <mergeCell ref="Q2:AF3"/>
    <mergeCell ref="B2:F5"/>
    <mergeCell ref="L5:O5"/>
    <mergeCell ref="G2:P4"/>
  </mergeCells>
  <phoneticPr fontId="1" type="noConversion"/>
  <conditionalFormatting sqref="D7:D10 D14:D16">
    <cfRule type="containsText" dxfId="138" priority="44" operator="containsText" text="완료">
      <formula>NOT(ISERROR(SEARCH("완료",D7)))</formula>
    </cfRule>
    <cfRule type="containsText" dxfId="137" priority="45" operator="containsText" text="중단">
      <formula>NOT(ISERROR(SEARCH("중단",D7)))</formula>
    </cfRule>
  </conditionalFormatting>
  <conditionalFormatting sqref="I7:I10 G7:G10 G14:G15 I14:I15">
    <cfRule type="containsText" dxfId="136" priority="41" operator="containsText" text="신품">
      <formula>NOT(ISERROR(SEARCH("신품",G7)))</formula>
    </cfRule>
    <cfRule type="containsText" dxfId="135" priority="43" operator="containsText" text="중고">
      <formula>NOT(ISERROR(SEARCH("중고",G7)))</formula>
    </cfRule>
  </conditionalFormatting>
  <conditionalFormatting sqref="J7:J10 J14:J15">
    <cfRule type="containsText" dxfId="134" priority="39" operator="containsText" text="신품">
      <formula>NOT(ISERROR(SEARCH("신품",J7)))</formula>
    </cfRule>
    <cfRule type="containsText" dxfId="133" priority="40" operator="containsText" text="중고">
      <formula>NOT(ISERROR(SEARCH("중고",J7)))</formula>
    </cfRule>
  </conditionalFormatting>
  <conditionalFormatting sqref="D11">
    <cfRule type="containsText" dxfId="132" priority="35" operator="containsText" text="완료">
      <formula>NOT(ISERROR(SEARCH("완료",D11)))</formula>
    </cfRule>
    <cfRule type="containsText" dxfId="131" priority="36" operator="containsText" text="중단">
      <formula>NOT(ISERROR(SEARCH("중단",D11)))</formula>
    </cfRule>
  </conditionalFormatting>
  <conditionalFormatting sqref="I11 G11">
    <cfRule type="containsText" dxfId="130" priority="33" operator="containsText" text="신품">
      <formula>NOT(ISERROR(SEARCH("신품",G11)))</formula>
    </cfRule>
    <cfRule type="containsText" dxfId="129" priority="34" operator="containsText" text="중고">
      <formula>NOT(ISERROR(SEARCH("중고",G11)))</formula>
    </cfRule>
  </conditionalFormatting>
  <conditionalFormatting sqref="J11">
    <cfRule type="containsText" dxfId="128" priority="31" operator="containsText" text="신품">
      <formula>NOT(ISERROR(SEARCH("신품",J11)))</formula>
    </cfRule>
    <cfRule type="containsText" dxfId="127" priority="32" operator="containsText" text="중고">
      <formula>NOT(ISERROR(SEARCH("중고",J11)))</formula>
    </cfRule>
  </conditionalFormatting>
  <conditionalFormatting sqref="D12:D16">
    <cfRule type="containsText" dxfId="126" priority="29" operator="containsText" text="완료">
      <formula>NOT(ISERROR(SEARCH("완료",D12)))</formula>
    </cfRule>
    <cfRule type="containsText" dxfId="125" priority="30" operator="containsText" text="중단">
      <formula>NOT(ISERROR(SEARCH("중단",D12)))</formula>
    </cfRule>
  </conditionalFormatting>
  <conditionalFormatting sqref="I12:I15 G12:G15">
    <cfRule type="containsText" dxfId="124" priority="27" operator="containsText" text="신품">
      <formula>NOT(ISERROR(SEARCH("신품",G12)))</formula>
    </cfRule>
    <cfRule type="containsText" dxfId="123" priority="28" operator="containsText" text="중고">
      <formula>NOT(ISERROR(SEARCH("중고",G12)))</formula>
    </cfRule>
  </conditionalFormatting>
  <conditionalFormatting sqref="J12:J15">
    <cfRule type="containsText" dxfId="122" priority="25" operator="containsText" text="신품">
      <formula>NOT(ISERROR(SEARCH("신품",J12)))</formula>
    </cfRule>
    <cfRule type="containsText" dxfId="121" priority="26" operator="containsText" text="중고">
      <formula>NOT(ISERROR(SEARCH("중고",J12)))</formula>
    </cfRule>
  </conditionalFormatting>
  <conditionalFormatting sqref="D13:D16">
    <cfRule type="containsText" dxfId="120" priority="23" operator="containsText" text="완료">
      <formula>NOT(ISERROR(SEARCH("완료",D13)))</formula>
    </cfRule>
    <cfRule type="containsText" dxfId="119" priority="24" operator="containsText" text="중단">
      <formula>NOT(ISERROR(SEARCH("중단",D13)))</formula>
    </cfRule>
  </conditionalFormatting>
  <conditionalFormatting sqref="G13 I13 G15">
    <cfRule type="containsText" dxfId="118" priority="21" operator="containsText" text="신품">
      <formula>NOT(ISERROR(SEARCH("신품",G13)))</formula>
    </cfRule>
    <cfRule type="containsText" dxfId="117" priority="22" operator="containsText" text="중고">
      <formula>NOT(ISERROR(SEARCH("중고",G13)))</formula>
    </cfRule>
  </conditionalFormatting>
  <conditionalFormatting sqref="J13 J15">
    <cfRule type="containsText" dxfId="116" priority="19" operator="containsText" text="신품">
      <formula>NOT(ISERROR(SEARCH("신품",J13)))</formula>
    </cfRule>
    <cfRule type="containsText" dxfId="115" priority="20" operator="containsText" text="중고">
      <formula>NOT(ISERROR(SEARCH("중고",J13)))</formula>
    </cfRule>
  </conditionalFormatting>
  <conditionalFormatting sqref="D18:D23 D7:D16">
    <cfRule type="containsText" dxfId="114" priority="18" operator="containsText" text="진행중">
      <formula>NOT(ISERROR(SEARCH("진행중",D7)))</formula>
    </cfRule>
  </conditionalFormatting>
  <conditionalFormatting sqref="G16:G17 I16:I17">
    <cfRule type="containsText" dxfId="113" priority="16" operator="containsText" text="신품">
      <formula>NOT(ISERROR(SEARCH("신품",G16)))</formula>
    </cfRule>
    <cfRule type="containsText" dxfId="112" priority="17" operator="containsText" text="중고">
      <formula>NOT(ISERROR(SEARCH("중고",G16)))</formula>
    </cfRule>
  </conditionalFormatting>
  <conditionalFormatting sqref="J16:J17">
    <cfRule type="containsText" dxfId="111" priority="14" operator="containsText" text="신품">
      <formula>NOT(ISERROR(SEARCH("신품",J16)))</formula>
    </cfRule>
    <cfRule type="containsText" dxfId="110" priority="15" operator="containsText" text="중고">
      <formula>NOT(ISERROR(SEARCH("중고",J16)))</formula>
    </cfRule>
  </conditionalFormatting>
  <conditionalFormatting sqref="I16:I17 G16:G17">
    <cfRule type="containsText" dxfId="109" priority="12" operator="containsText" text="신품">
      <formula>NOT(ISERROR(SEARCH("신품",G16)))</formula>
    </cfRule>
    <cfRule type="containsText" dxfId="108" priority="13" operator="containsText" text="중고">
      <formula>NOT(ISERROR(SEARCH("중고",G16)))</formula>
    </cfRule>
  </conditionalFormatting>
  <conditionalFormatting sqref="J16:J17">
    <cfRule type="containsText" dxfId="107" priority="10" operator="containsText" text="신품">
      <formula>NOT(ISERROR(SEARCH("신품",J16)))</formula>
    </cfRule>
    <cfRule type="containsText" dxfId="106" priority="11" operator="containsText" text="중고">
      <formula>NOT(ISERROR(SEARCH("중고",J16)))</formula>
    </cfRule>
  </conditionalFormatting>
  <conditionalFormatting sqref="G16:G17">
    <cfRule type="containsText" dxfId="105" priority="8" operator="containsText" text="신품">
      <formula>NOT(ISERROR(SEARCH("신품",G16)))</formula>
    </cfRule>
    <cfRule type="containsText" dxfId="104" priority="9" operator="containsText" text="중고">
      <formula>NOT(ISERROR(SEARCH("중고",G16)))</formula>
    </cfRule>
  </conditionalFormatting>
  <conditionalFormatting sqref="J16:J17">
    <cfRule type="containsText" dxfId="103" priority="6" operator="containsText" text="신품">
      <formula>NOT(ISERROR(SEARCH("신품",J16)))</formula>
    </cfRule>
    <cfRule type="containsText" dxfId="102" priority="7" operator="containsText" text="중고">
      <formula>NOT(ISERROR(SEARCH("중고",J16)))</formula>
    </cfRule>
  </conditionalFormatting>
  <conditionalFormatting sqref="D17">
    <cfRule type="containsText" dxfId="101" priority="4" operator="containsText" text="완료">
      <formula>NOT(ISERROR(SEARCH("완료",D17)))</formula>
    </cfRule>
    <cfRule type="containsText" dxfId="100" priority="5" operator="containsText" text="중단">
      <formula>NOT(ISERROR(SEARCH("중단",D17)))</formula>
    </cfRule>
  </conditionalFormatting>
  <conditionalFormatting sqref="D17">
    <cfRule type="containsText" dxfId="99" priority="2" operator="containsText" text="완료">
      <formula>NOT(ISERROR(SEARCH("완료",D17)))</formula>
    </cfRule>
    <cfRule type="containsText" dxfId="98" priority="3" operator="containsText" text="중단">
      <formula>NOT(ISERROR(SEARCH("중단",D17)))</formula>
    </cfRule>
  </conditionalFormatting>
  <conditionalFormatting sqref="D17">
    <cfRule type="containsText" dxfId="97" priority="1" operator="containsText" text="진행중">
      <formula>NOT(ISERROR(SEARCH("진행중",D17)))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499984740745262"/>
  </sheetPr>
  <dimension ref="A1:AQ23"/>
  <sheetViews>
    <sheetView tabSelected="1" zoomScale="55" zoomScaleNormal="55" workbookViewId="0">
      <selection activeCell="AG28" sqref="AG28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7" t="s">
        <v>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43" x14ac:dyDescent="0.45">
      <c r="A2" s="55" t="s">
        <v>11</v>
      </c>
      <c r="B2" s="56" t="s">
        <v>92</v>
      </c>
      <c r="C2" s="57"/>
      <c r="D2" s="57"/>
      <c r="E2" s="57"/>
      <c r="F2" s="58"/>
      <c r="G2" s="55" t="s">
        <v>111</v>
      </c>
      <c r="H2" s="55"/>
      <c r="I2" s="55"/>
      <c r="J2" s="55"/>
      <c r="K2" s="55"/>
      <c r="L2" s="55"/>
      <c r="M2" s="55"/>
      <c r="N2" s="55"/>
      <c r="O2" s="55"/>
      <c r="P2" s="55"/>
      <c r="Q2" s="56" t="s">
        <v>26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  <c r="AG2" s="56" t="s">
        <v>10</v>
      </c>
      <c r="AH2" s="58"/>
    </row>
    <row r="3" spans="1:43" x14ac:dyDescent="0.45">
      <c r="A3" s="55"/>
      <c r="B3" s="62"/>
      <c r="C3" s="65"/>
      <c r="D3" s="65"/>
      <c r="E3" s="65"/>
      <c r="F3" s="63"/>
      <c r="G3" s="55"/>
      <c r="H3" s="55"/>
      <c r="I3" s="55"/>
      <c r="J3" s="55"/>
      <c r="K3" s="55"/>
      <c r="L3" s="55"/>
      <c r="M3" s="55"/>
      <c r="N3" s="55"/>
      <c r="O3" s="55"/>
      <c r="P3" s="55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62"/>
      <c r="AH3" s="63"/>
    </row>
    <row r="4" spans="1:43" x14ac:dyDescent="0.45">
      <c r="A4" s="55"/>
      <c r="B4" s="62"/>
      <c r="C4" s="65"/>
      <c r="D4" s="65"/>
      <c r="E4" s="65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19"/>
      <c r="R4" s="53" t="s">
        <v>33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4"/>
      <c r="AE4" s="12" t="s">
        <v>34</v>
      </c>
      <c r="AF4" s="12" t="s">
        <v>35</v>
      </c>
      <c r="AG4" s="62"/>
      <c r="AH4" s="63"/>
    </row>
    <row r="5" spans="1:43" x14ac:dyDescent="0.45">
      <c r="A5" s="55"/>
      <c r="B5" s="59"/>
      <c r="C5" s="60"/>
      <c r="D5" s="60"/>
      <c r="E5" s="60"/>
      <c r="F5" s="61"/>
      <c r="G5" s="64" t="s">
        <v>36</v>
      </c>
      <c r="H5" s="64"/>
      <c r="I5" s="64"/>
      <c r="J5" s="64"/>
      <c r="K5" s="43"/>
      <c r="L5" s="59" t="s">
        <v>94</v>
      </c>
      <c r="M5" s="60"/>
      <c r="N5" s="60"/>
      <c r="O5" s="61"/>
      <c r="P5" s="44" t="s">
        <v>93</v>
      </c>
      <c r="Q5" s="18" t="s">
        <v>30</v>
      </c>
      <c r="R5" s="52" t="s">
        <v>44</v>
      </c>
      <c r="S5" s="53"/>
      <c r="T5" s="53"/>
      <c r="U5" s="54"/>
      <c r="V5" s="52" t="s">
        <v>20</v>
      </c>
      <c r="W5" s="53"/>
      <c r="X5" s="53"/>
      <c r="Y5" s="54"/>
      <c r="Z5" s="66" t="s">
        <v>123</v>
      </c>
      <c r="AA5" s="55"/>
      <c r="AB5" s="55"/>
      <c r="AC5" s="55"/>
      <c r="AD5" s="55"/>
      <c r="AE5" s="14"/>
      <c r="AF5" s="12"/>
      <c r="AG5" s="62"/>
      <c r="AH5" s="63"/>
    </row>
    <row r="6" spans="1:43" x14ac:dyDescent="0.45">
      <c r="A6" s="22" t="s">
        <v>27</v>
      </c>
      <c r="B6" s="22" t="s">
        <v>3</v>
      </c>
      <c r="C6" s="42" t="s">
        <v>31</v>
      </c>
      <c r="D6" s="42" t="s">
        <v>21</v>
      </c>
      <c r="E6" s="42" t="s">
        <v>124</v>
      </c>
      <c r="F6" s="42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0" t="s">
        <v>25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39</v>
      </c>
      <c r="AE6" s="15" t="s">
        <v>37</v>
      </c>
      <c r="AF6" s="13" t="s">
        <v>38</v>
      </c>
      <c r="AG6" s="59"/>
      <c r="AH6" s="61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6" si="0">IF(B7="","",
  IF(MOD($B7,1)=0,
    "Dimensions: L W H",
    "-"
  )
)</f>
        <v>Dimensions: L W H</v>
      </c>
      <c r="D7" s="7" t="str">
        <f t="shared" ref="D7:D17" si="1">IF(E7="","",
  IF(MOD($B7,1)=0,
    "완료",
    "-"
  )
)</f>
        <v>완료</v>
      </c>
      <c r="E7" s="1">
        <v>19</v>
      </c>
      <c r="F7" s="3"/>
      <c r="G7" s="1" t="s">
        <v>40</v>
      </c>
      <c r="H7" s="1" t="s">
        <v>17</v>
      </c>
      <c r="I7" s="1" t="s">
        <v>17</v>
      </c>
      <c r="J7" s="1" t="s">
        <v>40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1" t="s">
        <v>40</v>
      </c>
      <c r="H8" s="1" t="s">
        <v>17</v>
      </c>
      <c r="I8" s="1" t="s">
        <v>17</v>
      </c>
      <c r="J8" s="1" t="s">
        <v>40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5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v>2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1" t="s">
        <v>40</v>
      </c>
      <c r="H9" s="1" t="s">
        <v>17</v>
      </c>
      <c r="I9" s="1" t="s">
        <v>17</v>
      </c>
      <c r="J9" s="1" t="s">
        <v>40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5"/>
        <v>-</v>
      </c>
      <c r="AG9" s="1" t="s">
        <v>17</v>
      </c>
      <c r="AH9" s="2"/>
    </row>
    <row r="10" spans="1:43" x14ac:dyDescent="0.45">
      <c r="A10" s="4">
        <v>45971</v>
      </c>
      <c r="B10" s="25"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1" t="s">
        <v>40</v>
      </c>
      <c r="H10" s="1" t="s">
        <v>17</v>
      </c>
      <c r="I10" s="1" t="s">
        <v>17</v>
      </c>
      <c r="J10" s="1" t="s">
        <v>40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5"/>
        <v>-</v>
      </c>
      <c r="AG10" s="1" t="s">
        <v>17</v>
      </c>
      <c r="AH10" s="2"/>
    </row>
    <row r="11" spans="1:43" x14ac:dyDescent="0.45">
      <c r="A11" s="4">
        <v>45971</v>
      </c>
      <c r="B11" s="25"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1" t="s">
        <v>40</v>
      </c>
      <c r="H11" s="1" t="s">
        <v>17</v>
      </c>
      <c r="I11" s="1" t="s">
        <v>17</v>
      </c>
      <c r="J11" s="1" t="s">
        <v>40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84</v>
      </c>
      <c r="W11" s="8" t="s">
        <v>85</v>
      </c>
      <c r="X11" s="8" t="s">
        <v>86</v>
      </c>
      <c r="Y11" s="8" t="s">
        <v>87</v>
      </c>
      <c r="Z11" s="8" t="s">
        <v>88</v>
      </c>
      <c r="AA11" s="8" t="s">
        <v>89</v>
      </c>
      <c r="AB11" s="8" t="s">
        <v>90</v>
      </c>
      <c r="AC11" s="8" t="s">
        <v>91</v>
      </c>
      <c r="AD11" s="8" t="s">
        <v>67</v>
      </c>
      <c r="AE11" s="8" t="str">
        <f t="shared" si="4"/>
        <v>-</v>
      </c>
      <c r="AF11" s="8" t="str">
        <f t="shared" si="5"/>
        <v>-</v>
      </c>
      <c r="AG11" s="1" t="s">
        <v>17</v>
      </c>
      <c r="AH11" s="2"/>
    </row>
    <row r="12" spans="1:43" x14ac:dyDescent="0.45">
      <c r="A12" s="4">
        <v>45971</v>
      </c>
      <c r="B12" s="25"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1" t="s">
        <v>40</v>
      </c>
      <c r="H12" s="1" t="s">
        <v>17</v>
      </c>
      <c r="I12" s="1" t="s">
        <v>17</v>
      </c>
      <c r="J12" s="1" t="s">
        <v>40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 t="shared" ref="R12:U17" si="6">IF(MOD($B12,5)=0, "스핀들유격: ","-" )</f>
        <v>-</v>
      </c>
      <c r="S12" s="8" t="str">
        <f t="shared" si="6"/>
        <v>-</v>
      </c>
      <c r="T12" s="8" t="str">
        <f t="shared" si="6"/>
        <v>-</v>
      </c>
      <c r="U12" s="8" t="str">
        <f t="shared" si="6"/>
        <v>-</v>
      </c>
      <c r="V12" s="8" t="str">
        <f t="shared" ref="V12:AC17" si="7">IF(MOD($B12,5)=0, "000-000","-" )</f>
        <v>-</v>
      </c>
      <c r="W12" s="8" t="str">
        <f t="shared" si="7"/>
        <v>-</v>
      </c>
      <c r="X12" s="8" t="str">
        <f t="shared" si="7"/>
        <v>-</v>
      </c>
      <c r="Y12" s="8" t="str">
        <f t="shared" si="7"/>
        <v>-</v>
      </c>
      <c r="Z12" s="8" t="str">
        <f t="shared" si="7"/>
        <v>-</v>
      </c>
      <c r="AA12" s="8" t="str">
        <f t="shared" si="7"/>
        <v>-</v>
      </c>
      <c r="AB12" s="8" t="str">
        <f t="shared" si="7"/>
        <v>-</v>
      </c>
      <c r="AC12" s="8" t="str">
        <f t="shared" si="7"/>
        <v>-</v>
      </c>
      <c r="AD12" s="8" t="str">
        <f>IF(MOD($B12,5)=0, "스핀들소음 :","-" )</f>
        <v>-</v>
      </c>
      <c r="AE12" s="8" t="str">
        <f t="shared" si="4"/>
        <v>-</v>
      </c>
      <c r="AF12" s="8" t="str">
        <f t="shared" si="5"/>
        <v>-</v>
      </c>
      <c r="AG12" s="1" t="s">
        <v>17</v>
      </c>
      <c r="AH12" s="2"/>
    </row>
    <row r="13" spans="1:43" x14ac:dyDescent="0.45">
      <c r="A13" s="4">
        <v>45972</v>
      </c>
      <c r="B13" s="25"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28">
        <v>0</v>
      </c>
      <c r="H13" s="1" t="s">
        <v>17</v>
      </c>
      <c r="I13" s="1" t="s">
        <v>17</v>
      </c>
      <c r="J13" s="28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 t="shared" si="6"/>
        <v>-</v>
      </c>
      <c r="S13" s="8" t="str">
        <f t="shared" si="6"/>
        <v>-</v>
      </c>
      <c r="T13" s="8" t="str">
        <f t="shared" si="6"/>
        <v>-</v>
      </c>
      <c r="U13" s="8" t="str">
        <f t="shared" si="6"/>
        <v>-</v>
      </c>
      <c r="V13" s="8" t="str">
        <f t="shared" si="7"/>
        <v>-</v>
      </c>
      <c r="W13" s="8" t="str">
        <f t="shared" si="7"/>
        <v>-</v>
      </c>
      <c r="X13" s="8" t="str">
        <f t="shared" si="7"/>
        <v>-</v>
      </c>
      <c r="Y13" s="8" t="str">
        <f t="shared" si="7"/>
        <v>-</v>
      </c>
      <c r="Z13" s="8" t="str">
        <f t="shared" si="7"/>
        <v>-</v>
      </c>
      <c r="AA13" s="8" t="str">
        <f t="shared" si="7"/>
        <v>-</v>
      </c>
      <c r="AB13" s="8" t="str">
        <f t="shared" si="7"/>
        <v>-</v>
      </c>
      <c r="AC13" s="8" t="str">
        <f t="shared" si="7"/>
        <v>-</v>
      </c>
      <c r="AD13" s="8" t="str">
        <f>IF(MOD($B13,5)=0, "스핀들소음 :","-" )</f>
        <v>-</v>
      </c>
      <c r="AE13" s="8" t="str">
        <f t="shared" si="4"/>
        <v>-</v>
      </c>
      <c r="AF13" s="8" t="str">
        <f t="shared" si="5"/>
        <v>-</v>
      </c>
      <c r="AG13" s="1" t="s">
        <v>17</v>
      </c>
      <c r="AH13" s="2"/>
    </row>
    <row r="14" spans="1:43" x14ac:dyDescent="0.45">
      <c r="A14" s="4">
        <v>45972</v>
      </c>
      <c r="B14" s="25"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28">
        <v>1</v>
      </c>
      <c r="H14" s="1" t="s">
        <v>17</v>
      </c>
      <c r="I14" s="1" t="s">
        <v>17</v>
      </c>
      <c r="J14" s="28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 t="shared" si="6"/>
        <v>-</v>
      </c>
      <c r="S14" s="8" t="str">
        <f t="shared" si="6"/>
        <v>-</v>
      </c>
      <c r="T14" s="8" t="str">
        <f t="shared" si="6"/>
        <v>-</v>
      </c>
      <c r="U14" s="8" t="str">
        <f t="shared" si="6"/>
        <v>-</v>
      </c>
      <c r="V14" s="8" t="str">
        <f t="shared" si="7"/>
        <v>-</v>
      </c>
      <c r="W14" s="8" t="str">
        <f t="shared" si="7"/>
        <v>-</v>
      </c>
      <c r="X14" s="8" t="str">
        <f t="shared" si="7"/>
        <v>-</v>
      </c>
      <c r="Y14" s="8" t="str">
        <f t="shared" si="7"/>
        <v>-</v>
      </c>
      <c r="Z14" s="8" t="str">
        <f t="shared" si="7"/>
        <v>-</v>
      </c>
      <c r="AA14" s="8" t="str">
        <f t="shared" si="7"/>
        <v>-</v>
      </c>
      <c r="AB14" s="8" t="str">
        <f t="shared" si="7"/>
        <v>-</v>
      </c>
      <c r="AC14" s="8" t="str">
        <f t="shared" si="7"/>
        <v>-</v>
      </c>
      <c r="AD14" s="8" t="str">
        <f>IF(MOD($B14,5)=0, "스핀들소음 :","-" )</f>
        <v>-</v>
      </c>
      <c r="AE14" s="8" t="str">
        <f t="shared" si="4"/>
        <v>-</v>
      </c>
      <c r="AF14" s="8" t="str">
        <f t="shared" si="5"/>
        <v>-</v>
      </c>
      <c r="AG14" s="1" t="s">
        <v>17</v>
      </c>
      <c r="AH14" s="2"/>
    </row>
    <row r="15" spans="1:43" x14ac:dyDescent="0.45">
      <c r="A15" s="4">
        <v>45972</v>
      </c>
      <c r="B15" s="25"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28">
        <v>2</v>
      </c>
      <c r="H15" s="1" t="s">
        <v>17</v>
      </c>
      <c r="I15" s="1" t="s">
        <v>17</v>
      </c>
      <c r="J15" s="28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 t="shared" si="6"/>
        <v>-</v>
      </c>
      <c r="S15" s="8" t="str">
        <f t="shared" si="6"/>
        <v>-</v>
      </c>
      <c r="T15" s="8" t="str">
        <f t="shared" si="6"/>
        <v>-</v>
      </c>
      <c r="U15" s="8" t="str">
        <f t="shared" si="6"/>
        <v>-</v>
      </c>
      <c r="V15" s="8" t="str">
        <f t="shared" si="7"/>
        <v>-</v>
      </c>
      <c r="W15" s="8" t="str">
        <f t="shared" si="7"/>
        <v>-</v>
      </c>
      <c r="X15" s="8" t="str">
        <f t="shared" si="7"/>
        <v>-</v>
      </c>
      <c r="Y15" s="8" t="str">
        <f t="shared" si="7"/>
        <v>-</v>
      </c>
      <c r="Z15" s="8" t="str">
        <f t="shared" si="7"/>
        <v>-</v>
      </c>
      <c r="AA15" s="8" t="str">
        <f t="shared" si="7"/>
        <v>-</v>
      </c>
      <c r="AB15" s="8" t="str">
        <f t="shared" si="7"/>
        <v>-</v>
      </c>
      <c r="AC15" s="8" t="str">
        <f t="shared" si="7"/>
        <v>-</v>
      </c>
      <c r="AD15" s="8" t="str">
        <f>IF(MOD($B15,5)=0, "스핀들소음 :","-" )</f>
        <v>-</v>
      </c>
      <c r="AE15" s="8" t="str">
        <f t="shared" si="4"/>
        <v>-</v>
      </c>
      <c r="AF15" s="8" t="str">
        <f t="shared" si="5"/>
        <v>-</v>
      </c>
      <c r="AG15" s="1" t="s">
        <v>17</v>
      </c>
      <c r="AH15" s="2"/>
    </row>
    <row r="16" spans="1:43" x14ac:dyDescent="0.45">
      <c r="A16" s="4">
        <v>45972</v>
      </c>
      <c r="B16" s="25"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28">
        <v>3</v>
      </c>
      <c r="H16" s="1" t="s">
        <v>17</v>
      </c>
      <c r="I16" s="1" t="s">
        <v>17</v>
      </c>
      <c r="J16" s="28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 t="shared" si="6"/>
        <v xml:space="preserve">스핀들유격: </v>
      </c>
      <c r="S16" s="8" t="str">
        <f t="shared" si="6"/>
        <v xml:space="preserve">스핀들유격: </v>
      </c>
      <c r="T16" s="8" t="str">
        <f t="shared" si="6"/>
        <v xml:space="preserve">스핀들유격: </v>
      </c>
      <c r="U16" s="8" t="str">
        <f t="shared" si="6"/>
        <v xml:space="preserve">스핀들유격: </v>
      </c>
      <c r="V16" s="8" t="str">
        <f t="shared" si="7"/>
        <v>000-000</v>
      </c>
      <c r="W16" s="8" t="str">
        <f t="shared" si="7"/>
        <v>000-000</v>
      </c>
      <c r="X16" s="8" t="str">
        <f t="shared" si="7"/>
        <v>000-000</v>
      </c>
      <c r="Y16" s="8" t="str">
        <f t="shared" si="7"/>
        <v>000-000</v>
      </c>
      <c r="Z16" s="8" t="str">
        <f t="shared" si="7"/>
        <v>000-000</v>
      </c>
      <c r="AA16" s="8" t="str">
        <f t="shared" si="7"/>
        <v>000-000</v>
      </c>
      <c r="AB16" s="8" t="str">
        <f t="shared" si="7"/>
        <v>000-000</v>
      </c>
      <c r="AC16" s="8" t="str">
        <f t="shared" si="7"/>
        <v>000-000</v>
      </c>
      <c r="AD16" s="8" t="str">
        <f>IF(MOD($B16,5)=0, "스핀들소음 :","-" )</f>
        <v>스핀들소음 :</v>
      </c>
      <c r="AE16" s="8" t="str">
        <f t="shared" si="4"/>
        <v>-</v>
      </c>
      <c r="AF16" s="8" t="str">
        <f t="shared" si="5"/>
        <v>-</v>
      </c>
      <c r="AG16" s="87" t="s">
        <v>116</v>
      </c>
      <c r="AH16" s="2"/>
    </row>
    <row r="17" spans="1:34" x14ac:dyDescent="0.45">
      <c r="A17" s="4">
        <v>45973</v>
      </c>
      <c r="B17" s="25">
        <f>IF(LEN(A17)=0,"",B16+1)</f>
        <v>11</v>
      </c>
      <c r="C17" s="8" t="str">
        <f t="shared" ref="C17" si="8">IF(B17="","",
  IF(MOD($B17,1)=0,
    "Dimensions: L W H",
    "-"
  )
)</f>
        <v>Dimensions: L W H</v>
      </c>
      <c r="D17" s="7" t="str">
        <f>IF(D16="완료","진행중","")</f>
        <v>진행중</v>
      </c>
      <c r="E17" s="1">
        <v>23</v>
      </c>
      <c r="F17" s="3"/>
      <c r="G17" s="28">
        <v>4</v>
      </c>
      <c r="H17" s="1" t="s">
        <v>17</v>
      </c>
      <c r="I17" s="1" t="s">
        <v>17</v>
      </c>
      <c r="J17" s="28">
        <v>4</v>
      </c>
      <c r="K17" s="1"/>
      <c r="L17" s="1" t="s">
        <v>15</v>
      </c>
      <c r="M17" s="1" t="s">
        <v>2</v>
      </c>
      <c r="N17" s="1">
        <v>160</v>
      </c>
      <c r="O17" s="1"/>
      <c r="P17" s="1">
        <f>IF(LEN(A17)&gt;0, 종합!$C$27, "")</f>
        <v>2.2599999999999998</v>
      </c>
      <c r="Q17" s="1" t="s">
        <v>17</v>
      </c>
      <c r="R17" s="8" t="str">
        <f t="shared" si="6"/>
        <v>-</v>
      </c>
      <c r="S17" s="8" t="str">
        <f t="shared" si="6"/>
        <v>-</v>
      </c>
      <c r="T17" s="8" t="str">
        <f t="shared" si="6"/>
        <v>-</v>
      </c>
      <c r="U17" s="8" t="str">
        <f t="shared" si="6"/>
        <v>-</v>
      </c>
      <c r="V17" s="8" t="str">
        <f t="shared" si="7"/>
        <v>-</v>
      </c>
      <c r="W17" s="8" t="str">
        <f t="shared" si="7"/>
        <v>-</v>
      </c>
      <c r="X17" s="8" t="str">
        <f t="shared" si="7"/>
        <v>-</v>
      </c>
      <c r="Y17" s="8" t="str">
        <f t="shared" si="7"/>
        <v>-</v>
      </c>
      <c r="Z17" s="8" t="str">
        <f t="shared" si="7"/>
        <v>-</v>
      </c>
      <c r="AA17" s="8" t="str">
        <f t="shared" si="7"/>
        <v>-</v>
      </c>
      <c r="AB17" s="8" t="str">
        <f t="shared" si="7"/>
        <v>-</v>
      </c>
      <c r="AC17" s="8" t="str">
        <f t="shared" si="7"/>
        <v>-</v>
      </c>
      <c r="AD17" s="8" t="str">
        <f>IF(MOD($B17,5)=0, "스핀들소음 :","-" )</f>
        <v>-</v>
      </c>
      <c r="AE17" s="8" t="str">
        <f t="shared" si="4"/>
        <v>-</v>
      </c>
      <c r="AF17" s="8" t="str">
        <f t="shared" ref="AF17" si="9">IF($B17="","",
  IF(MOD(B17,160)=0,
    "TENSION (XL : / ZL : / XR : / ZR : / Y : )" &amp; CHAR(10) &amp;
    "필터교체",
    "-"
  )
)</f>
        <v>-</v>
      </c>
      <c r="AG17" s="88" t="s">
        <v>128</v>
      </c>
      <c r="AH17" s="2"/>
    </row>
    <row r="18" spans="1:34" x14ac:dyDescent="0.45">
      <c r="A18" s="24"/>
      <c r="B18" s="25"/>
      <c r="C18" s="8"/>
      <c r="D18" s="7"/>
      <c r="E18" s="1"/>
      <c r="F18" s="1"/>
      <c r="G18" s="28"/>
      <c r="H18" s="1"/>
      <c r="I18" s="1"/>
      <c r="J18" s="28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24"/>
      <c r="B19" s="25"/>
      <c r="C19" s="8"/>
      <c r="D19" s="7"/>
      <c r="E19" s="1"/>
      <c r="F19" s="1"/>
      <c r="G19" s="28"/>
      <c r="H19" s="1"/>
      <c r="I19" s="1"/>
      <c r="J19" s="28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24"/>
      <c r="B20" s="25"/>
      <c r="C20" s="8"/>
      <c r="D20" s="7"/>
      <c r="E20" s="1"/>
      <c r="F20" s="1"/>
      <c r="G20" s="28"/>
      <c r="H20" s="1"/>
      <c r="I20" s="1"/>
      <c r="J20" s="28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20 I14:I20">
    <cfRule type="containsText" dxfId="96" priority="36" operator="containsText" text="신품">
      <formula>NOT(ISERROR(SEARCH("신품",G7)))</formula>
    </cfRule>
    <cfRule type="containsText" dxfId="95" priority="37" operator="containsText" text="중고">
      <formula>NOT(ISERROR(SEARCH("중고",G7)))</formula>
    </cfRule>
  </conditionalFormatting>
  <conditionalFormatting sqref="J7:J9 J14:J20">
    <cfRule type="containsText" dxfId="94" priority="34" operator="containsText" text="신품">
      <formula>NOT(ISERROR(SEARCH("신품",J7)))</formula>
    </cfRule>
    <cfRule type="containsText" dxfId="93" priority="35" operator="containsText" text="중고">
      <formula>NOT(ISERROR(SEARCH("중고",J7)))</formula>
    </cfRule>
  </conditionalFormatting>
  <conditionalFormatting sqref="I10 G10">
    <cfRule type="containsText" dxfId="92" priority="30" operator="containsText" text="신품">
      <formula>NOT(ISERROR(SEARCH("신품",G10)))</formula>
    </cfRule>
    <cfRule type="containsText" dxfId="91" priority="31" operator="containsText" text="중고">
      <formula>NOT(ISERROR(SEARCH("중고",G10)))</formula>
    </cfRule>
  </conditionalFormatting>
  <conditionalFormatting sqref="J10">
    <cfRule type="containsText" dxfId="90" priority="28" operator="containsText" text="신품">
      <formula>NOT(ISERROR(SEARCH("신품",J10)))</formula>
    </cfRule>
    <cfRule type="containsText" dxfId="89" priority="29" operator="containsText" text="중고">
      <formula>NOT(ISERROR(SEARCH("중고",J10)))</formula>
    </cfRule>
  </conditionalFormatting>
  <conditionalFormatting sqref="G11 I11">
    <cfRule type="containsText" dxfId="88" priority="24" operator="containsText" text="신품">
      <formula>NOT(ISERROR(SEARCH("신품",G11)))</formula>
    </cfRule>
    <cfRule type="containsText" dxfId="87" priority="25" operator="containsText" text="중고">
      <formula>NOT(ISERROR(SEARCH("중고",G11)))</formula>
    </cfRule>
  </conditionalFormatting>
  <conditionalFormatting sqref="J11">
    <cfRule type="containsText" dxfId="86" priority="22" operator="containsText" text="신품">
      <formula>NOT(ISERROR(SEARCH("신품",J11)))</formula>
    </cfRule>
    <cfRule type="containsText" dxfId="85" priority="23" operator="containsText" text="중고">
      <formula>NOT(ISERROR(SEARCH("중고",J11)))</formula>
    </cfRule>
  </conditionalFormatting>
  <conditionalFormatting sqref="I12:I20 G12:G20">
    <cfRule type="containsText" dxfId="84" priority="18" operator="containsText" text="신품">
      <formula>NOT(ISERROR(SEARCH("신품",G12)))</formula>
    </cfRule>
    <cfRule type="containsText" dxfId="83" priority="19" operator="containsText" text="중고">
      <formula>NOT(ISERROR(SEARCH("중고",G12)))</formula>
    </cfRule>
  </conditionalFormatting>
  <conditionalFormatting sqref="J12:J20">
    <cfRule type="containsText" dxfId="82" priority="16" operator="containsText" text="신품">
      <formula>NOT(ISERROR(SEARCH("신품",J12)))</formula>
    </cfRule>
    <cfRule type="containsText" dxfId="81" priority="17" operator="containsText" text="중고">
      <formula>NOT(ISERROR(SEARCH("중고",J12)))</formula>
    </cfRule>
  </conditionalFormatting>
  <conditionalFormatting sqref="G13 I13 G15:G20">
    <cfRule type="containsText" dxfId="80" priority="12" operator="containsText" text="신품">
      <formula>NOT(ISERROR(SEARCH("신품",G13)))</formula>
    </cfRule>
    <cfRule type="containsText" dxfId="79" priority="13" operator="containsText" text="중고">
      <formula>NOT(ISERROR(SEARCH("중고",G13)))</formula>
    </cfRule>
  </conditionalFormatting>
  <conditionalFormatting sqref="J13 J15:J20">
    <cfRule type="containsText" dxfId="78" priority="10" operator="containsText" text="신품">
      <formula>NOT(ISERROR(SEARCH("신품",J13)))</formula>
    </cfRule>
    <cfRule type="containsText" dxfId="77" priority="11" operator="containsText" text="중고">
      <formula>NOT(ISERROR(SEARCH("중고",J13)))</formula>
    </cfRule>
  </conditionalFormatting>
  <conditionalFormatting sqref="D7:D10 D14:D20">
    <cfRule type="containsText" dxfId="76" priority="8" operator="containsText" text="완료">
      <formula>NOT(ISERROR(SEARCH("완료",D7)))</formula>
    </cfRule>
    <cfRule type="containsText" dxfId="75" priority="9" operator="containsText" text="중단">
      <formula>NOT(ISERROR(SEARCH("중단",D7)))</formula>
    </cfRule>
  </conditionalFormatting>
  <conditionalFormatting sqref="D11">
    <cfRule type="containsText" dxfId="74" priority="6" operator="containsText" text="완료">
      <formula>NOT(ISERROR(SEARCH("완료",D11)))</formula>
    </cfRule>
    <cfRule type="containsText" dxfId="73" priority="7" operator="containsText" text="중단">
      <formula>NOT(ISERROR(SEARCH("중단",D11)))</formula>
    </cfRule>
  </conditionalFormatting>
  <conditionalFormatting sqref="D12:D20">
    <cfRule type="containsText" dxfId="72" priority="4" operator="containsText" text="완료">
      <formula>NOT(ISERROR(SEARCH("완료",D12)))</formula>
    </cfRule>
    <cfRule type="containsText" dxfId="71" priority="5" operator="containsText" text="중단">
      <formula>NOT(ISERROR(SEARCH("중단",D12)))</formula>
    </cfRule>
  </conditionalFormatting>
  <conditionalFormatting sqref="D13:D20">
    <cfRule type="containsText" dxfId="70" priority="2" operator="containsText" text="완료">
      <formula>NOT(ISERROR(SEARCH("완료",D13)))</formula>
    </cfRule>
    <cfRule type="containsText" dxfId="69" priority="3" operator="containsText" text="중단">
      <formula>NOT(ISERROR(SEARCH("중단",D13)))</formula>
    </cfRule>
  </conditionalFormatting>
  <conditionalFormatting sqref="D7:D23">
    <cfRule type="containsText" dxfId="68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499984740745262"/>
  </sheetPr>
  <dimension ref="A1:AQ23"/>
  <sheetViews>
    <sheetView zoomScale="55" zoomScaleNormal="55" workbookViewId="0">
      <selection activeCell="D17" sqref="D17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7" t="s">
        <v>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43" x14ac:dyDescent="0.45">
      <c r="A2" s="55" t="s">
        <v>11</v>
      </c>
      <c r="B2" s="56" t="s">
        <v>92</v>
      </c>
      <c r="C2" s="57"/>
      <c r="D2" s="57"/>
      <c r="E2" s="57"/>
      <c r="F2" s="58"/>
      <c r="G2" s="55" t="s">
        <v>111</v>
      </c>
      <c r="H2" s="55"/>
      <c r="I2" s="55"/>
      <c r="J2" s="55"/>
      <c r="K2" s="55"/>
      <c r="L2" s="55"/>
      <c r="M2" s="55"/>
      <c r="N2" s="55"/>
      <c r="O2" s="55"/>
      <c r="P2" s="55"/>
      <c r="Q2" s="56" t="s">
        <v>26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  <c r="AG2" s="56" t="s">
        <v>10</v>
      </c>
      <c r="AH2" s="58"/>
    </row>
    <row r="3" spans="1:43" x14ac:dyDescent="0.45">
      <c r="A3" s="55"/>
      <c r="B3" s="62"/>
      <c r="C3" s="65"/>
      <c r="D3" s="65"/>
      <c r="E3" s="65"/>
      <c r="F3" s="63"/>
      <c r="G3" s="55"/>
      <c r="H3" s="55"/>
      <c r="I3" s="55"/>
      <c r="J3" s="55"/>
      <c r="K3" s="55"/>
      <c r="L3" s="55"/>
      <c r="M3" s="55"/>
      <c r="N3" s="55"/>
      <c r="O3" s="55"/>
      <c r="P3" s="55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62"/>
      <c r="AH3" s="63"/>
    </row>
    <row r="4" spans="1:43" x14ac:dyDescent="0.45">
      <c r="A4" s="55"/>
      <c r="B4" s="62"/>
      <c r="C4" s="65"/>
      <c r="D4" s="65"/>
      <c r="E4" s="65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19"/>
      <c r="R4" s="53" t="s">
        <v>33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4"/>
      <c r="AE4" s="12" t="s">
        <v>34</v>
      </c>
      <c r="AF4" s="12" t="s">
        <v>35</v>
      </c>
      <c r="AG4" s="62"/>
      <c r="AH4" s="63"/>
    </row>
    <row r="5" spans="1:43" x14ac:dyDescent="0.45">
      <c r="A5" s="55"/>
      <c r="B5" s="59"/>
      <c r="C5" s="60"/>
      <c r="D5" s="60"/>
      <c r="E5" s="60"/>
      <c r="F5" s="61"/>
      <c r="G5" s="64" t="s">
        <v>36</v>
      </c>
      <c r="H5" s="64"/>
      <c r="I5" s="64"/>
      <c r="J5" s="64"/>
      <c r="K5" s="43"/>
      <c r="L5" s="59" t="s">
        <v>94</v>
      </c>
      <c r="M5" s="60"/>
      <c r="N5" s="60"/>
      <c r="O5" s="61"/>
      <c r="P5" s="44" t="s">
        <v>93</v>
      </c>
      <c r="Q5" s="18" t="s">
        <v>30</v>
      </c>
      <c r="R5" s="52" t="s">
        <v>44</v>
      </c>
      <c r="S5" s="53"/>
      <c r="T5" s="53"/>
      <c r="U5" s="54"/>
      <c r="V5" s="52" t="s">
        <v>20</v>
      </c>
      <c r="W5" s="53"/>
      <c r="X5" s="53"/>
      <c r="Y5" s="54"/>
      <c r="Z5" s="66" t="s">
        <v>123</v>
      </c>
      <c r="AA5" s="55"/>
      <c r="AB5" s="55"/>
      <c r="AC5" s="55"/>
      <c r="AD5" s="55"/>
      <c r="AE5" s="14"/>
      <c r="AF5" s="12"/>
      <c r="AG5" s="62"/>
      <c r="AH5" s="63"/>
    </row>
    <row r="6" spans="1:43" x14ac:dyDescent="0.45">
      <c r="A6" s="22" t="s">
        <v>27</v>
      </c>
      <c r="B6" s="22" t="s">
        <v>3</v>
      </c>
      <c r="C6" s="42" t="s">
        <v>31</v>
      </c>
      <c r="D6" s="42" t="s">
        <v>21</v>
      </c>
      <c r="E6" s="42" t="s">
        <v>124</v>
      </c>
      <c r="F6" s="42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0" t="s">
        <v>25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39</v>
      </c>
      <c r="AE6" s="15" t="s">
        <v>37</v>
      </c>
      <c r="AF6" s="13" t="s">
        <v>38</v>
      </c>
      <c r="AG6" s="59"/>
      <c r="AH6" s="61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7" si="0">IF(B7="","",
  IF(MOD($B7,1)=0,
    "Dimensions: L W H",
    "-"
  )
)</f>
        <v>Dimensions: L W H</v>
      </c>
      <c r="D7" s="7" t="str">
        <f t="shared" ref="D7:D16" si="1">IF(E7="","",
  IF(MOD($B7,1)=0,
    "완료",
    "-"
  )
)</f>
        <v>완료</v>
      </c>
      <c r="E7" s="1">
        <v>19</v>
      </c>
      <c r="F7" s="3"/>
      <c r="G7" s="1" t="s">
        <v>40</v>
      </c>
      <c r="H7" s="1" t="s">
        <v>17</v>
      </c>
      <c r="I7" s="1" t="s">
        <v>17</v>
      </c>
      <c r="J7" s="1" t="s">
        <v>40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1" t="s">
        <v>40</v>
      </c>
      <c r="H8" s="1" t="s">
        <v>17</v>
      </c>
      <c r="I8" s="1" t="s">
        <v>17</v>
      </c>
      <c r="J8" s="1" t="s">
        <v>40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5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v>2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1" t="s">
        <v>40</v>
      </c>
      <c r="H9" s="1" t="s">
        <v>17</v>
      </c>
      <c r="I9" s="1" t="s">
        <v>17</v>
      </c>
      <c r="J9" s="1" t="s">
        <v>40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5"/>
        <v>-</v>
      </c>
      <c r="AG9" s="1" t="s">
        <v>17</v>
      </c>
      <c r="AH9" s="2"/>
    </row>
    <row r="10" spans="1:43" x14ac:dyDescent="0.45">
      <c r="A10" s="4">
        <v>45971</v>
      </c>
      <c r="B10" s="25"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1" t="s">
        <v>40</v>
      </c>
      <c r="H10" s="1" t="s">
        <v>17</v>
      </c>
      <c r="I10" s="1" t="s">
        <v>17</v>
      </c>
      <c r="J10" s="1" t="s">
        <v>40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5"/>
        <v>-</v>
      </c>
      <c r="AG10" s="1" t="s">
        <v>17</v>
      </c>
      <c r="AH10" s="2"/>
    </row>
    <row r="11" spans="1:43" x14ac:dyDescent="0.45">
      <c r="A11" s="4">
        <v>45971</v>
      </c>
      <c r="B11" s="25"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1" t="s">
        <v>40</v>
      </c>
      <c r="H11" s="1" t="s">
        <v>17</v>
      </c>
      <c r="I11" s="1" t="s">
        <v>17</v>
      </c>
      <c r="J11" s="1" t="s">
        <v>40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46</v>
      </c>
      <c r="W11" s="8" t="s">
        <v>47</v>
      </c>
      <c r="X11" s="8" t="s">
        <v>48</v>
      </c>
      <c r="Y11" s="8" t="s">
        <v>49</v>
      </c>
      <c r="Z11" s="8" t="str">
        <f t="shared" ref="Z11:AC17" si="6">IF(MOD($B11,5)=0, "000-000","-" )</f>
        <v>000-000</v>
      </c>
      <c r="AA11" s="8" t="str">
        <f t="shared" si="6"/>
        <v>000-000</v>
      </c>
      <c r="AB11" s="8" t="str">
        <f t="shared" si="6"/>
        <v>000-000</v>
      </c>
      <c r="AC11" s="8" t="str">
        <f t="shared" si="6"/>
        <v>000-000</v>
      </c>
      <c r="AD11" s="8" t="s">
        <v>67</v>
      </c>
      <c r="AE11" s="8" t="str">
        <f t="shared" si="4"/>
        <v>-</v>
      </c>
      <c r="AF11" s="8" t="str">
        <f t="shared" si="5"/>
        <v>-</v>
      </c>
      <c r="AG11" s="1" t="s">
        <v>17</v>
      </c>
      <c r="AH11" s="2"/>
    </row>
    <row r="12" spans="1:43" x14ac:dyDescent="0.45">
      <c r="A12" s="4">
        <v>45971</v>
      </c>
      <c r="B12" s="25"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1" t="s">
        <v>40</v>
      </c>
      <c r="H12" s="1" t="s">
        <v>17</v>
      </c>
      <c r="I12" s="1" t="s">
        <v>17</v>
      </c>
      <c r="J12" s="1" t="s">
        <v>40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 t="shared" ref="R12:U17" si="7">IF(MOD($B12,5)=0, "스핀들유격: ","-" )</f>
        <v>-</v>
      </c>
      <c r="S12" s="8" t="str">
        <f t="shared" si="7"/>
        <v>-</v>
      </c>
      <c r="T12" s="8" t="str">
        <f t="shared" si="7"/>
        <v>-</v>
      </c>
      <c r="U12" s="8" t="str">
        <f t="shared" si="7"/>
        <v>-</v>
      </c>
      <c r="V12" s="8" t="str">
        <f t="shared" ref="V12:Y17" si="8">IF(MOD($B12,5)=0, "000-000","-" )</f>
        <v>-</v>
      </c>
      <c r="W12" s="8" t="str">
        <f t="shared" si="8"/>
        <v>-</v>
      </c>
      <c r="X12" s="8" t="str">
        <f t="shared" si="8"/>
        <v>-</v>
      </c>
      <c r="Y12" s="8" t="str">
        <f t="shared" si="8"/>
        <v>-</v>
      </c>
      <c r="Z12" s="8" t="str">
        <f t="shared" si="6"/>
        <v>-</v>
      </c>
      <c r="AA12" s="8" t="str">
        <f t="shared" si="6"/>
        <v>-</v>
      </c>
      <c r="AB12" s="8" t="str">
        <f t="shared" si="6"/>
        <v>-</v>
      </c>
      <c r="AC12" s="8" t="str">
        <f t="shared" si="6"/>
        <v>-</v>
      </c>
      <c r="AD12" s="8" t="str">
        <f t="shared" ref="AD12:AD17" si="9">IF(MOD($B12,5)=0, "스핀들소음 :","-" )</f>
        <v>-</v>
      </c>
      <c r="AE12" s="8" t="str">
        <f t="shared" si="4"/>
        <v>-</v>
      </c>
      <c r="AF12" s="8" t="str">
        <f t="shared" si="5"/>
        <v>-</v>
      </c>
      <c r="AG12" s="1" t="s">
        <v>17</v>
      </c>
      <c r="AH12" s="2"/>
    </row>
    <row r="13" spans="1:43" x14ac:dyDescent="0.45">
      <c r="A13" s="4">
        <v>45972</v>
      </c>
      <c r="B13" s="25"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28">
        <v>0</v>
      </c>
      <c r="H13" s="1" t="s">
        <v>17</v>
      </c>
      <c r="I13" s="1" t="s">
        <v>17</v>
      </c>
      <c r="J13" s="28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 t="shared" si="7"/>
        <v>-</v>
      </c>
      <c r="S13" s="8" t="str">
        <f t="shared" si="7"/>
        <v>-</v>
      </c>
      <c r="T13" s="8" t="str">
        <f t="shared" si="7"/>
        <v>-</v>
      </c>
      <c r="U13" s="8" t="str">
        <f t="shared" si="7"/>
        <v>-</v>
      </c>
      <c r="V13" s="8" t="str">
        <f t="shared" si="8"/>
        <v>-</v>
      </c>
      <c r="W13" s="8" t="str">
        <f t="shared" si="8"/>
        <v>-</v>
      </c>
      <c r="X13" s="8" t="str">
        <f t="shared" si="8"/>
        <v>-</v>
      </c>
      <c r="Y13" s="8" t="str">
        <f t="shared" si="8"/>
        <v>-</v>
      </c>
      <c r="Z13" s="8" t="str">
        <f t="shared" si="6"/>
        <v>-</v>
      </c>
      <c r="AA13" s="8" t="str">
        <f t="shared" si="6"/>
        <v>-</v>
      </c>
      <c r="AB13" s="8" t="str">
        <f t="shared" si="6"/>
        <v>-</v>
      </c>
      <c r="AC13" s="8" t="str">
        <f t="shared" si="6"/>
        <v>-</v>
      </c>
      <c r="AD13" s="8" t="str">
        <f t="shared" si="9"/>
        <v>-</v>
      </c>
      <c r="AE13" s="8" t="str">
        <f t="shared" si="4"/>
        <v>-</v>
      </c>
      <c r="AF13" s="8" t="str">
        <f t="shared" si="5"/>
        <v>-</v>
      </c>
      <c r="AG13" s="1" t="s">
        <v>17</v>
      </c>
      <c r="AH13" s="2"/>
    </row>
    <row r="14" spans="1:43" x14ac:dyDescent="0.45">
      <c r="A14" s="4">
        <v>45972</v>
      </c>
      <c r="B14" s="25"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28">
        <v>1</v>
      </c>
      <c r="H14" s="1" t="s">
        <v>17</v>
      </c>
      <c r="I14" s="1" t="s">
        <v>17</v>
      </c>
      <c r="J14" s="28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 t="shared" si="7"/>
        <v>-</v>
      </c>
      <c r="S14" s="8" t="str">
        <f t="shared" si="7"/>
        <v>-</v>
      </c>
      <c r="T14" s="8" t="str">
        <f t="shared" si="7"/>
        <v>-</v>
      </c>
      <c r="U14" s="8" t="str">
        <f t="shared" si="7"/>
        <v>-</v>
      </c>
      <c r="V14" s="8" t="str">
        <f t="shared" si="8"/>
        <v>-</v>
      </c>
      <c r="W14" s="8" t="str">
        <f t="shared" si="8"/>
        <v>-</v>
      </c>
      <c r="X14" s="8" t="str">
        <f t="shared" si="8"/>
        <v>-</v>
      </c>
      <c r="Y14" s="8" t="str">
        <f t="shared" si="8"/>
        <v>-</v>
      </c>
      <c r="Z14" s="8" t="str">
        <f t="shared" si="6"/>
        <v>-</v>
      </c>
      <c r="AA14" s="8" t="str">
        <f t="shared" si="6"/>
        <v>-</v>
      </c>
      <c r="AB14" s="8" t="str">
        <f t="shared" si="6"/>
        <v>-</v>
      </c>
      <c r="AC14" s="8" t="str">
        <f t="shared" si="6"/>
        <v>-</v>
      </c>
      <c r="AD14" s="8" t="str">
        <f t="shared" si="9"/>
        <v>-</v>
      </c>
      <c r="AE14" s="8" t="str">
        <f t="shared" si="4"/>
        <v>-</v>
      </c>
      <c r="AF14" s="8" t="str">
        <f t="shared" si="5"/>
        <v>-</v>
      </c>
      <c r="AG14" s="1" t="s">
        <v>17</v>
      </c>
      <c r="AH14" s="2"/>
    </row>
    <row r="15" spans="1:43" x14ac:dyDescent="0.45">
      <c r="A15" s="4">
        <v>45972</v>
      </c>
      <c r="B15" s="25"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28">
        <v>2</v>
      </c>
      <c r="H15" s="1" t="s">
        <v>17</v>
      </c>
      <c r="I15" s="1" t="s">
        <v>17</v>
      </c>
      <c r="J15" s="28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 t="shared" si="7"/>
        <v>-</v>
      </c>
      <c r="S15" s="8" t="str">
        <f t="shared" si="7"/>
        <v>-</v>
      </c>
      <c r="T15" s="8" t="str">
        <f t="shared" si="7"/>
        <v>-</v>
      </c>
      <c r="U15" s="8" t="str">
        <f t="shared" si="7"/>
        <v>-</v>
      </c>
      <c r="V15" s="8" t="str">
        <f t="shared" si="8"/>
        <v>-</v>
      </c>
      <c r="W15" s="8" t="str">
        <f t="shared" si="8"/>
        <v>-</v>
      </c>
      <c r="X15" s="8" t="str">
        <f t="shared" si="8"/>
        <v>-</v>
      </c>
      <c r="Y15" s="8" t="str">
        <f t="shared" si="8"/>
        <v>-</v>
      </c>
      <c r="Z15" s="8" t="str">
        <f t="shared" si="6"/>
        <v>-</v>
      </c>
      <c r="AA15" s="8" t="str">
        <f t="shared" si="6"/>
        <v>-</v>
      </c>
      <c r="AB15" s="8" t="str">
        <f t="shared" si="6"/>
        <v>-</v>
      </c>
      <c r="AC15" s="8" t="str">
        <f t="shared" si="6"/>
        <v>-</v>
      </c>
      <c r="AD15" s="8" t="str">
        <f t="shared" si="9"/>
        <v>-</v>
      </c>
      <c r="AE15" s="8" t="str">
        <f t="shared" si="4"/>
        <v>-</v>
      </c>
      <c r="AF15" s="8" t="str">
        <f t="shared" si="5"/>
        <v>-</v>
      </c>
      <c r="AG15" s="1" t="s">
        <v>17</v>
      </c>
      <c r="AH15" s="2"/>
    </row>
    <row r="16" spans="1:43" x14ac:dyDescent="0.45">
      <c r="A16" s="4">
        <v>45972</v>
      </c>
      <c r="B16" s="25"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28">
        <v>3</v>
      </c>
      <c r="H16" s="1" t="s">
        <v>17</v>
      </c>
      <c r="I16" s="1" t="s">
        <v>17</v>
      </c>
      <c r="J16" s="28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 t="shared" si="7"/>
        <v xml:space="preserve">스핀들유격: </v>
      </c>
      <c r="S16" s="8" t="str">
        <f t="shared" si="7"/>
        <v xml:space="preserve">스핀들유격: </v>
      </c>
      <c r="T16" s="8" t="str">
        <f t="shared" si="7"/>
        <v xml:space="preserve">스핀들유격: </v>
      </c>
      <c r="U16" s="8" t="str">
        <f t="shared" si="7"/>
        <v xml:space="preserve">스핀들유격: </v>
      </c>
      <c r="V16" s="8" t="str">
        <f t="shared" si="8"/>
        <v>000-000</v>
      </c>
      <c r="W16" s="8" t="str">
        <f t="shared" si="8"/>
        <v>000-000</v>
      </c>
      <c r="X16" s="8" t="str">
        <f t="shared" si="8"/>
        <v>000-000</v>
      </c>
      <c r="Y16" s="8" t="str">
        <f t="shared" si="8"/>
        <v>000-000</v>
      </c>
      <c r="Z16" s="8" t="str">
        <f t="shared" si="6"/>
        <v>000-000</v>
      </c>
      <c r="AA16" s="8" t="str">
        <f t="shared" si="6"/>
        <v>000-000</v>
      </c>
      <c r="AB16" s="8" t="str">
        <f t="shared" si="6"/>
        <v>000-000</v>
      </c>
      <c r="AC16" s="8" t="str">
        <f t="shared" si="6"/>
        <v>000-000</v>
      </c>
      <c r="AD16" s="8" t="str">
        <f t="shared" si="9"/>
        <v>스핀들소음 :</v>
      </c>
      <c r="AE16" s="8" t="str">
        <f t="shared" si="4"/>
        <v>-</v>
      </c>
      <c r="AF16" s="8" t="str">
        <f t="shared" si="5"/>
        <v>-</v>
      </c>
      <c r="AG16" s="1" t="s">
        <v>17</v>
      </c>
      <c r="AH16" s="2"/>
    </row>
    <row r="17" spans="1:34" x14ac:dyDescent="0.45">
      <c r="A17" s="4">
        <v>45973</v>
      </c>
      <c r="B17" s="25">
        <v>11</v>
      </c>
      <c r="C17" s="8" t="str">
        <f t="shared" si="0"/>
        <v>Dimensions: L W H</v>
      </c>
      <c r="D17" s="7" t="str">
        <f>IF(D16="완료","진행중","")</f>
        <v>진행중</v>
      </c>
      <c r="E17" s="1">
        <v>21</v>
      </c>
      <c r="F17" s="3"/>
      <c r="G17" s="28">
        <v>4</v>
      </c>
      <c r="H17" s="1" t="s">
        <v>17</v>
      </c>
      <c r="I17" s="1" t="s">
        <v>17</v>
      </c>
      <c r="J17" s="28">
        <v>4</v>
      </c>
      <c r="K17" s="1"/>
      <c r="L17" s="1" t="s">
        <v>15</v>
      </c>
      <c r="M17" s="1" t="s">
        <v>2</v>
      </c>
      <c r="N17" s="1">
        <v>160</v>
      </c>
      <c r="O17" s="1"/>
      <c r="P17" s="1">
        <f>IF(LEN(A17)&gt;0, 종합!$C$27, "")</f>
        <v>2.2599999999999998</v>
      </c>
      <c r="Q17" s="1" t="s">
        <v>17</v>
      </c>
      <c r="R17" s="8" t="str">
        <f t="shared" si="7"/>
        <v>-</v>
      </c>
      <c r="S17" s="8" t="str">
        <f t="shared" si="7"/>
        <v>-</v>
      </c>
      <c r="T17" s="8" t="str">
        <f t="shared" si="7"/>
        <v>-</v>
      </c>
      <c r="U17" s="8" t="str">
        <f t="shared" si="7"/>
        <v>-</v>
      </c>
      <c r="V17" s="8" t="str">
        <f t="shared" si="8"/>
        <v>-</v>
      </c>
      <c r="W17" s="8" t="str">
        <f t="shared" si="8"/>
        <v>-</v>
      </c>
      <c r="X17" s="8" t="str">
        <f t="shared" si="8"/>
        <v>-</v>
      </c>
      <c r="Y17" s="8" t="str">
        <f t="shared" si="8"/>
        <v>-</v>
      </c>
      <c r="Z17" s="8" t="str">
        <f t="shared" si="6"/>
        <v>-</v>
      </c>
      <c r="AA17" s="8" t="str">
        <f t="shared" si="6"/>
        <v>-</v>
      </c>
      <c r="AB17" s="8" t="str">
        <f t="shared" si="6"/>
        <v>-</v>
      </c>
      <c r="AC17" s="8" t="str">
        <f t="shared" si="6"/>
        <v>-</v>
      </c>
      <c r="AD17" s="8" t="str">
        <f t="shared" si="9"/>
        <v>-</v>
      </c>
      <c r="AE17" s="8" t="str">
        <f t="shared" si="4"/>
        <v>-</v>
      </c>
      <c r="AF17" s="8" t="str">
        <f t="shared" ref="AF17" si="10">IF($B17="","",
  IF(MOD(B17,160)=0,
    "TENSION (XL : / ZL : / XR : / ZR : / Y : )" &amp; CHAR(10) &amp;
    "필터교체",
    "-"
  )
)</f>
        <v>-</v>
      </c>
      <c r="AG17" s="1" t="s">
        <v>17</v>
      </c>
      <c r="AH17" s="2"/>
    </row>
    <row r="18" spans="1:34" x14ac:dyDescent="0.45">
      <c r="A18" s="24"/>
      <c r="B18" s="25"/>
      <c r="C18" s="8"/>
      <c r="D18" s="7"/>
      <c r="E18" s="1"/>
      <c r="F18" s="1"/>
      <c r="G18" s="28"/>
      <c r="H18" s="1"/>
      <c r="I18" s="1"/>
      <c r="J18" s="28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24"/>
      <c r="B19" s="25"/>
      <c r="C19" s="8"/>
      <c r="D19" s="7"/>
      <c r="E19" s="1"/>
      <c r="F19" s="1"/>
      <c r="G19" s="28"/>
      <c r="H19" s="1"/>
      <c r="I19" s="1"/>
      <c r="J19" s="28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24"/>
      <c r="B20" s="25"/>
      <c r="C20" s="8"/>
      <c r="D20" s="7"/>
      <c r="E20" s="1"/>
      <c r="F20" s="1"/>
      <c r="G20" s="28"/>
      <c r="H20" s="1"/>
      <c r="I20" s="1"/>
      <c r="J20" s="28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20 I14:I20">
    <cfRule type="containsText" dxfId="67" priority="36" operator="containsText" text="신품">
      <formula>NOT(ISERROR(SEARCH("신품",G7)))</formula>
    </cfRule>
    <cfRule type="containsText" dxfId="66" priority="37" operator="containsText" text="중고">
      <formula>NOT(ISERROR(SEARCH("중고",G7)))</formula>
    </cfRule>
  </conditionalFormatting>
  <conditionalFormatting sqref="J7:J9 J14:J20">
    <cfRule type="containsText" dxfId="65" priority="34" operator="containsText" text="신품">
      <formula>NOT(ISERROR(SEARCH("신품",J7)))</formula>
    </cfRule>
    <cfRule type="containsText" dxfId="64" priority="35" operator="containsText" text="중고">
      <formula>NOT(ISERROR(SEARCH("중고",J7)))</formula>
    </cfRule>
  </conditionalFormatting>
  <conditionalFormatting sqref="I10 G10">
    <cfRule type="containsText" dxfId="63" priority="30" operator="containsText" text="신품">
      <formula>NOT(ISERROR(SEARCH("신품",G10)))</formula>
    </cfRule>
    <cfRule type="containsText" dxfId="62" priority="31" operator="containsText" text="중고">
      <formula>NOT(ISERROR(SEARCH("중고",G10)))</formula>
    </cfRule>
  </conditionalFormatting>
  <conditionalFormatting sqref="J10">
    <cfRule type="containsText" dxfId="61" priority="28" operator="containsText" text="신품">
      <formula>NOT(ISERROR(SEARCH("신품",J10)))</formula>
    </cfRule>
    <cfRule type="containsText" dxfId="60" priority="29" operator="containsText" text="중고">
      <formula>NOT(ISERROR(SEARCH("중고",J10)))</formula>
    </cfRule>
  </conditionalFormatting>
  <conditionalFormatting sqref="G11 I11">
    <cfRule type="containsText" dxfId="59" priority="24" operator="containsText" text="신품">
      <formula>NOT(ISERROR(SEARCH("신품",G11)))</formula>
    </cfRule>
    <cfRule type="containsText" dxfId="58" priority="25" operator="containsText" text="중고">
      <formula>NOT(ISERROR(SEARCH("중고",G11)))</formula>
    </cfRule>
  </conditionalFormatting>
  <conditionalFormatting sqref="J11">
    <cfRule type="containsText" dxfId="57" priority="22" operator="containsText" text="신품">
      <formula>NOT(ISERROR(SEARCH("신품",J11)))</formula>
    </cfRule>
    <cfRule type="containsText" dxfId="56" priority="23" operator="containsText" text="중고">
      <formula>NOT(ISERROR(SEARCH("중고",J11)))</formula>
    </cfRule>
  </conditionalFormatting>
  <conditionalFormatting sqref="I12:I20 G12:G20">
    <cfRule type="containsText" dxfId="55" priority="18" operator="containsText" text="신품">
      <formula>NOT(ISERROR(SEARCH("신품",G12)))</formula>
    </cfRule>
    <cfRule type="containsText" dxfId="54" priority="19" operator="containsText" text="중고">
      <formula>NOT(ISERROR(SEARCH("중고",G12)))</formula>
    </cfRule>
  </conditionalFormatting>
  <conditionalFormatting sqref="J12:J20">
    <cfRule type="containsText" dxfId="53" priority="16" operator="containsText" text="신품">
      <formula>NOT(ISERROR(SEARCH("신품",J12)))</formula>
    </cfRule>
    <cfRule type="containsText" dxfId="52" priority="17" operator="containsText" text="중고">
      <formula>NOT(ISERROR(SEARCH("중고",J12)))</formula>
    </cfRule>
  </conditionalFormatting>
  <conditionalFormatting sqref="G13 I13 G15:G20">
    <cfRule type="containsText" dxfId="51" priority="12" operator="containsText" text="신품">
      <formula>NOT(ISERROR(SEARCH("신품",G13)))</formula>
    </cfRule>
    <cfRule type="containsText" dxfId="50" priority="13" operator="containsText" text="중고">
      <formula>NOT(ISERROR(SEARCH("중고",G13)))</formula>
    </cfRule>
  </conditionalFormatting>
  <conditionalFormatting sqref="J13 J15:J20">
    <cfRule type="containsText" dxfId="49" priority="10" operator="containsText" text="신품">
      <formula>NOT(ISERROR(SEARCH("신품",J13)))</formula>
    </cfRule>
    <cfRule type="containsText" dxfId="48" priority="11" operator="containsText" text="중고">
      <formula>NOT(ISERROR(SEARCH("중고",J13)))</formula>
    </cfRule>
  </conditionalFormatting>
  <conditionalFormatting sqref="D7:D10 D14:D20">
    <cfRule type="containsText" dxfId="47" priority="8" operator="containsText" text="완료">
      <formula>NOT(ISERROR(SEARCH("완료",D7)))</formula>
    </cfRule>
    <cfRule type="containsText" dxfId="46" priority="9" operator="containsText" text="중단">
      <formula>NOT(ISERROR(SEARCH("중단",D7)))</formula>
    </cfRule>
  </conditionalFormatting>
  <conditionalFormatting sqref="D11">
    <cfRule type="containsText" dxfId="45" priority="6" operator="containsText" text="완료">
      <formula>NOT(ISERROR(SEARCH("완료",D11)))</formula>
    </cfRule>
    <cfRule type="containsText" dxfId="44" priority="7" operator="containsText" text="중단">
      <formula>NOT(ISERROR(SEARCH("중단",D11)))</formula>
    </cfRule>
  </conditionalFormatting>
  <conditionalFormatting sqref="D12:D20">
    <cfRule type="containsText" dxfId="43" priority="4" operator="containsText" text="완료">
      <formula>NOT(ISERROR(SEARCH("완료",D12)))</formula>
    </cfRule>
    <cfRule type="containsText" dxfId="42" priority="5" operator="containsText" text="중단">
      <formula>NOT(ISERROR(SEARCH("중단",D12)))</formula>
    </cfRule>
  </conditionalFormatting>
  <conditionalFormatting sqref="D13:D16">
    <cfRule type="containsText" dxfId="41" priority="2" operator="containsText" text="완료">
      <formula>NOT(ISERROR(SEARCH("완료",D13)))</formula>
    </cfRule>
    <cfRule type="containsText" dxfId="40" priority="3" operator="containsText" text="중단">
      <formula>NOT(ISERROR(SEARCH("중단",D13)))</formula>
    </cfRule>
  </conditionalFormatting>
  <conditionalFormatting sqref="D7:D23">
    <cfRule type="containsText" dxfId="39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499984740745262"/>
  </sheetPr>
  <dimension ref="A1:AQ23"/>
  <sheetViews>
    <sheetView zoomScale="55" zoomScaleNormal="55" workbookViewId="0">
      <selection activeCell="D17" sqref="D17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7" t="s">
        <v>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43" x14ac:dyDescent="0.45">
      <c r="A2" s="55" t="s">
        <v>11</v>
      </c>
      <c r="B2" s="56" t="s">
        <v>92</v>
      </c>
      <c r="C2" s="57"/>
      <c r="D2" s="57"/>
      <c r="E2" s="57"/>
      <c r="F2" s="58"/>
      <c r="G2" s="55" t="s">
        <v>111</v>
      </c>
      <c r="H2" s="55"/>
      <c r="I2" s="55"/>
      <c r="J2" s="55"/>
      <c r="K2" s="55"/>
      <c r="L2" s="55"/>
      <c r="M2" s="55"/>
      <c r="N2" s="55"/>
      <c r="O2" s="55"/>
      <c r="P2" s="55"/>
      <c r="Q2" s="56" t="s">
        <v>26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  <c r="AG2" s="56" t="s">
        <v>10</v>
      </c>
      <c r="AH2" s="58"/>
    </row>
    <row r="3" spans="1:43" x14ac:dyDescent="0.45">
      <c r="A3" s="55"/>
      <c r="B3" s="62"/>
      <c r="C3" s="65"/>
      <c r="D3" s="65"/>
      <c r="E3" s="65"/>
      <c r="F3" s="63"/>
      <c r="G3" s="55"/>
      <c r="H3" s="55"/>
      <c r="I3" s="55"/>
      <c r="J3" s="55"/>
      <c r="K3" s="55"/>
      <c r="L3" s="55"/>
      <c r="M3" s="55"/>
      <c r="N3" s="55"/>
      <c r="O3" s="55"/>
      <c r="P3" s="55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62"/>
      <c r="AH3" s="63"/>
    </row>
    <row r="4" spans="1:43" x14ac:dyDescent="0.45">
      <c r="A4" s="55"/>
      <c r="B4" s="62"/>
      <c r="C4" s="65"/>
      <c r="D4" s="65"/>
      <c r="E4" s="65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19"/>
      <c r="R4" s="53" t="s">
        <v>33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4"/>
      <c r="AE4" s="12" t="s">
        <v>34</v>
      </c>
      <c r="AF4" s="12" t="s">
        <v>35</v>
      </c>
      <c r="AG4" s="62"/>
      <c r="AH4" s="63"/>
    </row>
    <row r="5" spans="1:43" x14ac:dyDescent="0.45">
      <c r="A5" s="55"/>
      <c r="B5" s="59"/>
      <c r="C5" s="60"/>
      <c r="D5" s="60"/>
      <c r="E5" s="60"/>
      <c r="F5" s="61"/>
      <c r="G5" s="64" t="s">
        <v>36</v>
      </c>
      <c r="H5" s="64"/>
      <c r="I5" s="64"/>
      <c r="J5" s="64"/>
      <c r="K5" s="43"/>
      <c r="L5" s="59" t="s">
        <v>94</v>
      </c>
      <c r="M5" s="60"/>
      <c r="N5" s="60"/>
      <c r="O5" s="61"/>
      <c r="P5" s="44" t="s">
        <v>93</v>
      </c>
      <c r="Q5" s="18" t="s">
        <v>30</v>
      </c>
      <c r="R5" s="52" t="s">
        <v>44</v>
      </c>
      <c r="S5" s="53"/>
      <c r="T5" s="53"/>
      <c r="U5" s="54"/>
      <c r="V5" s="52" t="s">
        <v>20</v>
      </c>
      <c r="W5" s="53"/>
      <c r="X5" s="53"/>
      <c r="Y5" s="54"/>
      <c r="Z5" s="66" t="s">
        <v>123</v>
      </c>
      <c r="AA5" s="55"/>
      <c r="AB5" s="55"/>
      <c r="AC5" s="55"/>
      <c r="AD5" s="55"/>
      <c r="AE5" s="14"/>
      <c r="AF5" s="12"/>
      <c r="AG5" s="62"/>
      <c r="AH5" s="63"/>
    </row>
    <row r="6" spans="1:43" x14ac:dyDescent="0.45">
      <c r="A6" s="22" t="s">
        <v>27</v>
      </c>
      <c r="B6" s="22" t="s">
        <v>3</v>
      </c>
      <c r="C6" s="42" t="s">
        <v>31</v>
      </c>
      <c r="D6" s="42" t="s">
        <v>21</v>
      </c>
      <c r="E6" s="42" t="s">
        <v>124</v>
      </c>
      <c r="F6" s="42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0" t="s">
        <v>25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39</v>
      </c>
      <c r="AE6" s="15" t="s">
        <v>37</v>
      </c>
      <c r="AF6" s="13" t="s">
        <v>38</v>
      </c>
      <c r="AG6" s="59"/>
      <c r="AH6" s="61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7" si="0">IF(B7="","",
  IF(MOD($B7,1)=0,
    "Dimensions: L W H",
    "-"
  )
)</f>
        <v>Dimensions: L W H</v>
      </c>
      <c r="D7" s="7" t="str">
        <f t="shared" ref="D7:D16" si="1">IF(E7="","",
  IF(MOD($B7,1)=0,
    "완료",
    "-"
  )
)</f>
        <v>완료</v>
      </c>
      <c r="E7" s="1">
        <v>19</v>
      </c>
      <c r="F7" s="3"/>
      <c r="G7" s="1" t="s">
        <v>40</v>
      </c>
      <c r="H7" s="1" t="s">
        <v>17</v>
      </c>
      <c r="I7" s="1" t="s">
        <v>17</v>
      </c>
      <c r="J7" s="1" t="s">
        <v>40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1" t="s">
        <v>40</v>
      </c>
      <c r="H8" s="1" t="s">
        <v>17</v>
      </c>
      <c r="I8" s="1" t="s">
        <v>17</v>
      </c>
      <c r="J8" s="1" t="s">
        <v>40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5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v>2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1" t="s">
        <v>40</v>
      </c>
      <c r="H9" s="1" t="s">
        <v>17</v>
      </c>
      <c r="I9" s="1" t="s">
        <v>17</v>
      </c>
      <c r="J9" s="1" t="s">
        <v>40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5"/>
        <v>-</v>
      </c>
      <c r="AG9" s="1" t="s">
        <v>17</v>
      </c>
      <c r="AH9" s="2"/>
    </row>
    <row r="10" spans="1:43" x14ac:dyDescent="0.45">
      <c r="A10" s="4">
        <v>45971</v>
      </c>
      <c r="B10" s="25"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1" t="s">
        <v>40</v>
      </c>
      <c r="H10" s="1" t="s">
        <v>17</v>
      </c>
      <c r="I10" s="1" t="s">
        <v>17</v>
      </c>
      <c r="J10" s="1" t="s">
        <v>40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5"/>
        <v>-</v>
      </c>
      <c r="AG10" s="1" t="s">
        <v>17</v>
      </c>
      <c r="AH10" s="2"/>
    </row>
    <row r="11" spans="1:43" x14ac:dyDescent="0.45">
      <c r="A11" s="4">
        <v>45971</v>
      </c>
      <c r="B11" s="25"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1" t="s">
        <v>40</v>
      </c>
      <c r="H11" s="1" t="s">
        <v>17</v>
      </c>
      <c r="I11" s="1" t="s">
        <v>17</v>
      </c>
      <c r="J11" s="1" t="s">
        <v>40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46</v>
      </c>
      <c r="W11" s="8" t="s">
        <v>47</v>
      </c>
      <c r="X11" s="8" t="s">
        <v>48</v>
      </c>
      <c r="Y11" s="8" t="s">
        <v>49</v>
      </c>
      <c r="Z11" s="8" t="str">
        <f t="shared" ref="Z11:AC17" si="6">IF(MOD($B11,5)=0, "000-000","-" )</f>
        <v>000-000</v>
      </c>
      <c r="AA11" s="8" t="str">
        <f t="shared" si="6"/>
        <v>000-000</v>
      </c>
      <c r="AB11" s="8" t="str">
        <f t="shared" si="6"/>
        <v>000-000</v>
      </c>
      <c r="AC11" s="8" t="str">
        <f t="shared" si="6"/>
        <v>000-000</v>
      </c>
      <c r="AD11" s="8" t="s">
        <v>67</v>
      </c>
      <c r="AE11" s="8" t="str">
        <f t="shared" si="4"/>
        <v>-</v>
      </c>
      <c r="AF11" s="8" t="str">
        <f t="shared" si="5"/>
        <v>-</v>
      </c>
      <c r="AG11" s="1" t="s">
        <v>17</v>
      </c>
      <c r="AH11" s="2"/>
    </row>
    <row r="12" spans="1:43" x14ac:dyDescent="0.45">
      <c r="A12" s="4">
        <v>45971</v>
      </c>
      <c r="B12" s="25"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1" t="s">
        <v>40</v>
      </c>
      <c r="H12" s="1" t="s">
        <v>17</v>
      </c>
      <c r="I12" s="1" t="s">
        <v>17</v>
      </c>
      <c r="J12" s="1" t="s">
        <v>40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 t="shared" ref="R12:U17" si="7">IF(MOD($B12,5)=0, "스핀들유격: ","-" )</f>
        <v>-</v>
      </c>
      <c r="S12" s="8" t="str">
        <f t="shared" si="7"/>
        <v>-</v>
      </c>
      <c r="T12" s="8" t="str">
        <f t="shared" si="7"/>
        <v>-</v>
      </c>
      <c r="U12" s="8" t="str">
        <f t="shared" si="7"/>
        <v>-</v>
      </c>
      <c r="V12" s="8" t="str">
        <f t="shared" ref="V12:Y17" si="8">IF(MOD($B12,5)=0, "000-000","-" )</f>
        <v>-</v>
      </c>
      <c r="W12" s="8" t="str">
        <f t="shared" si="8"/>
        <v>-</v>
      </c>
      <c r="X12" s="8" t="str">
        <f t="shared" si="8"/>
        <v>-</v>
      </c>
      <c r="Y12" s="8" t="str">
        <f t="shared" si="8"/>
        <v>-</v>
      </c>
      <c r="Z12" s="8" t="str">
        <f t="shared" si="6"/>
        <v>-</v>
      </c>
      <c r="AA12" s="8" t="str">
        <f t="shared" si="6"/>
        <v>-</v>
      </c>
      <c r="AB12" s="8" t="str">
        <f t="shared" si="6"/>
        <v>-</v>
      </c>
      <c r="AC12" s="8" t="str">
        <f t="shared" si="6"/>
        <v>-</v>
      </c>
      <c r="AD12" s="8" t="str">
        <f t="shared" ref="AD12:AD17" si="9">IF(MOD($B12,5)=0, "스핀들소음 :","-" )</f>
        <v>-</v>
      </c>
      <c r="AE12" s="8" t="str">
        <f t="shared" si="4"/>
        <v>-</v>
      </c>
      <c r="AF12" s="8" t="str">
        <f t="shared" si="5"/>
        <v>-</v>
      </c>
      <c r="AG12" s="1" t="s">
        <v>17</v>
      </c>
      <c r="AH12" s="2"/>
    </row>
    <row r="13" spans="1:43" x14ac:dyDescent="0.45">
      <c r="A13" s="4">
        <v>45972</v>
      </c>
      <c r="B13" s="25"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28">
        <v>0</v>
      </c>
      <c r="H13" s="1" t="s">
        <v>17</v>
      </c>
      <c r="I13" s="1" t="s">
        <v>17</v>
      </c>
      <c r="J13" s="28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 t="shared" si="7"/>
        <v>-</v>
      </c>
      <c r="S13" s="8" t="str">
        <f t="shared" si="7"/>
        <v>-</v>
      </c>
      <c r="T13" s="8" t="str">
        <f t="shared" si="7"/>
        <v>-</v>
      </c>
      <c r="U13" s="8" t="str">
        <f t="shared" si="7"/>
        <v>-</v>
      </c>
      <c r="V13" s="8" t="str">
        <f t="shared" si="8"/>
        <v>-</v>
      </c>
      <c r="W13" s="8" t="str">
        <f t="shared" si="8"/>
        <v>-</v>
      </c>
      <c r="X13" s="8" t="str">
        <f t="shared" si="8"/>
        <v>-</v>
      </c>
      <c r="Y13" s="8" t="str">
        <f t="shared" si="8"/>
        <v>-</v>
      </c>
      <c r="Z13" s="8" t="str">
        <f t="shared" si="6"/>
        <v>-</v>
      </c>
      <c r="AA13" s="8" t="str">
        <f t="shared" si="6"/>
        <v>-</v>
      </c>
      <c r="AB13" s="8" t="str">
        <f t="shared" si="6"/>
        <v>-</v>
      </c>
      <c r="AC13" s="8" t="str">
        <f t="shared" si="6"/>
        <v>-</v>
      </c>
      <c r="AD13" s="8" t="str">
        <f t="shared" si="9"/>
        <v>-</v>
      </c>
      <c r="AE13" s="8" t="str">
        <f t="shared" si="4"/>
        <v>-</v>
      </c>
      <c r="AF13" s="8" t="str">
        <f t="shared" si="5"/>
        <v>-</v>
      </c>
      <c r="AG13" s="1" t="s">
        <v>17</v>
      </c>
      <c r="AH13" s="2"/>
    </row>
    <row r="14" spans="1:43" x14ac:dyDescent="0.45">
      <c r="A14" s="4">
        <v>45972</v>
      </c>
      <c r="B14" s="25"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28">
        <v>1</v>
      </c>
      <c r="H14" s="1" t="s">
        <v>17</v>
      </c>
      <c r="I14" s="1" t="s">
        <v>17</v>
      </c>
      <c r="J14" s="28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 t="shared" si="7"/>
        <v>-</v>
      </c>
      <c r="S14" s="8" t="str">
        <f t="shared" si="7"/>
        <v>-</v>
      </c>
      <c r="T14" s="8" t="str">
        <f t="shared" si="7"/>
        <v>-</v>
      </c>
      <c r="U14" s="8" t="str">
        <f t="shared" si="7"/>
        <v>-</v>
      </c>
      <c r="V14" s="8" t="str">
        <f t="shared" si="8"/>
        <v>-</v>
      </c>
      <c r="W14" s="8" t="str">
        <f t="shared" si="8"/>
        <v>-</v>
      </c>
      <c r="X14" s="8" t="str">
        <f t="shared" si="8"/>
        <v>-</v>
      </c>
      <c r="Y14" s="8" t="str">
        <f t="shared" si="8"/>
        <v>-</v>
      </c>
      <c r="Z14" s="8" t="str">
        <f t="shared" si="6"/>
        <v>-</v>
      </c>
      <c r="AA14" s="8" t="str">
        <f t="shared" si="6"/>
        <v>-</v>
      </c>
      <c r="AB14" s="8" t="str">
        <f t="shared" si="6"/>
        <v>-</v>
      </c>
      <c r="AC14" s="8" t="str">
        <f t="shared" si="6"/>
        <v>-</v>
      </c>
      <c r="AD14" s="8" t="str">
        <f t="shared" si="9"/>
        <v>-</v>
      </c>
      <c r="AE14" s="8" t="str">
        <f t="shared" si="4"/>
        <v>-</v>
      </c>
      <c r="AF14" s="8" t="str">
        <f t="shared" si="5"/>
        <v>-</v>
      </c>
      <c r="AG14" s="1" t="s">
        <v>17</v>
      </c>
      <c r="AH14" s="2"/>
    </row>
    <row r="15" spans="1:43" x14ac:dyDescent="0.45">
      <c r="A15" s="4">
        <v>45972</v>
      </c>
      <c r="B15" s="25"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28">
        <v>2</v>
      </c>
      <c r="H15" s="1" t="s">
        <v>17</v>
      </c>
      <c r="I15" s="1" t="s">
        <v>17</v>
      </c>
      <c r="J15" s="28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 t="shared" si="7"/>
        <v>-</v>
      </c>
      <c r="S15" s="8" t="str">
        <f t="shared" si="7"/>
        <v>-</v>
      </c>
      <c r="T15" s="8" t="str">
        <f t="shared" si="7"/>
        <v>-</v>
      </c>
      <c r="U15" s="8" t="str">
        <f t="shared" si="7"/>
        <v>-</v>
      </c>
      <c r="V15" s="8" t="str">
        <f t="shared" si="8"/>
        <v>-</v>
      </c>
      <c r="W15" s="8" t="str">
        <f t="shared" si="8"/>
        <v>-</v>
      </c>
      <c r="X15" s="8" t="str">
        <f t="shared" si="8"/>
        <v>-</v>
      </c>
      <c r="Y15" s="8" t="str">
        <f t="shared" si="8"/>
        <v>-</v>
      </c>
      <c r="Z15" s="8" t="str">
        <f t="shared" si="6"/>
        <v>-</v>
      </c>
      <c r="AA15" s="8" t="str">
        <f t="shared" si="6"/>
        <v>-</v>
      </c>
      <c r="AB15" s="8" t="str">
        <f t="shared" si="6"/>
        <v>-</v>
      </c>
      <c r="AC15" s="8" t="str">
        <f t="shared" si="6"/>
        <v>-</v>
      </c>
      <c r="AD15" s="8" t="str">
        <f t="shared" si="9"/>
        <v>-</v>
      </c>
      <c r="AE15" s="8" t="str">
        <f t="shared" si="4"/>
        <v>-</v>
      </c>
      <c r="AF15" s="8" t="str">
        <f t="shared" si="5"/>
        <v>-</v>
      </c>
      <c r="AG15" s="1" t="s">
        <v>17</v>
      </c>
      <c r="AH15" s="2"/>
    </row>
    <row r="16" spans="1:43" x14ac:dyDescent="0.45">
      <c r="A16" s="4">
        <v>45972</v>
      </c>
      <c r="B16" s="25"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28">
        <v>3</v>
      </c>
      <c r="H16" s="1" t="s">
        <v>17</v>
      </c>
      <c r="I16" s="1" t="s">
        <v>17</v>
      </c>
      <c r="J16" s="28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 t="shared" si="7"/>
        <v xml:space="preserve">스핀들유격: </v>
      </c>
      <c r="S16" s="8" t="str">
        <f t="shared" si="7"/>
        <v xml:space="preserve">스핀들유격: </v>
      </c>
      <c r="T16" s="8" t="str">
        <f t="shared" si="7"/>
        <v xml:space="preserve">스핀들유격: </v>
      </c>
      <c r="U16" s="8" t="str">
        <f t="shared" si="7"/>
        <v xml:space="preserve">스핀들유격: </v>
      </c>
      <c r="V16" s="8" t="str">
        <f t="shared" si="8"/>
        <v>000-000</v>
      </c>
      <c r="W16" s="8" t="str">
        <f t="shared" si="8"/>
        <v>000-000</v>
      </c>
      <c r="X16" s="8" t="str">
        <f t="shared" si="8"/>
        <v>000-000</v>
      </c>
      <c r="Y16" s="8" t="str">
        <f t="shared" si="8"/>
        <v>000-000</v>
      </c>
      <c r="Z16" s="8" t="str">
        <f t="shared" si="6"/>
        <v>000-000</v>
      </c>
      <c r="AA16" s="8" t="str">
        <f t="shared" si="6"/>
        <v>000-000</v>
      </c>
      <c r="AB16" s="8" t="str">
        <f t="shared" si="6"/>
        <v>000-000</v>
      </c>
      <c r="AC16" s="8" t="str">
        <f t="shared" si="6"/>
        <v>000-000</v>
      </c>
      <c r="AD16" s="8" t="str">
        <f t="shared" si="9"/>
        <v>스핀들소음 :</v>
      </c>
      <c r="AE16" s="8" t="str">
        <f t="shared" si="4"/>
        <v>-</v>
      </c>
      <c r="AF16" s="8" t="str">
        <f t="shared" si="5"/>
        <v>-</v>
      </c>
      <c r="AG16" s="1" t="s">
        <v>17</v>
      </c>
      <c r="AH16" s="2"/>
    </row>
    <row r="17" spans="1:34" x14ac:dyDescent="0.45">
      <c r="A17" s="4">
        <v>45973</v>
      </c>
      <c r="B17" s="25">
        <v>11</v>
      </c>
      <c r="C17" s="8" t="str">
        <f t="shared" si="0"/>
        <v>Dimensions: L W H</v>
      </c>
      <c r="D17" s="7" t="str">
        <f>IF(D16="완료","진행중","")</f>
        <v>진행중</v>
      </c>
      <c r="E17" s="1">
        <v>21</v>
      </c>
      <c r="F17" s="3"/>
      <c r="G17" s="28">
        <v>4</v>
      </c>
      <c r="H17" s="1" t="s">
        <v>17</v>
      </c>
      <c r="I17" s="1" t="s">
        <v>17</v>
      </c>
      <c r="J17" s="28">
        <v>4</v>
      </c>
      <c r="K17" s="1"/>
      <c r="L17" s="1" t="s">
        <v>15</v>
      </c>
      <c r="M17" s="1" t="s">
        <v>2</v>
      </c>
      <c r="N17" s="1">
        <v>160</v>
      </c>
      <c r="O17" s="1"/>
      <c r="P17" s="1">
        <f>IF(LEN(A17)&gt;0, 종합!$C$27, "")</f>
        <v>2.2599999999999998</v>
      </c>
      <c r="Q17" s="1" t="s">
        <v>17</v>
      </c>
      <c r="R17" s="8" t="str">
        <f t="shared" si="7"/>
        <v>-</v>
      </c>
      <c r="S17" s="8" t="str">
        <f t="shared" si="7"/>
        <v>-</v>
      </c>
      <c r="T17" s="8" t="str">
        <f t="shared" si="7"/>
        <v>-</v>
      </c>
      <c r="U17" s="8" t="str">
        <f t="shared" si="7"/>
        <v>-</v>
      </c>
      <c r="V17" s="8" t="str">
        <f t="shared" si="8"/>
        <v>-</v>
      </c>
      <c r="W17" s="8" t="str">
        <f t="shared" si="8"/>
        <v>-</v>
      </c>
      <c r="X17" s="8" t="str">
        <f t="shared" si="8"/>
        <v>-</v>
      </c>
      <c r="Y17" s="8" t="str">
        <f t="shared" si="8"/>
        <v>-</v>
      </c>
      <c r="Z17" s="8" t="str">
        <f t="shared" si="6"/>
        <v>-</v>
      </c>
      <c r="AA17" s="8" t="str">
        <f t="shared" si="6"/>
        <v>-</v>
      </c>
      <c r="AB17" s="8" t="str">
        <f t="shared" si="6"/>
        <v>-</v>
      </c>
      <c r="AC17" s="8" t="str">
        <f t="shared" si="6"/>
        <v>-</v>
      </c>
      <c r="AD17" s="8" t="str">
        <f t="shared" si="9"/>
        <v>-</v>
      </c>
      <c r="AE17" s="8" t="str">
        <f t="shared" si="4"/>
        <v>-</v>
      </c>
      <c r="AF17" s="8" t="str">
        <f t="shared" ref="AF17" si="10">IF($B17="","",
  IF(MOD(B17,160)=0,
    "TENSION (XL : / ZL : / XR : / ZR : / Y : )" &amp; CHAR(10) &amp;
    "필터교체",
    "-"
  )
)</f>
        <v>-</v>
      </c>
      <c r="AG17" s="1" t="s">
        <v>17</v>
      </c>
      <c r="AH17" s="2"/>
    </row>
    <row r="18" spans="1:34" x14ac:dyDescent="0.45">
      <c r="A18" s="24"/>
      <c r="B18" s="25"/>
      <c r="C18" s="8"/>
      <c r="D18" s="7"/>
      <c r="E18" s="1"/>
      <c r="F18" s="1"/>
      <c r="G18" s="28"/>
      <c r="H18" s="1"/>
      <c r="I18" s="1"/>
      <c r="J18" s="28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24"/>
      <c r="B19" s="25"/>
      <c r="C19" s="8"/>
      <c r="D19" s="7"/>
      <c r="E19" s="1"/>
      <c r="F19" s="1"/>
      <c r="G19" s="28"/>
      <c r="H19" s="1"/>
      <c r="I19" s="1"/>
      <c r="J19" s="28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24"/>
      <c r="B20" s="25"/>
      <c r="C20" s="8"/>
      <c r="D20" s="7"/>
      <c r="E20" s="1"/>
      <c r="F20" s="1"/>
      <c r="G20" s="28"/>
      <c r="H20" s="1"/>
      <c r="I20" s="1"/>
      <c r="J20" s="28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20 I14:I20">
    <cfRule type="containsText" dxfId="38" priority="36" operator="containsText" text="신품">
      <formula>NOT(ISERROR(SEARCH("신품",G7)))</formula>
    </cfRule>
    <cfRule type="containsText" dxfId="37" priority="37" operator="containsText" text="중고">
      <formula>NOT(ISERROR(SEARCH("중고",G7)))</formula>
    </cfRule>
  </conditionalFormatting>
  <conditionalFormatting sqref="J7:J9 J14:J20">
    <cfRule type="containsText" dxfId="36" priority="34" operator="containsText" text="신품">
      <formula>NOT(ISERROR(SEARCH("신품",J7)))</formula>
    </cfRule>
    <cfRule type="containsText" dxfId="35" priority="35" operator="containsText" text="중고">
      <formula>NOT(ISERROR(SEARCH("중고",J7)))</formula>
    </cfRule>
  </conditionalFormatting>
  <conditionalFormatting sqref="I10 G10">
    <cfRule type="containsText" dxfId="34" priority="30" operator="containsText" text="신품">
      <formula>NOT(ISERROR(SEARCH("신품",G10)))</formula>
    </cfRule>
    <cfRule type="containsText" dxfId="33" priority="31" operator="containsText" text="중고">
      <formula>NOT(ISERROR(SEARCH("중고",G10)))</formula>
    </cfRule>
  </conditionalFormatting>
  <conditionalFormatting sqref="J10">
    <cfRule type="containsText" dxfId="32" priority="28" operator="containsText" text="신품">
      <formula>NOT(ISERROR(SEARCH("신품",J10)))</formula>
    </cfRule>
    <cfRule type="containsText" dxfId="31" priority="29" operator="containsText" text="중고">
      <formula>NOT(ISERROR(SEARCH("중고",J10)))</formula>
    </cfRule>
  </conditionalFormatting>
  <conditionalFormatting sqref="G11 I11">
    <cfRule type="containsText" dxfId="30" priority="24" operator="containsText" text="신품">
      <formula>NOT(ISERROR(SEARCH("신품",G11)))</formula>
    </cfRule>
    <cfRule type="containsText" dxfId="29" priority="25" operator="containsText" text="중고">
      <formula>NOT(ISERROR(SEARCH("중고",G11)))</formula>
    </cfRule>
  </conditionalFormatting>
  <conditionalFormatting sqref="J11">
    <cfRule type="containsText" dxfId="28" priority="22" operator="containsText" text="신품">
      <formula>NOT(ISERROR(SEARCH("신품",J11)))</formula>
    </cfRule>
    <cfRule type="containsText" dxfId="27" priority="23" operator="containsText" text="중고">
      <formula>NOT(ISERROR(SEARCH("중고",J11)))</formula>
    </cfRule>
  </conditionalFormatting>
  <conditionalFormatting sqref="I12:I20 G12:G20">
    <cfRule type="containsText" dxfId="26" priority="18" operator="containsText" text="신품">
      <formula>NOT(ISERROR(SEARCH("신품",G12)))</formula>
    </cfRule>
    <cfRule type="containsText" dxfId="25" priority="19" operator="containsText" text="중고">
      <formula>NOT(ISERROR(SEARCH("중고",G12)))</formula>
    </cfRule>
  </conditionalFormatting>
  <conditionalFormatting sqref="J12:J20">
    <cfRule type="containsText" dxfId="24" priority="16" operator="containsText" text="신품">
      <formula>NOT(ISERROR(SEARCH("신품",J12)))</formula>
    </cfRule>
    <cfRule type="containsText" dxfId="23" priority="17" operator="containsText" text="중고">
      <formula>NOT(ISERROR(SEARCH("중고",J12)))</formula>
    </cfRule>
  </conditionalFormatting>
  <conditionalFormatting sqref="G13 I13 G15:G20">
    <cfRule type="containsText" dxfId="22" priority="12" operator="containsText" text="신품">
      <formula>NOT(ISERROR(SEARCH("신품",G13)))</formula>
    </cfRule>
    <cfRule type="containsText" dxfId="21" priority="13" operator="containsText" text="중고">
      <formula>NOT(ISERROR(SEARCH("중고",G13)))</formula>
    </cfRule>
  </conditionalFormatting>
  <conditionalFormatting sqref="J13 J15:J20">
    <cfRule type="containsText" dxfId="20" priority="10" operator="containsText" text="신품">
      <formula>NOT(ISERROR(SEARCH("신품",J13)))</formula>
    </cfRule>
    <cfRule type="containsText" dxfId="19" priority="11" operator="containsText" text="중고">
      <formula>NOT(ISERROR(SEARCH("중고",J13)))</formula>
    </cfRule>
  </conditionalFormatting>
  <conditionalFormatting sqref="D7:D10 D14:D20">
    <cfRule type="containsText" dxfId="18" priority="8" operator="containsText" text="완료">
      <formula>NOT(ISERROR(SEARCH("완료",D7)))</formula>
    </cfRule>
    <cfRule type="containsText" dxfId="17" priority="9" operator="containsText" text="중단">
      <formula>NOT(ISERROR(SEARCH("중단",D7)))</formula>
    </cfRule>
  </conditionalFormatting>
  <conditionalFormatting sqref="D11">
    <cfRule type="containsText" dxfId="16" priority="6" operator="containsText" text="완료">
      <formula>NOT(ISERROR(SEARCH("완료",D11)))</formula>
    </cfRule>
    <cfRule type="containsText" dxfId="15" priority="7" operator="containsText" text="중단">
      <formula>NOT(ISERROR(SEARCH("중단",D11)))</formula>
    </cfRule>
  </conditionalFormatting>
  <conditionalFormatting sqref="D12:D20">
    <cfRule type="containsText" dxfId="14" priority="4" operator="containsText" text="완료">
      <formula>NOT(ISERROR(SEARCH("완료",D12)))</formula>
    </cfRule>
    <cfRule type="containsText" dxfId="13" priority="5" operator="containsText" text="중단">
      <formula>NOT(ISERROR(SEARCH("중단",D12)))</formula>
    </cfRule>
  </conditionalFormatting>
  <conditionalFormatting sqref="D13:D16">
    <cfRule type="containsText" dxfId="12" priority="2" operator="containsText" text="완료">
      <formula>NOT(ISERROR(SEARCH("완료",D13)))</formula>
    </cfRule>
    <cfRule type="containsText" dxfId="11" priority="3" operator="containsText" text="중단">
      <formula>NOT(ISERROR(SEARCH("중단",D13)))</formula>
    </cfRule>
  </conditionalFormatting>
  <conditionalFormatting sqref="D7:D23">
    <cfRule type="containsText" dxfId="10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activeCell="J26" sqref="J26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6" width="2.4140625" bestFit="1" customWidth="1"/>
  </cols>
  <sheetData>
    <row r="1" spans="1:16" ht="25.5" x14ac:dyDescent="0.45">
      <c r="A1" s="72" t="s">
        <v>43</v>
      </c>
      <c r="B1" s="73"/>
      <c r="C1" s="73"/>
      <c r="D1" s="73"/>
      <c r="E1" s="73"/>
      <c r="F1" s="73"/>
      <c r="G1" s="73"/>
      <c r="H1" s="74"/>
    </row>
    <row r="3" spans="1:16" x14ac:dyDescent="0.45">
      <c r="A3" s="52" t="s">
        <v>57</v>
      </c>
      <c r="B3" s="53"/>
      <c r="C3" s="53"/>
      <c r="D3" s="53"/>
      <c r="E3" s="53"/>
      <c r="F3" s="53"/>
      <c r="G3" s="53"/>
      <c r="H3" s="54"/>
    </row>
    <row r="4" spans="1:16" x14ac:dyDescent="0.45">
      <c r="A4" s="22"/>
      <c r="B4" s="29" t="s">
        <v>104</v>
      </c>
      <c r="C4" s="29" t="s">
        <v>50</v>
      </c>
      <c r="D4" s="29" t="s">
        <v>51</v>
      </c>
      <c r="E4" s="29" t="s">
        <v>52</v>
      </c>
      <c r="F4" s="29" t="s">
        <v>53</v>
      </c>
      <c r="G4" s="29" t="s">
        <v>54</v>
      </c>
      <c r="H4" s="29" t="s">
        <v>55</v>
      </c>
    </row>
    <row r="5" spans="1:16" x14ac:dyDescent="0.45">
      <c r="A5" s="31" t="s">
        <v>108</v>
      </c>
      <c r="B5" s="17">
        <f>SUM(C5:H5)</f>
        <v>32</v>
      </c>
      <c r="C5" s="32">
        <f>COUNTIF('ES#8'!$A$7:$A$23,LEFT(A5,10))</f>
        <v>4</v>
      </c>
      <c r="D5" s="32">
        <f>COUNTIF('ES#9'!$A$7:$A$23,LEFT(A5,10))</f>
        <v>4</v>
      </c>
      <c r="E5" s="32">
        <f>COUNTIF('PP#2'!$A$7:$A$15,LEFT(A5,10))</f>
        <v>6</v>
      </c>
      <c r="F5" s="32">
        <f>COUNTIF('PP#3'!$A$7:$A$15,LEFT(A5,10))</f>
        <v>6</v>
      </c>
      <c r="G5" s="32">
        <f>COUNTIF('PP#4'!$A$7:$A$15,LEFT(A5,10))</f>
        <v>6</v>
      </c>
      <c r="H5" s="32">
        <f>COUNTIF('PP#5'!$A$7:$A$15,LEFT(A5,10))</f>
        <v>6</v>
      </c>
    </row>
    <row r="6" spans="1:16" x14ac:dyDescent="0.45">
      <c r="A6" s="31" t="s">
        <v>109</v>
      </c>
      <c r="B6" s="17">
        <f>SUM(C6:H6)</f>
        <v>18</v>
      </c>
      <c r="C6" s="32">
        <f>COUNTIF('ES#8'!$A$7:$A$23,LEFT(A6,10))</f>
        <v>3</v>
      </c>
      <c r="D6" s="32">
        <f>COUNTIF('ES#9'!$A$7:$A$23,LEFT(A6,10))</f>
        <v>3</v>
      </c>
      <c r="E6" s="32">
        <f>COUNTIF('PP#2'!$A$7:$A$15,LEFT(A6,10))</f>
        <v>3</v>
      </c>
      <c r="F6" s="32">
        <f>COUNTIF('PP#3'!$A$7:$A$15,LEFT(A6,10))</f>
        <v>3</v>
      </c>
      <c r="G6" s="32">
        <f>COUNTIF('PP#4'!$A$7:$A$15,LEFT(A6,10))</f>
        <v>3</v>
      </c>
      <c r="H6" s="32">
        <f>COUNTIF('PP#5'!$A$7:$A$15,LEFT(A6,10))</f>
        <v>3</v>
      </c>
    </row>
    <row r="7" spans="1:16" x14ac:dyDescent="0.45">
      <c r="A7" s="31" t="s">
        <v>121</v>
      </c>
      <c r="B7" s="17"/>
      <c r="C7" s="32"/>
      <c r="D7" s="32"/>
      <c r="E7" s="32"/>
      <c r="F7" s="32"/>
      <c r="G7" s="32"/>
      <c r="H7" s="32"/>
    </row>
    <row r="8" spans="1:16" x14ac:dyDescent="0.45">
      <c r="A8" s="48"/>
      <c r="B8" s="17"/>
      <c r="C8" s="49"/>
      <c r="D8" s="49"/>
      <c r="E8" s="49"/>
      <c r="F8" s="49"/>
      <c r="G8" s="49"/>
      <c r="H8" s="49"/>
    </row>
    <row r="10" spans="1:16" x14ac:dyDescent="0.45">
      <c r="A10" s="52" t="s">
        <v>56</v>
      </c>
      <c r="B10" s="53"/>
      <c r="C10" s="53"/>
      <c r="D10" s="53"/>
      <c r="E10" s="53"/>
      <c r="F10" s="53"/>
      <c r="G10" s="53"/>
      <c r="H10" s="54"/>
    </row>
    <row r="11" spans="1:16" x14ac:dyDescent="0.45">
      <c r="A11" s="22"/>
      <c r="B11" s="29" t="s">
        <v>104</v>
      </c>
      <c r="C11" s="29" t="s">
        <v>50</v>
      </c>
      <c r="D11" s="29" t="s">
        <v>51</v>
      </c>
      <c r="E11" s="29" t="s">
        <v>52</v>
      </c>
      <c r="F11" s="29" t="s">
        <v>53</v>
      </c>
      <c r="G11" s="29" t="s">
        <v>54</v>
      </c>
      <c r="H11" s="29" t="s">
        <v>55</v>
      </c>
    </row>
    <row r="12" spans="1:16" x14ac:dyDescent="0.45">
      <c r="A12" s="40" t="s">
        <v>105</v>
      </c>
      <c r="B12" s="17">
        <f>SUM(C12:H12)</f>
        <v>54</v>
      </c>
      <c r="C12" s="34">
        <f>_xlfn.LET(
  _xlpm.ym, LEFT($A12,7),
  _xlpm.d0, DATEVALUE(_xlpm.ym &amp; "-01"),
  COUNTIFS('ES#8'!$A$7:$A$23, "&gt;=" &amp; _xlpm.d0,
           'ES#8'!$A$7:$A$23, "&lt;"  &amp; EOMONTH(_xlpm.d0,0)+1)
)</f>
        <v>9</v>
      </c>
      <c r="D12" s="34">
        <f>_xlfn.LET(
  _xlpm.ym, LEFT($A12,7),
  _xlpm.d0, DATEVALUE(_xlpm.ym &amp; "-01"),
  COUNTIFS('ES#9'!$A$7:$A$23, "&gt;=" &amp; _xlpm.d0,
           'ES#9'!$A$7:$A$23, "&lt;"  &amp; EOMONTH(_xlpm.d0,0)+1)
)</f>
        <v>9</v>
      </c>
      <c r="E12" s="34">
        <f>_xlfn.LET(
  _xlpm.ym, LEFT($A12,7),
  _xlpm.d0, DATEVALUE(_xlpm.ym &amp; "-01"),
  COUNTIFS('PP#2'!$A$7:$A$15, "&gt;=" &amp; _xlpm.d0,
           'PP#2'!$A$7:$A$15, "&lt;"  &amp; EOMONTH(_xlpm.d0,0)+1)
)</f>
        <v>9</v>
      </c>
      <c r="F12" s="34">
        <f>_xlfn.LET(
  _xlpm.ym, LEFT($A12,7),
  _xlpm.d0, DATEVALUE(_xlpm.ym &amp; "-01"),
  COUNTIFS('PP#3'!$A$7:$A$15, "&gt;=" &amp; _xlpm.d0,
           'PP#3'!$A$7:$A$15, "&lt;"  &amp; EOMONTH(_xlpm.d0,0)+1)
)</f>
        <v>9</v>
      </c>
      <c r="G12" s="34">
        <f>_xlfn.LET(
  _xlpm.ym, LEFT($A12,7),
  _xlpm.d0, DATEVALUE(_xlpm.ym &amp; "-01"),
  COUNTIFS('PP#4'!$A$7:$A$15, "&gt;=" &amp; _xlpm.d0,
           'PP#4'!$A$7:$A$15, "&lt;"  &amp; EOMONTH(_xlpm.d0,0)+1)
)</f>
        <v>9</v>
      </c>
      <c r="H12" s="34">
        <f>_xlfn.LET(
  _xlpm.ym, LEFT($A12,7),
  _xlpm.d0, DATEVALUE(_xlpm.ym &amp; "-01"),
  COUNTIFS('PP#5'!$A$7:$A$15, "&gt;=" &amp; _xlpm.d0,
           'PP#5'!$A$7:$A$15, "&lt;"  &amp; EOMONTH(_xlpm.d0,0)+1)
)</f>
        <v>9</v>
      </c>
      <c r="J12" s="40" t="s">
        <v>115</v>
      </c>
      <c r="K12" s="34">
        <f t="shared" ref="K12:P12" si="0">SUM(C5:C6)</f>
        <v>7</v>
      </c>
      <c r="L12" s="34">
        <f t="shared" si="0"/>
        <v>7</v>
      </c>
      <c r="M12" s="34">
        <f t="shared" si="0"/>
        <v>9</v>
      </c>
      <c r="N12" s="34">
        <f t="shared" si="0"/>
        <v>9</v>
      </c>
      <c r="O12" s="34">
        <f t="shared" si="0"/>
        <v>9</v>
      </c>
      <c r="P12" s="34">
        <f t="shared" si="0"/>
        <v>9</v>
      </c>
    </row>
    <row r="13" spans="1:16" x14ac:dyDescent="0.45">
      <c r="A13" s="40" t="s">
        <v>110</v>
      </c>
      <c r="B13" s="17"/>
      <c r="C13" s="34"/>
      <c r="D13" s="34"/>
      <c r="E13" s="34"/>
      <c r="F13" s="34"/>
      <c r="G13" s="34"/>
      <c r="H13" s="34"/>
    </row>
    <row r="16" spans="1:16" x14ac:dyDescent="0.45">
      <c r="A16" s="60" t="s">
        <v>120</v>
      </c>
      <c r="B16" s="60"/>
      <c r="C16" s="60"/>
      <c r="D16" s="60"/>
      <c r="E16" s="60"/>
      <c r="F16" s="60"/>
      <c r="G16" s="60"/>
      <c r="H16" s="61"/>
    </row>
    <row r="17" spans="1:8" x14ac:dyDescent="0.45">
      <c r="A17" s="31" t="s">
        <v>114</v>
      </c>
      <c r="B17" s="31" t="s">
        <v>102</v>
      </c>
      <c r="C17" s="69" t="s">
        <v>103</v>
      </c>
      <c r="D17" s="70"/>
      <c r="E17" s="70"/>
      <c r="F17" s="70"/>
      <c r="G17" s="70"/>
      <c r="H17" s="71"/>
    </row>
    <row r="18" spans="1:8" x14ac:dyDescent="0.45">
      <c r="A18" s="33" t="s">
        <v>42</v>
      </c>
      <c r="B18" s="17">
        <f>SUM(B5:B6)</f>
        <v>50</v>
      </c>
      <c r="C18" s="86"/>
      <c r="D18" s="81"/>
      <c r="E18" s="81"/>
      <c r="F18" s="81"/>
      <c r="G18" s="81"/>
      <c r="H18" s="82"/>
    </row>
    <row r="19" spans="1:8" x14ac:dyDescent="0.45">
      <c r="A19" s="42" t="s">
        <v>58</v>
      </c>
      <c r="B19" s="17">
        <f>COUNT(B5:B6)</f>
        <v>2</v>
      </c>
      <c r="C19" s="86"/>
      <c r="D19" s="81"/>
      <c r="E19" s="81"/>
      <c r="F19" s="81"/>
      <c r="G19" s="81"/>
      <c r="H19" s="82"/>
    </row>
    <row r="20" spans="1:8" x14ac:dyDescent="0.45">
      <c r="A20" s="42" t="s">
        <v>106</v>
      </c>
      <c r="B20" s="17">
        <f>COUNT(B12:B13)</f>
        <v>1</v>
      </c>
      <c r="C20" s="86"/>
      <c r="D20" s="81"/>
      <c r="E20" s="81"/>
      <c r="F20" s="81"/>
      <c r="G20" s="81"/>
      <c r="H20" s="82"/>
    </row>
    <row r="21" spans="1:8" x14ac:dyDescent="0.45">
      <c r="A21" s="45" t="s">
        <v>95</v>
      </c>
      <c r="B21" s="17">
        <f>ROUNDDOWN(B18/B19,1)</f>
        <v>25</v>
      </c>
      <c r="C21" s="83" t="s">
        <v>107</v>
      </c>
      <c r="D21" s="84"/>
      <c r="E21" s="84"/>
      <c r="F21" s="84"/>
      <c r="G21" s="84"/>
      <c r="H21" s="85"/>
    </row>
    <row r="22" spans="1:8" x14ac:dyDescent="0.45">
      <c r="A22" s="42" t="s">
        <v>100</v>
      </c>
      <c r="B22" s="17"/>
      <c r="C22" s="80" t="s">
        <v>101</v>
      </c>
      <c r="D22" s="81"/>
      <c r="E22" s="81"/>
      <c r="F22" s="81"/>
      <c r="G22" s="81"/>
      <c r="H22" s="82"/>
    </row>
    <row r="25" spans="1:8" ht="17" customHeight="1" x14ac:dyDescent="0.45">
      <c r="A25" s="72" t="s">
        <v>112</v>
      </c>
      <c r="B25" s="73"/>
      <c r="C25" s="73"/>
      <c r="D25" s="73"/>
      <c r="E25" s="73"/>
      <c r="F25" s="73"/>
      <c r="G25" s="73"/>
      <c r="H25" s="74"/>
    </row>
    <row r="26" spans="1:8" ht="17" customHeight="1" x14ac:dyDescent="0.45">
      <c r="A26" s="77"/>
      <c r="B26" s="78"/>
      <c r="C26" s="78"/>
      <c r="D26" s="78"/>
      <c r="E26" s="78"/>
      <c r="F26" s="78"/>
      <c r="G26" s="78"/>
      <c r="H26" s="79"/>
    </row>
    <row r="27" spans="1:8" x14ac:dyDescent="0.45">
      <c r="A27" s="75" t="s">
        <v>113</v>
      </c>
      <c r="B27" s="38" t="s">
        <v>29</v>
      </c>
      <c r="C27" s="17">
        <v>2.2599999999999998</v>
      </c>
      <c r="D27" s="39"/>
      <c r="E27" s="39"/>
      <c r="F27" s="35"/>
      <c r="G27" s="35"/>
      <c r="H27" s="30"/>
    </row>
    <row r="28" spans="1:8" x14ac:dyDescent="0.45">
      <c r="A28" s="76"/>
      <c r="B28" s="40" t="s">
        <v>41</v>
      </c>
      <c r="C28" s="17"/>
      <c r="D28" s="41"/>
      <c r="E28" s="41"/>
      <c r="F28" s="35"/>
      <c r="G28" s="35"/>
      <c r="H28" s="30"/>
    </row>
    <row r="29" spans="1:8" x14ac:dyDescent="0.45">
      <c r="A29" s="76"/>
      <c r="B29" s="41"/>
      <c r="C29" s="17"/>
      <c r="D29" s="41"/>
      <c r="E29" s="41"/>
      <c r="F29" s="35"/>
      <c r="G29" s="35"/>
      <c r="H29" s="30"/>
    </row>
    <row r="30" spans="1:8" x14ac:dyDescent="0.45">
      <c r="A30" s="76"/>
      <c r="B30" s="41"/>
      <c r="C30" s="17"/>
      <c r="D30" s="41"/>
      <c r="E30" s="41"/>
      <c r="F30" s="35"/>
      <c r="G30" s="35"/>
      <c r="H30" s="30"/>
    </row>
    <row r="31" spans="1:8" x14ac:dyDescent="0.45">
      <c r="A31" s="76"/>
      <c r="B31" s="41"/>
      <c r="C31" s="17"/>
      <c r="D31" s="41"/>
      <c r="E31" s="41"/>
      <c r="F31" s="35"/>
      <c r="G31" s="35"/>
      <c r="H31" s="30"/>
    </row>
    <row r="34" spans="1:8" x14ac:dyDescent="0.45">
      <c r="A34" s="72" t="s">
        <v>127</v>
      </c>
      <c r="B34" s="73"/>
      <c r="C34" s="73"/>
      <c r="D34" s="73"/>
      <c r="E34" s="73"/>
      <c r="F34" s="73"/>
      <c r="G34" s="73"/>
      <c r="H34" s="74"/>
    </row>
    <row r="35" spans="1:8" x14ac:dyDescent="0.45">
      <c r="A35" s="77"/>
      <c r="B35" s="78"/>
      <c r="C35" s="78"/>
      <c r="D35" s="78"/>
      <c r="E35" s="78"/>
      <c r="F35" s="78"/>
      <c r="G35" s="78"/>
      <c r="H35" s="79"/>
    </row>
    <row r="36" spans="1:8" x14ac:dyDescent="0.45">
      <c r="A36" s="76" t="s">
        <v>126</v>
      </c>
      <c r="B36" s="31" t="s">
        <v>32</v>
      </c>
      <c r="C36" s="17"/>
      <c r="D36" s="41"/>
      <c r="E36" s="41"/>
      <c r="F36" s="35"/>
      <c r="G36" s="35"/>
      <c r="H36" s="30"/>
    </row>
    <row r="37" spans="1:8" x14ac:dyDescent="0.45">
      <c r="A37" s="76"/>
      <c r="B37" s="41"/>
      <c r="C37" s="17"/>
      <c r="D37" s="41"/>
      <c r="E37" s="41"/>
      <c r="F37" s="35"/>
      <c r="G37" s="35"/>
      <c r="H37" s="30"/>
    </row>
    <row r="38" spans="1:8" x14ac:dyDescent="0.45">
      <c r="A38" s="76"/>
      <c r="B38" s="41"/>
      <c r="C38" s="17"/>
      <c r="D38" s="41"/>
      <c r="E38" s="41"/>
      <c r="F38" s="35"/>
      <c r="G38" s="35"/>
      <c r="H38" s="30"/>
    </row>
    <row r="39" spans="1:8" x14ac:dyDescent="0.45">
      <c r="A39" s="76"/>
      <c r="B39" s="41"/>
      <c r="C39" s="17"/>
      <c r="D39" s="41"/>
      <c r="E39" s="41"/>
      <c r="F39" s="35"/>
      <c r="G39" s="35"/>
      <c r="H39" s="30"/>
    </row>
    <row r="40" spans="1:8" x14ac:dyDescent="0.45">
      <c r="A40" s="76"/>
      <c r="B40" s="41"/>
      <c r="C40" s="17"/>
      <c r="D40" s="41"/>
      <c r="E40" s="41"/>
      <c r="F40" s="35"/>
      <c r="G40" s="35"/>
      <c r="H40" s="30"/>
    </row>
    <row r="41" spans="1:8" x14ac:dyDescent="0.45">
      <c r="A41" s="76"/>
      <c r="B41" s="41"/>
      <c r="C41" s="17"/>
      <c r="D41" s="41"/>
      <c r="E41" s="41"/>
      <c r="F41" s="36"/>
      <c r="G41" s="36"/>
      <c r="H41" s="37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>
      <selection activeCell="D6" sqref="D6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6" t="s">
        <v>97</v>
      </c>
      <c r="C4" s="27" t="s">
        <v>98</v>
      </c>
      <c r="D4" s="16" t="s">
        <v>118</v>
      </c>
    </row>
    <row r="5" spans="2:4" ht="170" x14ac:dyDescent="0.45">
      <c r="B5" s="16" t="s">
        <v>99</v>
      </c>
      <c r="C5" s="27" t="s">
        <v>96</v>
      </c>
      <c r="D5" s="16" t="s">
        <v>119</v>
      </c>
    </row>
    <row r="6" spans="2:4" ht="170" x14ac:dyDescent="0.45">
      <c r="B6" s="16" t="s">
        <v>116</v>
      </c>
      <c r="C6" s="27" t="s">
        <v>117</v>
      </c>
      <c r="D6" s="16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2025-11-12T01:32:11Z</dcterms:modified>
</cp:coreProperties>
</file>