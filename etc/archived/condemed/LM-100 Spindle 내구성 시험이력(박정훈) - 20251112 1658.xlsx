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박정훈\업무자동화\"/>
    </mc:Choice>
  </mc:AlternateContent>
  <xr:revisionPtr revIDLastSave="0" documentId="13_ncr:1_{51E5BB6A-A1A5-4837-B94F-A04B920D0AC4}" xr6:coauthVersionLast="47" xr6:coauthVersionMax="47" xr10:uidLastSave="{00000000-0000-0000-0000-000000000000}"/>
  <bookViews>
    <workbookView xWindow="-110" yWindow="-110" windowWidth="25820" windowHeight="15500" firstSheet="1" activeTab="1" xr2:uid="{CED9E63A-2141-4F6D-B852-EE2848ECBF25}"/>
  </bookViews>
  <sheets>
    <sheet name="시험" sheetId="3" state="hidden" r:id="rId1"/>
    <sheet name="ES#8" sheetId="18" r:id="rId2"/>
    <sheet name="ES#9" sheetId="19" r:id="rId3"/>
    <sheet name="PP#2" sheetId="2" r:id="rId4"/>
    <sheet name="PP#3" sheetId="15" r:id="rId5"/>
    <sheet name="PP#4" sheetId="16" r:id="rId6"/>
    <sheet name="PP#5" sheetId="17" r:id="rId7"/>
    <sheet name="종합" sheetId="10" r:id="rId8"/>
    <sheet name="특이사항 상세(raw)" sheetId="20" r:id="rId9"/>
  </sheets>
  <definedNames>
    <definedName name="_xlnm._FilterDatabase" localSheetId="1" hidden="1">'ES#8'!$A$2:$AP$6</definedName>
    <definedName name="_xlnm._FilterDatabase" localSheetId="2" hidden="1">'ES#9'!$A$2:$AP$6</definedName>
    <definedName name="_xlnm._FilterDatabase" localSheetId="3" hidden="1">'PP#2'!$A$2:$AP$6</definedName>
    <definedName name="_xlnm._FilterDatabase" localSheetId="4" hidden="1">'PP#3'!$A$2:$AP$6</definedName>
    <definedName name="_xlnm._FilterDatabase" localSheetId="5" hidden="1">'PP#4'!$A$2:$AP$6</definedName>
    <definedName name="_xlnm._FilterDatabase" localSheetId="6" hidden="1">'PP#5'!$A$2:$AP$6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16" i="18" l="1"/>
  <c r="AE16" i="18"/>
  <c r="AJ17" i="18"/>
  <c r="AI17" i="18"/>
  <c r="AH17" i="18"/>
  <c r="AE17" i="18"/>
  <c r="AD17" i="18"/>
  <c r="AC17" i="18"/>
  <c r="AB17" i="18"/>
  <c r="AA17" i="18"/>
  <c r="Z17" i="18"/>
  <c r="Y17" i="18"/>
  <c r="X17" i="18"/>
  <c r="W17" i="18"/>
  <c r="V17" i="18"/>
  <c r="U17" i="18"/>
  <c r="U18" i="18"/>
  <c r="V18" i="18"/>
  <c r="W18" i="18"/>
  <c r="X18" i="18"/>
  <c r="Y18" i="18"/>
  <c r="Z18" i="18"/>
  <c r="AA18" i="18"/>
  <c r="AB18" i="18"/>
  <c r="T17" i="18"/>
  <c r="S17" i="18"/>
  <c r="R17" i="18"/>
  <c r="Q17" i="18"/>
  <c r="E23" i="17"/>
  <c r="E24" i="17"/>
  <c r="E25" i="17"/>
  <c r="E26" i="17"/>
  <c r="E27" i="17"/>
  <c r="E28" i="17"/>
  <c r="E23" i="16"/>
  <c r="E24" i="16"/>
  <c r="E25" i="16"/>
  <c r="E26" i="16"/>
  <c r="E27" i="16"/>
  <c r="E28" i="16"/>
  <c r="E22" i="17"/>
  <c r="E22" i="16"/>
  <c r="E28" i="15"/>
  <c r="E27" i="15"/>
  <c r="E26" i="15"/>
  <c r="E25" i="15"/>
  <c r="E24" i="15"/>
  <c r="E23" i="15"/>
  <c r="E22" i="15"/>
  <c r="E21" i="15"/>
  <c r="E20" i="15"/>
  <c r="E28" i="2"/>
  <c r="E27" i="2"/>
  <c r="E26" i="2"/>
  <c r="E25" i="2"/>
  <c r="E24" i="2"/>
  <c r="E23" i="2"/>
  <c r="E22" i="2"/>
  <c r="E28" i="19"/>
  <c r="E27" i="19"/>
  <c r="E26" i="19"/>
  <c r="E25" i="19"/>
  <c r="E24" i="19"/>
  <c r="E23" i="19"/>
  <c r="E22" i="19"/>
  <c r="E21" i="19"/>
  <c r="E20" i="19"/>
  <c r="E19" i="19"/>
  <c r="E18" i="19"/>
  <c r="E18" i="18"/>
  <c r="E19" i="18"/>
  <c r="E20" i="18"/>
  <c r="E21" i="18"/>
  <c r="E22" i="18"/>
  <c r="E23" i="18"/>
  <c r="E24" i="18"/>
  <c r="E25" i="18"/>
  <c r="E26" i="18"/>
  <c r="E27" i="18"/>
  <c r="E28" i="18"/>
  <c r="Q28" i="2"/>
  <c r="AC16" i="19"/>
  <c r="AB16" i="19"/>
  <c r="AA16" i="19"/>
  <c r="Z16" i="19"/>
  <c r="Y16" i="19"/>
  <c r="X16" i="19"/>
  <c r="W16" i="19"/>
  <c r="V16" i="19"/>
  <c r="U16" i="19"/>
  <c r="AB16" i="18"/>
  <c r="AA16" i="18"/>
  <c r="Z16" i="18"/>
  <c r="Y16" i="18"/>
  <c r="X16" i="18"/>
  <c r="W16" i="18"/>
  <c r="V16" i="18"/>
  <c r="U16" i="18"/>
  <c r="D16" i="18"/>
  <c r="D16" i="19"/>
  <c r="AC21" i="17"/>
  <c r="AC20" i="17"/>
  <c r="AC19" i="17"/>
  <c r="AC18" i="17"/>
  <c r="AC21" i="16"/>
  <c r="AC20" i="16"/>
  <c r="AC19" i="16"/>
  <c r="AC18" i="16"/>
  <c r="AC19" i="15"/>
  <c r="AC18" i="15"/>
  <c r="AC15" i="15"/>
  <c r="AC14" i="15"/>
  <c r="AC13" i="15"/>
  <c r="AC12" i="15"/>
  <c r="AC10" i="15"/>
  <c r="AC9" i="15"/>
  <c r="AC8" i="15"/>
  <c r="AC7" i="15"/>
  <c r="AC21" i="2"/>
  <c r="AC20" i="2"/>
  <c r="AC19" i="2"/>
  <c r="AC18" i="2"/>
  <c r="AC15" i="19"/>
  <c r="AC14" i="19"/>
  <c r="AC13" i="19"/>
  <c r="AC12" i="19"/>
  <c r="AC10" i="19"/>
  <c r="AC9" i="19"/>
  <c r="AC8" i="19"/>
  <c r="AC7" i="19"/>
  <c r="AC15" i="18"/>
  <c r="AC14" i="18"/>
  <c r="AC13" i="18"/>
  <c r="AC12" i="18"/>
  <c r="AC10" i="18"/>
  <c r="AC9" i="18"/>
  <c r="AC8" i="18"/>
  <c r="AC7" i="18"/>
  <c r="AB21" i="17"/>
  <c r="AA21" i="17"/>
  <c r="Z21" i="17"/>
  <c r="Y21" i="17"/>
  <c r="X21" i="17"/>
  <c r="W21" i="17"/>
  <c r="V21" i="17"/>
  <c r="U21" i="17"/>
  <c r="AB20" i="17"/>
  <c r="AA20" i="17"/>
  <c r="Z20" i="17"/>
  <c r="Y20" i="17"/>
  <c r="X20" i="17"/>
  <c r="W20" i="17"/>
  <c r="V20" i="17"/>
  <c r="U20" i="17"/>
  <c r="AB19" i="17"/>
  <c r="AA19" i="17"/>
  <c r="Z19" i="17"/>
  <c r="Y19" i="17"/>
  <c r="X19" i="17"/>
  <c r="W19" i="17"/>
  <c r="V19" i="17"/>
  <c r="U19" i="17"/>
  <c r="AB18" i="17"/>
  <c r="AA18" i="17"/>
  <c r="Z18" i="17"/>
  <c r="Y18" i="17"/>
  <c r="X18" i="17"/>
  <c r="W18" i="17"/>
  <c r="V18" i="17"/>
  <c r="U18" i="17"/>
  <c r="AB11" i="17"/>
  <c r="AA11" i="17"/>
  <c r="Z11" i="17"/>
  <c r="Y11" i="17"/>
  <c r="AB21" i="16"/>
  <c r="AA21" i="16"/>
  <c r="Z21" i="16"/>
  <c r="Y21" i="16"/>
  <c r="X21" i="16"/>
  <c r="W21" i="16"/>
  <c r="V21" i="16"/>
  <c r="U21" i="16"/>
  <c r="AB20" i="16"/>
  <c r="AA20" i="16"/>
  <c r="Z20" i="16"/>
  <c r="Y20" i="16"/>
  <c r="X20" i="16"/>
  <c r="W20" i="16"/>
  <c r="V20" i="16"/>
  <c r="U20" i="16"/>
  <c r="AB19" i="16"/>
  <c r="AA19" i="16"/>
  <c r="Z19" i="16"/>
  <c r="Y19" i="16"/>
  <c r="X19" i="16"/>
  <c r="W19" i="16"/>
  <c r="V19" i="16"/>
  <c r="U19" i="16"/>
  <c r="AB18" i="16"/>
  <c r="AA18" i="16"/>
  <c r="Z18" i="16"/>
  <c r="Y18" i="16"/>
  <c r="X18" i="16"/>
  <c r="W18" i="16"/>
  <c r="V18" i="16"/>
  <c r="U18" i="16"/>
  <c r="AB11" i="16"/>
  <c r="AA11" i="16"/>
  <c r="Z11" i="16"/>
  <c r="Y11" i="16"/>
  <c r="AB19" i="15"/>
  <c r="AA19" i="15"/>
  <c r="Z19" i="15"/>
  <c r="Y19" i="15"/>
  <c r="X19" i="15"/>
  <c r="W19" i="15"/>
  <c r="V19" i="15"/>
  <c r="U19" i="15"/>
  <c r="AB18" i="15"/>
  <c r="AA18" i="15"/>
  <c r="Z18" i="15"/>
  <c r="Y18" i="15"/>
  <c r="X18" i="15"/>
  <c r="W18" i="15"/>
  <c r="V18" i="15"/>
  <c r="U18" i="15"/>
  <c r="AB15" i="15"/>
  <c r="AA15" i="15"/>
  <c r="Z15" i="15"/>
  <c r="Y15" i="15"/>
  <c r="X15" i="15"/>
  <c r="W15" i="15"/>
  <c r="V15" i="15"/>
  <c r="U15" i="15"/>
  <c r="AB14" i="15"/>
  <c r="AA14" i="15"/>
  <c r="Z14" i="15"/>
  <c r="Y14" i="15"/>
  <c r="X14" i="15"/>
  <c r="W14" i="15"/>
  <c r="V14" i="15"/>
  <c r="U14" i="15"/>
  <c r="AB13" i="15"/>
  <c r="AA13" i="15"/>
  <c r="Z13" i="15"/>
  <c r="Y13" i="15"/>
  <c r="X13" i="15"/>
  <c r="W13" i="15"/>
  <c r="V13" i="15"/>
  <c r="U13" i="15"/>
  <c r="AB12" i="15"/>
  <c r="AA12" i="15"/>
  <c r="Z12" i="15"/>
  <c r="Y12" i="15"/>
  <c r="X12" i="15"/>
  <c r="W12" i="15"/>
  <c r="V12" i="15"/>
  <c r="U12" i="15"/>
  <c r="AB10" i="15"/>
  <c r="AA10" i="15"/>
  <c r="Z10" i="15"/>
  <c r="Y10" i="15"/>
  <c r="X10" i="15"/>
  <c r="W10" i="15"/>
  <c r="V10" i="15"/>
  <c r="U10" i="15"/>
  <c r="AB9" i="15"/>
  <c r="AA9" i="15"/>
  <c r="Z9" i="15"/>
  <c r="Y9" i="15"/>
  <c r="X9" i="15"/>
  <c r="W9" i="15"/>
  <c r="V9" i="15"/>
  <c r="U9" i="15"/>
  <c r="AB8" i="15"/>
  <c r="AA8" i="15"/>
  <c r="Z8" i="15"/>
  <c r="Y8" i="15"/>
  <c r="X8" i="15"/>
  <c r="W8" i="15"/>
  <c r="V8" i="15"/>
  <c r="U8" i="15"/>
  <c r="AB7" i="15"/>
  <c r="AA7" i="15"/>
  <c r="Z7" i="15"/>
  <c r="Y7" i="15"/>
  <c r="X7" i="15"/>
  <c r="W7" i="15"/>
  <c r="V7" i="15"/>
  <c r="U7" i="15"/>
  <c r="AB21" i="2"/>
  <c r="AA21" i="2"/>
  <c r="Z21" i="2"/>
  <c r="Y21" i="2"/>
  <c r="X21" i="2"/>
  <c r="W21" i="2"/>
  <c r="V21" i="2"/>
  <c r="U21" i="2"/>
  <c r="AB20" i="2"/>
  <c r="AA20" i="2"/>
  <c r="Z20" i="2"/>
  <c r="Y20" i="2"/>
  <c r="X20" i="2"/>
  <c r="W20" i="2"/>
  <c r="V20" i="2"/>
  <c r="U20" i="2"/>
  <c r="AB19" i="2"/>
  <c r="AA19" i="2"/>
  <c r="Z19" i="2"/>
  <c r="Y19" i="2"/>
  <c r="X19" i="2"/>
  <c r="W19" i="2"/>
  <c r="V19" i="2"/>
  <c r="U19" i="2"/>
  <c r="AB18" i="2"/>
  <c r="AA18" i="2"/>
  <c r="Z18" i="2"/>
  <c r="Y18" i="2"/>
  <c r="X18" i="2"/>
  <c r="W18" i="2"/>
  <c r="V18" i="2"/>
  <c r="U18" i="2"/>
  <c r="AB15" i="19"/>
  <c r="AA15" i="19"/>
  <c r="Z15" i="19"/>
  <c r="Y15" i="19"/>
  <c r="X15" i="19"/>
  <c r="W15" i="19"/>
  <c r="V15" i="19"/>
  <c r="U15" i="19"/>
  <c r="AB14" i="19"/>
  <c r="AA14" i="19"/>
  <c r="Z14" i="19"/>
  <c r="Y14" i="19"/>
  <c r="X14" i="19"/>
  <c r="W14" i="19"/>
  <c r="V14" i="19"/>
  <c r="U14" i="19"/>
  <c r="AB13" i="19"/>
  <c r="AA13" i="19"/>
  <c r="Z13" i="19"/>
  <c r="Y13" i="19"/>
  <c r="X13" i="19"/>
  <c r="W13" i="19"/>
  <c r="V13" i="19"/>
  <c r="U13" i="19"/>
  <c r="AB12" i="19"/>
  <c r="AA12" i="19"/>
  <c r="Z12" i="19"/>
  <c r="Y12" i="19"/>
  <c r="X12" i="19"/>
  <c r="W12" i="19"/>
  <c r="V12" i="19"/>
  <c r="U12" i="19"/>
  <c r="AB10" i="19"/>
  <c r="AA10" i="19"/>
  <c r="Z10" i="19"/>
  <c r="Y10" i="19"/>
  <c r="X10" i="19"/>
  <c r="W10" i="19"/>
  <c r="V10" i="19"/>
  <c r="U10" i="19"/>
  <c r="AB9" i="19"/>
  <c r="AA9" i="19"/>
  <c r="Z9" i="19"/>
  <c r="Y9" i="19"/>
  <c r="X9" i="19"/>
  <c r="W9" i="19"/>
  <c r="V9" i="19"/>
  <c r="U9" i="19"/>
  <c r="AB8" i="19"/>
  <c r="AA8" i="19"/>
  <c r="Z8" i="19"/>
  <c r="Y8" i="19"/>
  <c r="X8" i="19"/>
  <c r="W8" i="19"/>
  <c r="V8" i="19"/>
  <c r="U8" i="19"/>
  <c r="AB7" i="19"/>
  <c r="AA7" i="19"/>
  <c r="Z7" i="19"/>
  <c r="Y7" i="19"/>
  <c r="X7" i="19"/>
  <c r="W7" i="19"/>
  <c r="V7" i="19"/>
  <c r="U7" i="19"/>
  <c r="AB15" i="18"/>
  <c r="AA15" i="18"/>
  <c r="Z15" i="18"/>
  <c r="Y15" i="18"/>
  <c r="X15" i="18"/>
  <c r="W15" i="18"/>
  <c r="V15" i="18"/>
  <c r="U15" i="18"/>
  <c r="AB14" i="18"/>
  <c r="AA14" i="18"/>
  <c r="Z14" i="18"/>
  <c r="Y14" i="18"/>
  <c r="X14" i="18"/>
  <c r="W14" i="18"/>
  <c r="V14" i="18"/>
  <c r="U14" i="18"/>
  <c r="AB13" i="18"/>
  <c r="AA13" i="18"/>
  <c r="Z13" i="18"/>
  <c r="Y13" i="18"/>
  <c r="X13" i="18"/>
  <c r="W13" i="18"/>
  <c r="V13" i="18"/>
  <c r="U13" i="18"/>
  <c r="AB12" i="18"/>
  <c r="AA12" i="18"/>
  <c r="Z12" i="18"/>
  <c r="Y12" i="18"/>
  <c r="X12" i="18"/>
  <c r="W12" i="18"/>
  <c r="V12" i="18"/>
  <c r="U12" i="18"/>
  <c r="AB10" i="18"/>
  <c r="AA10" i="18"/>
  <c r="Z10" i="18"/>
  <c r="Y10" i="18"/>
  <c r="X10" i="18"/>
  <c r="W10" i="18"/>
  <c r="V10" i="18"/>
  <c r="U10" i="18"/>
  <c r="AB9" i="18"/>
  <c r="AA9" i="18"/>
  <c r="Z9" i="18"/>
  <c r="Y9" i="18"/>
  <c r="X9" i="18"/>
  <c r="W9" i="18"/>
  <c r="V9" i="18"/>
  <c r="U9" i="18"/>
  <c r="AB8" i="18"/>
  <c r="AA8" i="18"/>
  <c r="Z8" i="18"/>
  <c r="Y8" i="18"/>
  <c r="X8" i="18"/>
  <c r="W8" i="18"/>
  <c r="V8" i="18"/>
  <c r="U8" i="18"/>
  <c r="AB7" i="18"/>
  <c r="AA7" i="18"/>
  <c r="Z7" i="18"/>
  <c r="Y7" i="18"/>
  <c r="X7" i="18"/>
  <c r="W7" i="18"/>
  <c r="V7" i="18"/>
  <c r="U7" i="18"/>
  <c r="T20" i="17"/>
  <c r="S20" i="17"/>
  <c r="R20" i="17"/>
  <c r="Q20" i="17"/>
  <c r="T19" i="17"/>
  <c r="S19" i="17"/>
  <c r="R19" i="17"/>
  <c r="Q19" i="17"/>
  <c r="T18" i="17"/>
  <c r="S18" i="17"/>
  <c r="R18" i="17"/>
  <c r="Q18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AC16" i="17"/>
  <c r="AB16" i="17"/>
  <c r="AA16" i="17"/>
  <c r="Z16" i="17"/>
  <c r="Y16" i="17"/>
  <c r="X16" i="17"/>
  <c r="W16" i="17"/>
  <c r="V16" i="17"/>
  <c r="U16" i="17"/>
  <c r="AC15" i="17"/>
  <c r="AB15" i="17"/>
  <c r="AA15" i="17"/>
  <c r="Z15" i="17"/>
  <c r="Y15" i="17"/>
  <c r="X15" i="17"/>
  <c r="W15" i="17"/>
  <c r="V15" i="17"/>
  <c r="U15" i="17"/>
  <c r="T15" i="17"/>
  <c r="S15" i="17"/>
  <c r="R15" i="17"/>
  <c r="Q15" i="17"/>
  <c r="AC14" i="17"/>
  <c r="AB14" i="17"/>
  <c r="AA14" i="17"/>
  <c r="Z14" i="17"/>
  <c r="Y14" i="17"/>
  <c r="X14" i="17"/>
  <c r="W14" i="17"/>
  <c r="V14" i="17"/>
  <c r="U14" i="17"/>
  <c r="T14" i="17"/>
  <c r="S14" i="17"/>
  <c r="R14" i="17"/>
  <c r="Q14" i="17"/>
  <c r="AC13" i="17"/>
  <c r="AB13" i="17"/>
  <c r="AA13" i="17"/>
  <c r="Z13" i="17"/>
  <c r="Y13" i="17"/>
  <c r="X13" i="17"/>
  <c r="W13" i="17"/>
  <c r="V13" i="17"/>
  <c r="U13" i="17"/>
  <c r="T13" i="17"/>
  <c r="S13" i="17"/>
  <c r="R13" i="17"/>
  <c r="Q13" i="17"/>
  <c r="AC12" i="17"/>
  <c r="AB12" i="17"/>
  <c r="AA12" i="17"/>
  <c r="Z12" i="17"/>
  <c r="Y12" i="17"/>
  <c r="X12" i="17"/>
  <c r="W12" i="17"/>
  <c r="V12" i="17"/>
  <c r="U12" i="17"/>
  <c r="T12" i="17"/>
  <c r="S12" i="17"/>
  <c r="R12" i="17"/>
  <c r="Q12" i="17"/>
  <c r="AC10" i="17"/>
  <c r="AB10" i="17"/>
  <c r="AA10" i="17"/>
  <c r="Z10" i="17"/>
  <c r="Y10" i="17"/>
  <c r="X10" i="17"/>
  <c r="W10" i="17"/>
  <c r="V10" i="17"/>
  <c r="U10" i="17"/>
  <c r="T10" i="17"/>
  <c r="S10" i="17"/>
  <c r="R10" i="17"/>
  <c r="Q10" i="17"/>
  <c r="AC9" i="17"/>
  <c r="AB9" i="17"/>
  <c r="AA9" i="17"/>
  <c r="Z9" i="17"/>
  <c r="Y9" i="17"/>
  <c r="X9" i="17"/>
  <c r="W9" i="17"/>
  <c r="V9" i="17"/>
  <c r="U9" i="17"/>
  <c r="T9" i="17"/>
  <c r="S9" i="17"/>
  <c r="R9" i="17"/>
  <c r="Q9" i="17"/>
  <c r="AC8" i="17"/>
  <c r="AB8" i="17"/>
  <c r="AA8" i="17"/>
  <c r="Z8" i="17"/>
  <c r="Y8" i="17"/>
  <c r="X8" i="17"/>
  <c r="W8" i="17"/>
  <c r="V8" i="17"/>
  <c r="U8" i="17"/>
  <c r="T8" i="17"/>
  <c r="S8" i="17"/>
  <c r="R8" i="17"/>
  <c r="Q8" i="17"/>
  <c r="AC7" i="17"/>
  <c r="AB7" i="17"/>
  <c r="AA7" i="17"/>
  <c r="Z7" i="17"/>
  <c r="Y7" i="17"/>
  <c r="X7" i="17"/>
  <c r="W7" i="17"/>
  <c r="V7" i="17"/>
  <c r="U7" i="17"/>
  <c r="T7" i="17"/>
  <c r="S7" i="17"/>
  <c r="R7" i="17"/>
  <c r="Q7" i="17"/>
  <c r="T20" i="16"/>
  <c r="S20" i="16"/>
  <c r="R20" i="16"/>
  <c r="Q20" i="16"/>
  <c r="T19" i="16"/>
  <c r="S19" i="16"/>
  <c r="R19" i="16"/>
  <c r="Q19" i="16"/>
  <c r="T18" i="16"/>
  <c r="S18" i="16"/>
  <c r="R18" i="16"/>
  <c r="Q18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AC16" i="16"/>
  <c r="AB16" i="16"/>
  <c r="AA16" i="16"/>
  <c r="Z16" i="16"/>
  <c r="Y16" i="16"/>
  <c r="X16" i="16"/>
  <c r="W16" i="16"/>
  <c r="V16" i="16"/>
  <c r="U16" i="16"/>
  <c r="AC15" i="16"/>
  <c r="AB15" i="16"/>
  <c r="AA15" i="16"/>
  <c r="Z15" i="16"/>
  <c r="Y15" i="16"/>
  <c r="X15" i="16"/>
  <c r="W15" i="16"/>
  <c r="V15" i="16"/>
  <c r="U15" i="16"/>
  <c r="T15" i="16"/>
  <c r="S15" i="16"/>
  <c r="R15" i="16"/>
  <c r="Q15" i="16"/>
  <c r="AC14" i="16"/>
  <c r="AB14" i="16"/>
  <c r="AA14" i="16"/>
  <c r="Z14" i="16"/>
  <c r="Y14" i="16"/>
  <c r="X14" i="16"/>
  <c r="W14" i="16"/>
  <c r="V14" i="16"/>
  <c r="U14" i="16"/>
  <c r="T14" i="16"/>
  <c r="S14" i="16"/>
  <c r="R14" i="16"/>
  <c r="Q14" i="16"/>
  <c r="AC13" i="16"/>
  <c r="AB13" i="16"/>
  <c r="AA13" i="16"/>
  <c r="Z13" i="16"/>
  <c r="Y13" i="16"/>
  <c r="X13" i="16"/>
  <c r="W13" i="16"/>
  <c r="V13" i="16"/>
  <c r="U13" i="16"/>
  <c r="T13" i="16"/>
  <c r="S13" i="16"/>
  <c r="R13" i="16"/>
  <c r="Q13" i="16"/>
  <c r="AC12" i="16"/>
  <c r="AB12" i="16"/>
  <c r="AA12" i="16"/>
  <c r="Z12" i="16"/>
  <c r="Y12" i="16"/>
  <c r="X12" i="16"/>
  <c r="W12" i="16"/>
  <c r="V12" i="16"/>
  <c r="U12" i="16"/>
  <c r="T12" i="16"/>
  <c r="S12" i="16"/>
  <c r="R12" i="16"/>
  <c r="Q12" i="16"/>
  <c r="AC10" i="16"/>
  <c r="AB10" i="16"/>
  <c r="AA10" i="16"/>
  <c r="Z10" i="16"/>
  <c r="Y10" i="16"/>
  <c r="X10" i="16"/>
  <c r="W10" i="16"/>
  <c r="V10" i="16"/>
  <c r="U10" i="16"/>
  <c r="T10" i="16"/>
  <c r="S10" i="16"/>
  <c r="R10" i="16"/>
  <c r="Q10" i="16"/>
  <c r="AC9" i="16"/>
  <c r="AB9" i="16"/>
  <c r="AA9" i="16"/>
  <c r="Z9" i="16"/>
  <c r="Y9" i="16"/>
  <c r="X9" i="16"/>
  <c r="W9" i="16"/>
  <c r="V9" i="16"/>
  <c r="U9" i="16"/>
  <c r="T9" i="16"/>
  <c r="S9" i="16"/>
  <c r="R9" i="16"/>
  <c r="Q9" i="16"/>
  <c r="AC8" i="16"/>
  <c r="AB8" i="16"/>
  <c r="AA8" i="16"/>
  <c r="Z8" i="16"/>
  <c r="Y8" i="16"/>
  <c r="X8" i="16"/>
  <c r="W8" i="16"/>
  <c r="V8" i="16"/>
  <c r="U8" i="16"/>
  <c r="T8" i="16"/>
  <c r="S8" i="16"/>
  <c r="R8" i="16"/>
  <c r="Q8" i="16"/>
  <c r="AC7" i="16"/>
  <c r="AB7" i="16"/>
  <c r="AA7" i="16"/>
  <c r="Z7" i="16"/>
  <c r="Y7" i="16"/>
  <c r="X7" i="16"/>
  <c r="W7" i="16"/>
  <c r="V7" i="16"/>
  <c r="U7" i="16"/>
  <c r="T7" i="16"/>
  <c r="S7" i="16"/>
  <c r="R7" i="16"/>
  <c r="Q7" i="16"/>
  <c r="T19" i="15"/>
  <c r="S19" i="15"/>
  <c r="R19" i="15"/>
  <c r="Q19" i="15"/>
  <c r="T18" i="15"/>
  <c r="S18" i="15"/>
  <c r="R18" i="15"/>
  <c r="Q18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AC16" i="15"/>
  <c r="AB16" i="15"/>
  <c r="AA16" i="15"/>
  <c r="Z16" i="15"/>
  <c r="Y16" i="15"/>
  <c r="X16" i="15"/>
  <c r="W16" i="15"/>
  <c r="V16" i="15"/>
  <c r="U16" i="15"/>
  <c r="T15" i="15"/>
  <c r="S15" i="15"/>
  <c r="R15" i="15"/>
  <c r="Q15" i="15"/>
  <c r="T14" i="15"/>
  <c r="S14" i="15"/>
  <c r="R14" i="15"/>
  <c r="Q14" i="15"/>
  <c r="T13" i="15"/>
  <c r="S13" i="15"/>
  <c r="R13" i="15"/>
  <c r="Q13" i="15"/>
  <c r="T12" i="15"/>
  <c r="S12" i="15"/>
  <c r="R12" i="15"/>
  <c r="Q12" i="15"/>
  <c r="T10" i="15"/>
  <c r="S10" i="15"/>
  <c r="R10" i="15"/>
  <c r="Q10" i="15"/>
  <c r="T9" i="15"/>
  <c r="S9" i="15"/>
  <c r="R9" i="15"/>
  <c r="Q9" i="15"/>
  <c r="T8" i="15"/>
  <c r="S8" i="15"/>
  <c r="R8" i="15"/>
  <c r="Q8" i="15"/>
  <c r="T7" i="15"/>
  <c r="S7" i="15"/>
  <c r="R7" i="15"/>
  <c r="Q7" i="15"/>
  <c r="T20" i="2"/>
  <c r="S20" i="2"/>
  <c r="R20" i="2"/>
  <c r="Q20" i="2"/>
  <c r="T19" i="2"/>
  <c r="S19" i="2"/>
  <c r="R19" i="2"/>
  <c r="Q19" i="2"/>
  <c r="T18" i="2"/>
  <c r="S18" i="2"/>
  <c r="R18" i="2"/>
  <c r="Q18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AC16" i="2"/>
  <c r="AB16" i="2"/>
  <c r="AA16" i="2"/>
  <c r="Z16" i="2"/>
  <c r="Y16" i="2"/>
  <c r="X16" i="2"/>
  <c r="W16" i="2"/>
  <c r="V16" i="2"/>
  <c r="U16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T15" i="19"/>
  <c r="S15" i="19"/>
  <c r="R15" i="19"/>
  <c r="Q15" i="19"/>
  <c r="T14" i="19"/>
  <c r="S14" i="19"/>
  <c r="R14" i="19"/>
  <c r="Q14" i="19"/>
  <c r="T13" i="19"/>
  <c r="S13" i="19"/>
  <c r="R13" i="19"/>
  <c r="Q13" i="19"/>
  <c r="T12" i="19"/>
  <c r="S12" i="19"/>
  <c r="R12" i="19"/>
  <c r="Q12" i="19"/>
  <c r="T10" i="19"/>
  <c r="S10" i="19"/>
  <c r="R10" i="19"/>
  <c r="Q10" i="19"/>
  <c r="T9" i="19"/>
  <c r="S9" i="19"/>
  <c r="R9" i="19"/>
  <c r="Q9" i="19"/>
  <c r="T8" i="19"/>
  <c r="S8" i="19"/>
  <c r="R8" i="19"/>
  <c r="Q8" i="19"/>
  <c r="T7" i="19"/>
  <c r="S7" i="19"/>
  <c r="R7" i="19"/>
  <c r="Q7" i="19"/>
  <c r="T15" i="18"/>
  <c r="S15" i="18"/>
  <c r="R15" i="18"/>
  <c r="Q15" i="18"/>
  <c r="T14" i="18"/>
  <c r="S14" i="18"/>
  <c r="R14" i="18"/>
  <c r="Q14" i="18"/>
  <c r="T13" i="18"/>
  <c r="S13" i="18"/>
  <c r="R13" i="18"/>
  <c r="Q13" i="18"/>
  <c r="T12" i="18"/>
  <c r="S12" i="18"/>
  <c r="R12" i="18"/>
  <c r="Q12" i="18"/>
  <c r="T10" i="18"/>
  <c r="S10" i="18"/>
  <c r="R10" i="18"/>
  <c r="Q10" i="18"/>
  <c r="T9" i="18"/>
  <c r="S9" i="18"/>
  <c r="R9" i="18"/>
  <c r="Q9" i="18"/>
  <c r="T8" i="18"/>
  <c r="S8" i="18"/>
  <c r="R8" i="18"/>
  <c r="Q8" i="18"/>
  <c r="T7" i="18"/>
  <c r="S7" i="18"/>
  <c r="R7" i="18"/>
  <c r="Q7" i="18"/>
  <c r="F19" i="18"/>
  <c r="F21" i="18"/>
  <c r="F22" i="18"/>
  <c r="G22" i="18"/>
  <c r="H22" i="18"/>
  <c r="F23" i="18"/>
  <c r="G23" i="18"/>
  <c r="H23" i="18"/>
  <c r="F24" i="18"/>
  <c r="G24" i="18"/>
  <c r="H24" i="18"/>
  <c r="F25" i="18"/>
  <c r="G25" i="18"/>
  <c r="H25" i="18"/>
  <c r="F17" i="18"/>
  <c r="F21" i="2"/>
  <c r="G21" i="2"/>
  <c r="H21" i="2"/>
  <c r="I21" i="2"/>
  <c r="AE19" i="15"/>
  <c r="AD19" i="15"/>
  <c r="AG28" i="16"/>
  <c r="AF28" i="16"/>
  <c r="AG28" i="17"/>
  <c r="AF28" i="17"/>
  <c r="AG28" i="2"/>
  <c r="AF28" i="2"/>
  <c r="I17" i="18"/>
  <c r="G17" i="18" s="1"/>
  <c r="F18" i="18"/>
  <c r="I18" i="18"/>
  <c r="N18" i="18" s="1"/>
  <c r="I19" i="18"/>
  <c r="G19" i="18" s="1"/>
  <c r="F20" i="18"/>
  <c r="I20" i="18"/>
  <c r="H20" i="18" s="1"/>
  <c r="I21" i="18"/>
  <c r="G21" i="18" s="1"/>
  <c r="F28" i="18"/>
  <c r="I28" i="18"/>
  <c r="F17" i="19"/>
  <c r="I17" i="19"/>
  <c r="G17" i="19" s="1"/>
  <c r="F18" i="19"/>
  <c r="I18" i="19"/>
  <c r="G18" i="19" s="1"/>
  <c r="F19" i="19"/>
  <c r="I19" i="19"/>
  <c r="G19" i="19" s="1"/>
  <c r="F20" i="19"/>
  <c r="I20" i="19"/>
  <c r="F21" i="19"/>
  <c r="I21" i="19"/>
  <c r="G21" i="19" s="1"/>
  <c r="F28" i="19"/>
  <c r="I28" i="19"/>
  <c r="H28" i="19" s="1"/>
  <c r="C7" i="10"/>
  <c r="D7" i="10"/>
  <c r="E7" i="10"/>
  <c r="F7" i="10"/>
  <c r="G7" i="10"/>
  <c r="H7" i="10"/>
  <c r="I12" i="19"/>
  <c r="I13" i="19" s="1"/>
  <c r="I14" i="19" s="1"/>
  <c r="I15" i="19" s="1"/>
  <c r="I16" i="19" s="1"/>
  <c r="F12" i="19"/>
  <c r="F13" i="19" s="1"/>
  <c r="F14" i="19" s="1"/>
  <c r="F15" i="19" s="1"/>
  <c r="F16" i="19" s="1"/>
  <c r="AE28" i="18"/>
  <c r="AD28" i="18"/>
  <c r="AC28" i="18"/>
  <c r="AB28" i="18"/>
  <c r="AA28" i="18"/>
  <c r="Z28" i="18"/>
  <c r="Y28" i="18"/>
  <c r="X28" i="18"/>
  <c r="W28" i="18"/>
  <c r="V28" i="18"/>
  <c r="U28" i="18"/>
  <c r="T28" i="18"/>
  <c r="S28" i="18"/>
  <c r="R28" i="18"/>
  <c r="Q28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AE18" i="18"/>
  <c r="AD18" i="18"/>
  <c r="AC18" i="18"/>
  <c r="T18" i="18"/>
  <c r="S18" i="18"/>
  <c r="R18" i="18"/>
  <c r="Q18" i="18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AE16" i="19"/>
  <c r="AD16" i="19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S28" i="16"/>
  <c r="R28" i="16"/>
  <c r="Q28" i="16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S28" i="17"/>
  <c r="R28" i="17"/>
  <c r="Q28" i="17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E7" i="2"/>
  <c r="AD7" i="2"/>
  <c r="O9" i="19"/>
  <c r="O10" i="19"/>
  <c r="O11" i="19"/>
  <c r="O12" i="19"/>
  <c r="O13" i="19"/>
  <c r="O14" i="19"/>
  <c r="O15" i="19"/>
  <c r="O16" i="19"/>
  <c r="N17" i="19"/>
  <c r="O17" i="19"/>
  <c r="L18" i="19"/>
  <c r="O18" i="19"/>
  <c r="K19" i="19"/>
  <c r="L19" i="19"/>
  <c r="N19" i="19"/>
  <c r="O19" i="19"/>
  <c r="K20" i="19"/>
  <c r="L20" i="19"/>
  <c r="M20" i="19"/>
  <c r="N20" i="19"/>
  <c r="O20" i="19"/>
  <c r="M21" i="19"/>
  <c r="O21" i="19"/>
  <c r="O28" i="19"/>
  <c r="N9" i="18"/>
  <c r="N10" i="18" s="1"/>
  <c r="N11" i="18" s="1"/>
  <c r="O9" i="18"/>
  <c r="O10" i="18"/>
  <c r="O11" i="18"/>
  <c r="O12" i="18"/>
  <c r="O13" i="18"/>
  <c r="O14" i="18"/>
  <c r="O15" i="18"/>
  <c r="O16" i="18"/>
  <c r="K17" i="18"/>
  <c r="L17" i="18"/>
  <c r="M17" i="18"/>
  <c r="N17" i="18"/>
  <c r="O17" i="18"/>
  <c r="M18" i="18"/>
  <c r="O18" i="18"/>
  <c r="K19" i="18"/>
  <c r="L19" i="18"/>
  <c r="M19" i="18"/>
  <c r="O19" i="18"/>
  <c r="K20" i="18"/>
  <c r="O20" i="18"/>
  <c r="K21" i="18"/>
  <c r="L21" i="18"/>
  <c r="M21" i="18"/>
  <c r="N21" i="18"/>
  <c r="O21" i="18"/>
  <c r="K28" i="18"/>
  <c r="L28" i="18"/>
  <c r="M28" i="18"/>
  <c r="N28" i="18"/>
  <c r="O28" i="18"/>
  <c r="O8" i="19"/>
  <c r="N8" i="19"/>
  <c r="N9" i="19" s="1"/>
  <c r="N10" i="19" s="1"/>
  <c r="N11" i="19" s="1"/>
  <c r="M8" i="19"/>
  <c r="M9" i="19" s="1"/>
  <c r="M10" i="19" s="1"/>
  <c r="M11" i="19" s="1"/>
  <c r="M12" i="19" s="1"/>
  <c r="L8" i="19"/>
  <c r="L9" i="19" s="1"/>
  <c r="L10" i="19" s="1"/>
  <c r="L11" i="19" s="1"/>
  <c r="K8" i="19"/>
  <c r="K9" i="19" s="1"/>
  <c r="K10" i="19" s="1"/>
  <c r="K11" i="19" s="1"/>
  <c r="O7" i="19"/>
  <c r="O8" i="18"/>
  <c r="N8" i="18"/>
  <c r="M8" i="18"/>
  <c r="M9" i="18" s="1"/>
  <c r="M10" i="18" s="1"/>
  <c r="M11" i="18" s="1"/>
  <c r="L8" i="18"/>
  <c r="L9" i="18" s="1"/>
  <c r="L10" i="18" s="1"/>
  <c r="L11" i="18" s="1"/>
  <c r="K8" i="18"/>
  <c r="K9" i="18" s="1"/>
  <c r="K10" i="18" s="1"/>
  <c r="K11" i="18" s="1"/>
  <c r="O7" i="18"/>
  <c r="O19" i="15"/>
  <c r="O20" i="15"/>
  <c r="O21" i="15"/>
  <c r="O28" i="15"/>
  <c r="O19" i="16"/>
  <c r="O20" i="16"/>
  <c r="O21" i="16"/>
  <c r="O28" i="16"/>
  <c r="O19" i="17"/>
  <c r="O20" i="17"/>
  <c r="O21" i="17"/>
  <c r="O28" i="17"/>
  <c r="O19" i="2"/>
  <c r="O20" i="2"/>
  <c r="O21" i="2"/>
  <c r="O28" i="2"/>
  <c r="H8" i="15"/>
  <c r="H9" i="15" s="1"/>
  <c r="H10" i="15" s="1"/>
  <c r="H11" i="15" s="1"/>
  <c r="H12" i="15" s="1"/>
  <c r="H13" i="15" s="1"/>
  <c r="H8" i="16"/>
  <c r="H9" i="16" s="1"/>
  <c r="H10" i="16" s="1"/>
  <c r="H11" i="16" s="1"/>
  <c r="H12" i="16" s="1"/>
  <c r="H13" i="16" s="1"/>
  <c r="H8" i="17"/>
  <c r="H9" i="17" s="1"/>
  <c r="H10" i="17" s="1"/>
  <c r="H11" i="17" s="1"/>
  <c r="H12" i="17" s="1"/>
  <c r="H13" i="17" s="1"/>
  <c r="H8" i="2"/>
  <c r="H9" i="2" s="1"/>
  <c r="H10" i="2" s="1"/>
  <c r="H11" i="2" s="1"/>
  <c r="H12" i="2" s="1"/>
  <c r="H13" i="2" s="1"/>
  <c r="G8" i="15"/>
  <c r="G9" i="15" s="1"/>
  <c r="G10" i="15" s="1"/>
  <c r="G11" i="15" s="1"/>
  <c r="G12" i="15" s="1"/>
  <c r="G13" i="15" s="1"/>
  <c r="G8" i="16"/>
  <c r="G9" i="16" s="1"/>
  <c r="G10" i="16" s="1"/>
  <c r="G11" i="16" s="1"/>
  <c r="G12" i="16" s="1"/>
  <c r="G13" i="16" s="1"/>
  <c r="G8" i="17"/>
  <c r="G9" i="17" s="1"/>
  <c r="G10" i="17" s="1"/>
  <c r="G11" i="17" s="1"/>
  <c r="G12" i="17" s="1"/>
  <c r="G13" i="17" s="1"/>
  <c r="G8" i="2"/>
  <c r="G9" i="2" s="1"/>
  <c r="G10" i="2" s="1"/>
  <c r="G11" i="2" s="1"/>
  <c r="G12" i="2" s="1"/>
  <c r="G13" i="2" s="1"/>
  <c r="O9" i="15"/>
  <c r="O10" i="15"/>
  <c r="O11" i="15"/>
  <c r="O12" i="15"/>
  <c r="O13" i="15"/>
  <c r="O14" i="15"/>
  <c r="O15" i="15"/>
  <c r="O16" i="15"/>
  <c r="O17" i="15"/>
  <c r="O18" i="15"/>
  <c r="O9" i="16"/>
  <c r="O10" i="16"/>
  <c r="O11" i="16"/>
  <c r="O12" i="16"/>
  <c r="O13" i="16"/>
  <c r="O14" i="16"/>
  <c r="O15" i="16"/>
  <c r="O16" i="16"/>
  <c r="O17" i="16"/>
  <c r="O18" i="16"/>
  <c r="O9" i="17"/>
  <c r="O10" i="17"/>
  <c r="O11" i="17"/>
  <c r="O12" i="17"/>
  <c r="O13" i="17"/>
  <c r="O14" i="17"/>
  <c r="O15" i="17"/>
  <c r="O16" i="17"/>
  <c r="O17" i="17"/>
  <c r="O18" i="17"/>
  <c r="O9" i="2"/>
  <c r="O10" i="2"/>
  <c r="O11" i="2"/>
  <c r="O12" i="2"/>
  <c r="O13" i="2"/>
  <c r="O14" i="2"/>
  <c r="O15" i="2"/>
  <c r="O16" i="2"/>
  <c r="O17" i="2"/>
  <c r="O18" i="2"/>
  <c r="O8" i="15"/>
  <c r="O7" i="15"/>
  <c r="O8" i="16"/>
  <c r="O7" i="16"/>
  <c r="O8" i="17"/>
  <c r="O7" i="17"/>
  <c r="O8" i="2"/>
  <c r="O7" i="2"/>
  <c r="N8" i="2"/>
  <c r="N9" i="2" s="1"/>
  <c r="N10" i="2" s="1"/>
  <c r="N11" i="2" s="1"/>
  <c r="N12" i="2" s="1"/>
  <c r="N13" i="2" s="1"/>
  <c r="M8" i="2"/>
  <c r="M9" i="2" s="1"/>
  <c r="M10" i="2" s="1"/>
  <c r="M11" i="2" s="1"/>
  <c r="M12" i="2" s="1"/>
  <c r="M13" i="2" s="1"/>
  <c r="I12" i="18"/>
  <c r="I13" i="18" s="1"/>
  <c r="I14" i="18" s="1"/>
  <c r="F12" i="18"/>
  <c r="F13" i="18" s="1"/>
  <c r="F14" i="18" s="1"/>
  <c r="F15" i="18" s="1"/>
  <c r="F16" i="18" s="1"/>
  <c r="M8" i="15"/>
  <c r="M9" i="15" s="1"/>
  <c r="M10" i="15" s="1"/>
  <c r="M11" i="15" s="1"/>
  <c r="M12" i="15" s="1"/>
  <c r="M13" i="15" s="1"/>
  <c r="L8" i="15"/>
  <c r="L9" i="15" s="1"/>
  <c r="L10" i="15" s="1"/>
  <c r="L11" i="15" s="1"/>
  <c r="L12" i="15" s="1"/>
  <c r="L13" i="15" s="1"/>
  <c r="K8" i="15"/>
  <c r="K9" i="15" s="1"/>
  <c r="K10" i="15" s="1"/>
  <c r="K11" i="15" s="1"/>
  <c r="K12" i="15" s="1"/>
  <c r="K13" i="15" s="1"/>
  <c r="M8" i="16"/>
  <c r="M9" i="16" s="1"/>
  <c r="M10" i="16" s="1"/>
  <c r="M11" i="16" s="1"/>
  <c r="M12" i="16" s="1"/>
  <c r="M13" i="16" s="1"/>
  <c r="L8" i="16"/>
  <c r="L9" i="16" s="1"/>
  <c r="L10" i="16" s="1"/>
  <c r="L11" i="16" s="1"/>
  <c r="L12" i="16" s="1"/>
  <c r="L13" i="16" s="1"/>
  <c r="K8" i="16"/>
  <c r="K9" i="16" s="1"/>
  <c r="K10" i="16" s="1"/>
  <c r="K11" i="16" s="1"/>
  <c r="K12" i="16" s="1"/>
  <c r="K13" i="16" s="1"/>
  <c r="M8" i="17"/>
  <c r="M9" i="17" s="1"/>
  <c r="M10" i="17" s="1"/>
  <c r="M11" i="17" s="1"/>
  <c r="M12" i="17" s="1"/>
  <c r="M13" i="17" s="1"/>
  <c r="L8" i="17"/>
  <c r="L9" i="17" s="1"/>
  <c r="L10" i="17" s="1"/>
  <c r="L11" i="17" s="1"/>
  <c r="L12" i="17" s="1"/>
  <c r="L13" i="17" s="1"/>
  <c r="K8" i="17"/>
  <c r="K9" i="17" s="1"/>
  <c r="K10" i="17" s="1"/>
  <c r="K11" i="17" s="1"/>
  <c r="K12" i="17" s="1"/>
  <c r="K13" i="17" s="1"/>
  <c r="L8" i="2"/>
  <c r="L9" i="2" s="1"/>
  <c r="L10" i="2" s="1"/>
  <c r="L11" i="2" s="1"/>
  <c r="L12" i="2" s="1"/>
  <c r="L13" i="2" s="1"/>
  <c r="K8" i="2"/>
  <c r="K9" i="2" s="1"/>
  <c r="K10" i="2" s="1"/>
  <c r="K11" i="2" s="1"/>
  <c r="K12" i="2" s="1"/>
  <c r="K13" i="2" s="1"/>
  <c r="N8" i="15"/>
  <c r="N9" i="15" s="1"/>
  <c r="N10" i="15" s="1"/>
  <c r="N11" i="15" s="1"/>
  <c r="N12" i="15" s="1"/>
  <c r="N13" i="15" s="1"/>
  <c r="N8" i="16"/>
  <c r="N9" i="16" s="1"/>
  <c r="N10" i="16" s="1"/>
  <c r="N11" i="16" s="1"/>
  <c r="N12" i="16" s="1"/>
  <c r="N13" i="16" s="1"/>
  <c r="N8" i="17"/>
  <c r="N9" i="17" s="1"/>
  <c r="N10" i="17" s="1"/>
  <c r="N11" i="17" s="1"/>
  <c r="N12" i="17" s="1"/>
  <c r="N13" i="17" s="1"/>
  <c r="I20" i="15"/>
  <c r="K20" i="15" s="1"/>
  <c r="I21" i="15"/>
  <c r="K21" i="15" s="1"/>
  <c r="I28" i="15"/>
  <c r="M28" i="15" s="1"/>
  <c r="I28" i="16"/>
  <c r="L28" i="16" s="1"/>
  <c r="I28" i="17"/>
  <c r="K28" i="17" s="1"/>
  <c r="I28" i="2"/>
  <c r="L28" i="2" s="1"/>
  <c r="I14" i="15"/>
  <c r="I15" i="15" s="1"/>
  <c r="I16" i="15" s="1"/>
  <c r="I17" i="15" s="1"/>
  <c r="I18" i="15" s="1"/>
  <c r="I19" i="15" s="1"/>
  <c r="I14" i="16"/>
  <c r="I15" i="16" s="1"/>
  <c r="I16" i="16" s="1"/>
  <c r="I17" i="16" s="1"/>
  <c r="I18" i="16" s="1"/>
  <c r="I19" i="16" s="1"/>
  <c r="I14" i="17"/>
  <c r="I15" i="17" s="1"/>
  <c r="I16" i="17" s="1"/>
  <c r="I17" i="17" s="1"/>
  <c r="I18" i="17" s="1"/>
  <c r="I19" i="17" s="1"/>
  <c r="I14" i="2"/>
  <c r="I15" i="2" s="1"/>
  <c r="I16" i="2" s="1"/>
  <c r="I17" i="2" s="1"/>
  <c r="I18" i="2" s="1"/>
  <c r="I19" i="2" s="1"/>
  <c r="F20" i="15"/>
  <c r="F21" i="15"/>
  <c r="F28" i="15"/>
  <c r="F28" i="16"/>
  <c r="F28" i="17"/>
  <c r="F28" i="2"/>
  <c r="F14" i="15"/>
  <c r="F15" i="15" s="1"/>
  <c r="F16" i="15" s="1"/>
  <c r="F17" i="15" s="1"/>
  <c r="F18" i="15" s="1"/>
  <c r="F19" i="15" s="1"/>
  <c r="F14" i="16"/>
  <c r="F15" i="16" s="1"/>
  <c r="F16" i="16" s="1"/>
  <c r="F17" i="16" s="1"/>
  <c r="F18" i="16" s="1"/>
  <c r="F19" i="16" s="1"/>
  <c r="F20" i="16" s="1"/>
  <c r="F21" i="16" s="1"/>
  <c r="F14" i="17"/>
  <c r="F15" i="17" s="1"/>
  <c r="F16" i="17" s="1"/>
  <c r="F17" i="17" s="1"/>
  <c r="F18" i="17" s="1"/>
  <c r="F19" i="17" s="1"/>
  <c r="F20" i="17" s="1"/>
  <c r="F21" i="17" s="1"/>
  <c r="F14" i="2"/>
  <c r="F15" i="2" s="1"/>
  <c r="F16" i="2" s="1"/>
  <c r="F17" i="2" s="1"/>
  <c r="F18" i="2" s="1"/>
  <c r="F19" i="2" s="1"/>
  <c r="F20" i="2" s="1"/>
  <c r="B28" i="16"/>
  <c r="D28" i="16" s="1"/>
  <c r="B8" i="16"/>
  <c r="B28" i="17"/>
  <c r="D28" i="17" s="1"/>
  <c r="B8" i="17"/>
  <c r="B28" i="15"/>
  <c r="D28" i="15" s="1"/>
  <c r="B21" i="15"/>
  <c r="D21" i="15" s="1"/>
  <c r="B20" i="15"/>
  <c r="D20" i="15" s="1"/>
  <c r="B8" i="15"/>
  <c r="B28" i="2"/>
  <c r="D28" i="2" s="1"/>
  <c r="B8" i="2"/>
  <c r="B20" i="19"/>
  <c r="D20" i="19" s="1"/>
  <c r="B21" i="19"/>
  <c r="D21" i="19" s="1"/>
  <c r="B28" i="19"/>
  <c r="D28" i="19" s="1"/>
  <c r="B20" i="18"/>
  <c r="D20" i="18" s="1"/>
  <c r="B21" i="18"/>
  <c r="D21" i="18" s="1"/>
  <c r="B28" i="18"/>
  <c r="C28" i="18" s="1"/>
  <c r="B17" i="19"/>
  <c r="B18" i="19"/>
  <c r="D18" i="19" s="1"/>
  <c r="B19" i="19"/>
  <c r="D19" i="19" s="1"/>
  <c r="B17" i="18"/>
  <c r="C17" i="18" s="1"/>
  <c r="B18" i="18"/>
  <c r="D18" i="18" s="1"/>
  <c r="B19" i="18"/>
  <c r="D19" i="18" s="1"/>
  <c r="B8" i="19"/>
  <c r="B8" i="18"/>
  <c r="H6" i="10"/>
  <c r="G6" i="10"/>
  <c r="F6" i="10"/>
  <c r="E6" i="10"/>
  <c r="D6" i="10"/>
  <c r="C6" i="10"/>
  <c r="D7" i="15"/>
  <c r="H5" i="10"/>
  <c r="G5" i="10"/>
  <c r="F5" i="10"/>
  <c r="E5" i="10"/>
  <c r="D5" i="10"/>
  <c r="C5" i="10"/>
  <c r="H12" i="10"/>
  <c r="G12" i="10"/>
  <c r="F12" i="10"/>
  <c r="E12" i="10"/>
  <c r="C12" i="10"/>
  <c r="D12" i="10"/>
  <c r="C7" i="19"/>
  <c r="AE7" i="19"/>
  <c r="AD7" i="19"/>
  <c r="AE8" i="18"/>
  <c r="AD8" i="18"/>
  <c r="C7" i="18"/>
  <c r="AE7" i="18"/>
  <c r="AD7" i="18"/>
  <c r="C7" i="17"/>
  <c r="AE7" i="17"/>
  <c r="AD7" i="17"/>
  <c r="C8" i="16"/>
  <c r="C7" i="16"/>
  <c r="AE7" i="16"/>
  <c r="AD7" i="16"/>
  <c r="AE8" i="15"/>
  <c r="C7" i="15"/>
  <c r="AE7" i="15"/>
  <c r="AD7" i="15"/>
  <c r="C7" i="2"/>
  <c r="H21" i="18" l="1"/>
  <c r="L18" i="18"/>
  <c r="N19" i="18"/>
  <c r="K18" i="18"/>
  <c r="N21" i="19"/>
  <c r="L21" i="19"/>
  <c r="M17" i="19"/>
  <c r="K21" i="19"/>
  <c r="M19" i="19"/>
  <c r="L17" i="19"/>
  <c r="K17" i="19"/>
  <c r="AD8" i="15"/>
  <c r="C8" i="18"/>
  <c r="L12" i="19"/>
  <c r="L13" i="19" s="1"/>
  <c r="L14" i="19" s="1"/>
  <c r="L15" i="19" s="1"/>
  <c r="L16" i="19" s="1"/>
  <c r="G20" i="18"/>
  <c r="N12" i="19"/>
  <c r="N13" i="19" s="1"/>
  <c r="N14" i="19" s="1"/>
  <c r="N15" i="19" s="1"/>
  <c r="N16" i="19" s="1"/>
  <c r="AE8" i="19"/>
  <c r="K12" i="19"/>
  <c r="K18" i="19"/>
  <c r="N28" i="19"/>
  <c r="M28" i="19"/>
  <c r="G14" i="2"/>
  <c r="G15" i="2" s="1"/>
  <c r="G16" i="2" s="1"/>
  <c r="G17" i="2" s="1"/>
  <c r="G18" i="2" s="1"/>
  <c r="G19" i="2" s="1"/>
  <c r="L28" i="19"/>
  <c r="G14" i="15"/>
  <c r="G15" i="15" s="1"/>
  <c r="G16" i="15" s="1"/>
  <c r="G17" i="15" s="1"/>
  <c r="G18" i="15" s="1"/>
  <c r="G19" i="15" s="1"/>
  <c r="N20" i="18"/>
  <c r="K28" i="19"/>
  <c r="M20" i="18"/>
  <c r="N18" i="19"/>
  <c r="B9" i="18"/>
  <c r="L20" i="18"/>
  <c r="M18" i="19"/>
  <c r="H14" i="2"/>
  <c r="H15" i="2" s="1"/>
  <c r="H16" i="2" s="1"/>
  <c r="H17" i="2" s="1"/>
  <c r="H18" i="2" s="1"/>
  <c r="H19" i="2" s="1"/>
  <c r="M14" i="17"/>
  <c r="M15" i="17" s="1"/>
  <c r="M16" i="17" s="1"/>
  <c r="M17" i="17" s="1"/>
  <c r="M18" i="17" s="1"/>
  <c r="M19" i="17" s="1"/>
  <c r="L12" i="18"/>
  <c r="L13" i="18" s="1"/>
  <c r="L14" i="18" s="1"/>
  <c r="N12" i="18"/>
  <c r="N13" i="18" s="1"/>
  <c r="N14" i="18" s="1"/>
  <c r="N14" i="2"/>
  <c r="N15" i="2" s="1"/>
  <c r="N16" i="2" s="1"/>
  <c r="N17" i="2" s="1"/>
  <c r="N18" i="2" s="1"/>
  <c r="N19" i="2" s="1"/>
  <c r="M12" i="18"/>
  <c r="M13" i="18" s="1"/>
  <c r="M14" i="18" s="1"/>
  <c r="G28" i="19"/>
  <c r="B9" i="2"/>
  <c r="AE9" i="2" s="1"/>
  <c r="K28" i="15"/>
  <c r="H18" i="19"/>
  <c r="K14" i="2"/>
  <c r="K15" i="2" s="1"/>
  <c r="K16" i="2" s="1"/>
  <c r="K17" i="2" s="1"/>
  <c r="K18" i="2" s="1"/>
  <c r="K19" i="2" s="1"/>
  <c r="G14" i="17"/>
  <c r="G15" i="17" s="1"/>
  <c r="G16" i="17" s="1"/>
  <c r="G17" i="17" s="1"/>
  <c r="G18" i="17" s="1"/>
  <c r="G19" i="17" s="1"/>
  <c r="H14" i="15"/>
  <c r="H15" i="15" s="1"/>
  <c r="H16" i="15" s="1"/>
  <c r="H17" i="15" s="1"/>
  <c r="H18" i="15" s="1"/>
  <c r="H19" i="15" s="1"/>
  <c r="G14" i="16"/>
  <c r="G15" i="16" s="1"/>
  <c r="G16" i="16" s="1"/>
  <c r="G17" i="16" s="1"/>
  <c r="G18" i="16" s="1"/>
  <c r="G19" i="16" s="1"/>
  <c r="AD8" i="19"/>
  <c r="L28" i="15"/>
  <c r="K12" i="18"/>
  <c r="K13" i="18" s="1"/>
  <c r="K14" i="18" s="1"/>
  <c r="M13" i="19"/>
  <c r="M14" i="19" s="1"/>
  <c r="M15" i="19" s="1"/>
  <c r="M16" i="19" s="1"/>
  <c r="H19" i="18"/>
  <c r="L14" i="16"/>
  <c r="L15" i="16" s="1"/>
  <c r="L16" i="16" s="1"/>
  <c r="L17" i="16" s="1"/>
  <c r="L18" i="16" s="1"/>
  <c r="L19" i="16" s="1"/>
  <c r="H14" i="17"/>
  <c r="H15" i="17" s="1"/>
  <c r="H16" i="17" s="1"/>
  <c r="H17" i="17" s="1"/>
  <c r="H18" i="17" s="1"/>
  <c r="H19" i="17" s="1"/>
  <c r="H21" i="19"/>
  <c r="M14" i="16"/>
  <c r="M15" i="16" s="1"/>
  <c r="M16" i="16" s="1"/>
  <c r="M17" i="16" s="1"/>
  <c r="M18" i="16" s="1"/>
  <c r="M19" i="16" s="1"/>
  <c r="H14" i="16"/>
  <c r="H15" i="16" s="1"/>
  <c r="H16" i="16" s="1"/>
  <c r="H17" i="16" s="1"/>
  <c r="H18" i="16" s="1"/>
  <c r="H19" i="16" s="1"/>
  <c r="N20" i="15"/>
  <c r="C8" i="19"/>
  <c r="C8" i="2"/>
  <c r="O12" i="10"/>
  <c r="M20" i="15"/>
  <c r="H17" i="19"/>
  <c r="P12" i="10"/>
  <c r="K13" i="19"/>
  <c r="K14" i="19" s="1"/>
  <c r="K15" i="19" s="1"/>
  <c r="K16" i="19" s="1"/>
  <c r="I20" i="2"/>
  <c r="I20" i="17"/>
  <c r="B9" i="16"/>
  <c r="B10" i="16" s="1"/>
  <c r="AD8" i="16"/>
  <c r="AE8" i="16"/>
  <c r="I20" i="16"/>
  <c r="B9" i="15"/>
  <c r="D9" i="15" s="1"/>
  <c r="C8" i="15"/>
  <c r="N12" i="10"/>
  <c r="L12" i="10"/>
  <c r="L20" i="15"/>
  <c r="M12" i="10"/>
  <c r="L14" i="17"/>
  <c r="L15" i="17" s="1"/>
  <c r="L16" i="17" s="1"/>
  <c r="L17" i="17" s="1"/>
  <c r="L18" i="17" s="1"/>
  <c r="L19" i="17" s="1"/>
  <c r="M14" i="15"/>
  <c r="M15" i="15" s="1"/>
  <c r="M16" i="15" s="1"/>
  <c r="M17" i="15" s="1"/>
  <c r="M18" i="15" s="1"/>
  <c r="M19" i="15" s="1"/>
  <c r="N21" i="15"/>
  <c r="AD8" i="2"/>
  <c r="AE8" i="2"/>
  <c r="M21" i="15"/>
  <c r="AD8" i="17"/>
  <c r="AE8" i="17"/>
  <c r="N14" i="17"/>
  <c r="N15" i="17" s="1"/>
  <c r="N16" i="17" s="1"/>
  <c r="N17" i="17" s="1"/>
  <c r="N18" i="17" s="1"/>
  <c r="N19" i="17" s="1"/>
  <c r="K14" i="17"/>
  <c r="K15" i="17" s="1"/>
  <c r="K16" i="17" s="1"/>
  <c r="K17" i="17" s="1"/>
  <c r="K18" i="17" s="1"/>
  <c r="K19" i="17" s="1"/>
  <c r="L21" i="15"/>
  <c r="G20" i="19"/>
  <c r="H20" i="19"/>
  <c r="G28" i="18"/>
  <c r="H28" i="18"/>
  <c r="G18" i="18"/>
  <c r="H18" i="18"/>
  <c r="N14" i="16"/>
  <c r="N15" i="16" s="1"/>
  <c r="N16" i="16" s="1"/>
  <c r="N17" i="16" s="1"/>
  <c r="N18" i="16" s="1"/>
  <c r="N19" i="16" s="1"/>
  <c r="M14" i="2"/>
  <c r="M15" i="2" s="1"/>
  <c r="M16" i="2" s="1"/>
  <c r="M17" i="2" s="1"/>
  <c r="M18" i="2" s="1"/>
  <c r="M19" i="2" s="1"/>
  <c r="M20" i="2" s="1"/>
  <c r="N28" i="15"/>
  <c r="B9" i="19"/>
  <c r="H16" i="19"/>
  <c r="G16" i="19"/>
  <c r="H19" i="19"/>
  <c r="H17" i="18"/>
  <c r="K12" i="10"/>
  <c r="B7" i="10"/>
  <c r="C21" i="18"/>
  <c r="C18" i="18"/>
  <c r="D28" i="18"/>
  <c r="D17" i="19"/>
  <c r="C19" i="18"/>
  <c r="D17" i="18"/>
  <c r="N28" i="2"/>
  <c r="M28" i="2"/>
  <c r="K28" i="2"/>
  <c r="N28" i="16"/>
  <c r="K28" i="16"/>
  <c r="M28" i="16"/>
  <c r="N28" i="17"/>
  <c r="M28" i="17"/>
  <c r="L28" i="17"/>
  <c r="B10" i="2"/>
  <c r="B9" i="17"/>
  <c r="C28" i="19"/>
  <c r="C20" i="18"/>
  <c r="K14" i="16"/>
  <c r="K15" i="16" s="1"/>
  <c r="K16" i="16" s="1"/>
  <c r="K17" i="16" s="1"/>
  <c r="K18" i="16" s="1"/>
  <c r="K19" i="16" s="1"/>
  <c r="C21" i="19"/>
  <c r="C20" i="19"/>
  <c r="L14" i="2"/>
  <c r="L15" i="2" s="1"/>
  <c r="L16" i="2" s="1"/>
  <c r="L17" i="2" s="1"/>
  <c r="L18" i="2" s="1"/>
  <c r="L19" i="2" s="1"/>
  <c r="L20" i="2" s="1"/>
  <c r="N14" i="15"/>
  <c r="N15" i="15" s="1"/>
  <c r="N16" i="15" s="1"/>
  <c r="N17" i="15" s="1"/>
  <c r="N18" i="15" s="1"/>
  <c r="N19" i="15" s="1"/>
  <c r="C19" i="19"/>
  <c r="K14" i="15"/>
  <c r="K15" i="15" s="1"/>
  <c r="K16" i="15" s="1"/>
  <c r="K17" i="15" s="1"/>
  <c r="K18" i="15" s="1"/>
  <c r="K19" i="15" s="1"/>
  <c r="C18" i="19"/>
  <c r="L14" i="15"/>
  <c r="L15" i="15" s="1"/>
  <c r="L16" i="15" s="1"/>
  <c r="L17" i="15" s="1"/>
  <c r="L18" i="15" s="1"/>
  <c r="L19" i="15" s="1"/>
  <c r="C8" i="17"/>
  <c r="D8" i="15"/>
  <c r="C17" i="19"/>
  <c r="C28" i="2"/>
  <c r="C28" i="16"/>
  <c r="C28" i="17"/>
  <c r="C28" i="15"/>
  <c r="C21" i="15"/>
  <c r="C20" i="15"/>
  <c r="I15" i="18"/>
  <c r="I16" i="18" s="1"/>
  <c r="B12" i="10"/>
  <c r="B20" i="10" s="1"/>
  <c r="B6" i="10"/>
  <c r="B5" i="10"/>
  <c r="B10" i="18" l="1"/>
  <c r="AD9" i="15"/>
  <c r="AD9" i="18"/>
  <c r="AD9" i="2"/>
  <c r="AE9" i="15"/>
  <c r="N20" i="2"/>
  <c r="C9" i="15"/>
  <c r="C9" i="18"/>
  <c r="AE9" i="18"/>
  <c r="C9" i="2"/>
  <c r="B10" i="15"/>
  <c r="D10" i="15" s="1"/>
  <c r="L20" i="16"/>
  <c r="C9" i="16"/>
  <c r="N20" i="16"/>
  <c r="C9" i="19"/>
  <c r="B10" i="19"/>
  <c r="AE9" i="19"/>
  <c r="K20" i="17"/>
  <c r="L20" i="17"/>
  <c r="N20" i="17"/>
  <c r="G20" i="17"/>
  <c r="M20" i="17"/>
  <c r="I21" i="17"/>
  <c r="H20" i="17"/>
  <c r="AD9" i="19"/>
  <c r="K20" i="16"/>
  <c r="M20" i="16"/>
  <c r="G20" i="16"/>
  <c r="H20" i="16"/>
  <c r="I21" i="16"/>
  <c r="AD10" i="16"/>
  <c r="AE10" i="16"/>
  <c r="K15" i="18"/>
  <c r="K16" i="18" s="1"/>
  <c r="AE10" i="18"/>
  <c r="AD9" i="17"/>
  <c r="AE9" i="17"/>
  <c r="N15" i="18"/>
  <c r="N16" i="18" s="1"/>
  <c r="AD9" i="16"/>
  <c r="AE9" i="16"/>
  <c r="K20" i="2"/>
  <c r="H20" i="2"/>
  <c r="G20" i="2"/>
  <c r="H16" i="18"/>
  <c r="G16" i="18"/>
  <c r="AD10" i="2"/>
  <c r="AE10" i="2"/>
  <c r="M15" i="18"/>
  <c r="M16" i="18" s="1"/>
  <c r="L15" i="18"/>
  <c r="L16" i="18" s="1"/>
  <c r="B11" i="2"/>
  <c r="C10" i="2"/>
  <c r="C10" i="19"/>
  <c r="B11" i="18"/>
  <c r="C10" i="18"/>
  <c r="AD10" i="18"/>
  <c r="B10" i="17"/>
  <c r="C9" i="17"/>
  <c r="C10" i="16"/>
  <c r="B11" i="16"/>
  <c r="C10" i="15"/>
  <c r="B11" i="15"/>
  <c r="D11" i="15" s="1"/>
  <c r="AE10" i="15"/>
  <c r="AD10" i="15"/>
  <c r="B19" i="10"/>
  <c r="B18" i="10"/>
  <c r="AD10" i="19" l="1"/>
  <c r="B11" i="19"/>
  <c r="B12" i="19" s="1"/>
  <c r="AE10" i="19"/>
  <c r="AD10" i="17"/>
  <c r="AE10" i="17"/>
  <c r="K21" i="17"/>
  <c r="N21" i="17"/>
  <c r="L21" i="17"/>
  <c r="M21" i="17"/>
  <c r="AD11" i="2"/>
  <c r="AE11" i="2"/>
  <c r="M21" i="2"/>
  <c r="L21" i="2"/>
  <c r="N21" i="2"/>
  <c r="K21" i="2"/>
  <c r="AD11" i="16"/>
  <c r="AE11" i="16"/>
  <c r="M21" i="16"/>
  <c r="L21" i="16"/>
  <c r="N21" i="16"/>
  <c r="K21" i="16"/>
  <c r="B12" i="18"/>
  <c r="C11" i="18"/>
  <c r="AE11" i="18"/>
  <c r="AD11" i="18"/>
  <c r="B11" i="17"/>
  <c r="C10" i="17"/>
  <c r="AE11" i="19"/>
  <c r="AD11" i="19"/>
  <c r="C11" i="19"/>
  <c r="C11" i="2"/>
  <c r="B12" i="2"/>
  <c r="B12" i="15"/>
  <c r="D12" i="15" s="1"/>
  <c r="C11" i="15"/>
  <c r="AE11" i="15"/>
  <c r="AD11" i="15"/>
  <c r="B12" i="16"/>
  <c r="C11" i="16"/>
  <c r="B21" i="10"/>
  <c r="AD12" i="16" l="1"/>
  <c r="AE12" i="16"/>
  <c r="AD11" i="17"/>
  <c r="AE11" i="17"/>
  <c r="AD12" i="2"/>
  <c r="AE12" i="2"/>
  <c r="B13" i="2"/>
  <c r="C12" i="2"/>
  <c r="C11" i="17"/>
  <c r="B12" i="17"/>
  <c r="B13" i="19"/>
  <c r="C12" i="19"/>
  <c r="AE12" i="19"/>
  <c r="AD12" i="19"/>
  <c r="C12" i="18"/>
  <c r="AD12" i="18"/>
  <c r="AE12" i="18"/>
  <c r="B13" i="18"/>
  <c r="C12" i="15"/>
  <c r="AE12" i="15"/>
  <c r="B13" i="15"/>
  <c r="D13" i="15" s="1"/>
  <c r="AD12" i="15"/>
  <c r="B13" i="16"/>
  <c r="C12" i="16"/>
  <c r="AD13" i="16" l="1"/>
  <c r="AE13" i="16"/>
  <c r="AD12" i="17"/>
  <c r="AE12" i="17"/>
  <c r="AD13" i="2"/>
  <c r="AE13" i="2"/>
  <c r="C13" i="2"/>
  <c r="B14" i="2"/>
  <c r="B14" i="18"/>
  <c r="AE13" i="18"/>
  <c r="AD13" i="18"/>
  <c r="C13" i="18"/>
  <c r="C12" i="17"/>
  <c r="B13" i="17"/>
  <c r="AD13" i="19"/>
  <c r="AE13" i="19"/>
  <c r="B14" i="19"/>
  <c r="C13" i="19"/>
  <c r="B14" i="16"/>
  <c r="C13" i="16"/>
  <c r="C13" i="15"/>
  <c r="AE13" i="15"/>
  <c r="B14" i="15"/>
  <c r="D14" i="15" s="1"/>
  <c r="AD13" i="15"/>
  <c r="AD14" i="2" l="1"/>
  <c r="AE14" i="2"/>
  <c r="AD14" i="16"/>
  <c r="AE14" i="16"/>
  <c r="AD13" i="17"/>
  <c r="AE13" i="17"/>
  <c r="AD14" i="18"/>
  <c r="AE14" i="18"/>
  <c r="C14" i="18"/>
  <c r="B15" i="18"/>
  <c r="C14" i="19"/>
  <c r="AD14" i="19"/>
  <c r="B15" i="19"/>
  <c r="AE14" i="19"/>
  <c r="B14" i="17"/>
  <c r="C13" i="17"/>
  <c r="C14" i="2"/>
  <c r="B15" i="2"/>
  <c r="C14" i="16"/>
  <c r="B15" i="16"/>
  <c r="C14" i="15"/>
  <c r="AE14" i="15"/>
  <c r="B15" i="15"/>
  <c r="D15" i="15" s="1"/>
  <c r="AD14" i="15"/>
  <c r="AD14" i="17" l="1"/>
  <c r="AE14" i="17"/>
  <c r="AD15" i="19"/>
  <c r="AE15" i="19"/>
  <c r="D15" i="19"/>
  <c r="D14" i="19" s="1"/>
  <c r="D13" i="19" s="1"/>
  <c r="D12" i="19" s="1"/>
  <c r="D11" i="19" s="1"/>
  <c r="D10" i="19" s="1"/>
  <c r="D9" i="19" s="1"/>
  <c r="D8" i="19" s="1"/>
  <c r="D7" i="19" s="1"/>
  <c r="AD15" i="16"/>
  <c r="AE15" i="16"/>
  <c r="AD15" i="2"/>
  <c r="AE15" i="2"/>
  <c r="AD15" i="18"/>
  <c r="AE15" i="18"/>
  <c r="D15" i="18"/>
  <c r="D14" i="18" s="1"/>
  <c r="D13" i="18" s="1"/>
  <c r="D12" i="18" s="1"/>
  <c r="D11" i="18" s="1"/>
  <c r="D10" i="18" s="1"/>
  <c r="D9" i="18" s="1"/>
  <c r="D8" i="18" s="1"/>
  <c r="D7" i="18" s="1"/>
  <c r="C14" i="17"/>
  <c r="B15" i="17"/>
  <c r="C15" i="18"/>
  <c r="B16" i="18"/>
  <c r="C15" i="19"/>
  <c r="B16" i="19"/>
  <c r="B16" i="2"/>
  <c r="C15" i="2"/>
  <c r="B16" i="15"/>
  <c r="AD15" i="15"/>
  <c r="C15" i="15"/>
  <c r="AE15" i="15"/>
  <c r="B16" i="16"/>
  <c r="C15" i="16"/>
  <c r="AD16" i="16" l="1"/>
  <c r="AE16" i="16"/>
  <c r="AD15" i="17"/>
  <c r="AE15" i="17"/>
  <c r="AD16" i="2"/>
  <c r="AE16" i="2"/>
  <c r="D16" i="15"/>
  <c r="AE16" i="15"/>
  <c r="AD16" i="15"/>
  <c r="C16" i="2"/>
  <c r="B17" i="2"/>
  <c r="C16" i="19"/>
  <c r="B16" i="17"/>
  <c r="C15" i="17"/>
  <c r="C16" i="18"/>
  <c r="B17" i="16"/>
  <c r="C16" i="16"/>
  <c r="C16" i="15"/>
  <c r="B17" i="15"/>
  <c r="AD17" i="2" l="1"/>
  <c r="AE17" i="2"/>
  <c r="AD17" i="16"/>
  <c r="AE17" i="16"/>
  <c r="D17" i="15"/>
  <c r="AD17" i="15"/>
  <c r="AE17" i="15"/>
  <c r="AD16" i="17"/>
  <c r="AE16" i="17"/>
  <c r="B17" i="17"/>
  <c r="C16" i="17"/>
  <c r="C17" i="2"/>
  <c r="B18" i="2"/>
  <c r="B18" i="16"/>
  <c r="C17" i="16"/>
  <c r="B18" i="15"/>
  <c r="C17" i="15"/>
  <c r="AD17" i="17" l="1"/>
  <c r="AE17" i="17"/>
  <c r="AE18" i="15"/>
  <c r="AD18" i="15"/>
  <c r="AD18" i="16"/>
  <c r="AE18" i="16"/>
  <c r="AD18" i="2"/>
  <c r="AE18" i="2"/>
  <c r="C18" i="15"/>
  <c r="B19" i="15"/>
  <c r="C19" i="15" s="1"/>
  <c r="D18" i="15"/>
  <c r="B19" i="16"/>
  <c r="C18" i="16"/>
  <c r="B19" i="2"/>
  <c r="C18" i="2"/>
  <c r="C17" i="17"/>
  <c r="B18" i="17"/>
  <c r="AD19" i="16" l="1"/>
  <c r="AE19" i="16"/>
  <c r="B20" i="16"/>
  <c r="AD19" i="2"/>
  <c r="AE19" i="2"/>
  <c r="B20" i="2"/>
  <c r="AD18" i="17"/>
  <c r="AE18" i="17"/>
  <c r="C19" i="2"/>
  <c r="C19" i="16"/>
  <c r="C18" i="17"/>
  <c r="B19" i="17"/>
  <c r="AD20" i="16" l="1"/>
  <c r="AE20" i="16"/>
  <c r="B21" i="16"/>
  <c r="C20" i="16"/>
  <c r="AD20" i="2"/>
  <c r="AE20" i="2"/>
  <c r="B21" i="2"/>
  <c r="C20" i="2"/>
  <c r="AD19" i="17"/>
  <c r="AE19" i="17"/>
  <c r="B20" i="17"/>
  <c r="C19" i="17"/>
  <c r="C21" i="16" l="1"/>
  <c r="AG21" i="16"/>
  <c r="AD21" i="16"/>
  <c r="AE21" i="16"/>
  <c r="AF21" i="16"/>
  <c r="D20" i="16"/>
  <c r="D19" i="16" s="1"/>
  <c r="D18" i="16" s="1"/>
  <c r="D17" i="16" s="1"/>
  <c r="D16" i="16" s="1"/>
  <c r="D15" i="16" s="1"/>
  <c r="D14" i="16" s="1"/>
  <c r="D13" i="16" s="1"/>
  <c r="D12" i="16" s="1"/>
  <c r="D11" i="16" s="1"/>
  <c r="D10" i="16" s="1"/>
  <c r="D9" i="16" s="1"/>
  <c r="D8" i="16" s="1"/>
  <c r="D7" i="16" s="1"/>
  <c r="AD20" i="17"/>
  <c r="AE20" i="17"/>
  <c r="B21" i="17"/>
  <c r="C20" i="17"/>
  <c r="D20" i="2"/>
  <c r="D19" i="2" s="1"/>
  <c r="D18" i="2" s="1"/>
  <c r="D17" i="2" s="1"/>
  <c r="D16" i="2" s="1"/>
  <c r="D15" i="2" s="1"/>
  <c r="D14" i="2" s="1"/>
  <c r="D13" i="2" s="1"/>
  <c r="D12" i="2" s="1"/>
  <c r="D11" i="2" s="1"/>
  <c r="D10" i="2" s="1"/>
  <c r="D9" i="2" s="1"/>
  <c r="D8" i="2" s="1"/>
  <c r="D7" i="2" s="1"/>
  <c r="AD21" i="2"/>
  <c r="AE21" i="2"/>
  <c r="AG21" i="2"/>
  <c r="AF21" i="2"/>
  <c r="C21" i="2"/>
  <c r="D20" i="17" l="1"/>
  <c r="D19" i="17" s="1"/>
  <c r="D18" i="17" s="1"/>
  <c r="D17" i="17" s="1"/>
  <c r="D16" i="17" s="1"/>
  <c r="D15" i="17" s="1"/>
  <c r="D14" i="17" s="1"/>
  <c r="D13" i="17" s="1"/>
  <c r="D12" i="17" s="1"/>
  <c r="D11" i="17" s="1"/>
  <c r="D10" i="17" s="1"/>
  <c r="D9" i="17" s="1"/>
  <c r="D8" i="17" s="1"/>
  <c r="D7" i="17" s="1"/>
  <c r="AG21" i="17"/>
  <c r="AF21" i="17"/>
  <c r="AD21" i="17"/>
  <c r="AE21" i="17"/>
  <c r="C21" i="17"/>
</calcChain>
</file>

<file path=xl/sharedStrings.xml><?xml version="1.0" encoding="utf-8"?>
<sst xmlns="http://schemas.openxmlformats.org/spreadsheetml/2006/main" count="1004" uniqueCount="135">
  <si>
    <t>벨트 텐션 점검 (XL : / ZL : / XR : / ZR : / Y : )</t>
    <phoneticPr fontId="1" type="noConversion"/>
  </si>
  <si>
    <t>유량 점검 (T1, T4 : / T2, T3 : / T4 : )</t>
    <phoneticPr fontId="1" type="noConversion"/>
  </si>
  <si>
    <t>MARK II</t>
    <phoneticPr fontId="1" type="noConversion"/>
  </si>
  <si>
    <t>가공회차</t>
    <phoneticPr fontId="1" type="noConversion"/>
  </si>
  <si>
    <t>T1</t>
    <phoneticPr fontId="1" type="noConversion"/>
  </si>
  <si>
    <t>T4</t>
    <phoneticPr fontId="1" type="noConversion"/>
  </si>
  <si>
    <t>필터세척</t>
    <phoneticPr fontId="1" type="noConversion"/>
  </si>
  <si>
    <t>if 50회 주기도래:</t>
    <phoneticPr fontId="1" type="noConversion"/>
  </si>
  <si>
    <t>if 100회 주기도래:</t>
    <phoneticPr fontId="1" type="noConversion"/>
  </si>
  <si>
    <t>특이사항</t>
    <phoneticPr fontId="1" type="noConversion"/>
  </si>
  <si>
    <t>수행기간</t>
    <phoneticPr fontId="1" type="noConversion"/>
  </si>
  <si>
    <t>장비요소 주기점검</t>
  </si>
  <si>
    <t>T2</t>
    <phoneticPr fontId="1" type="noConversion"/>
  </si>
  <si>
    <t>T3</t>
    <phoneticPr fontId="1" type="noConversion"/>
  </si>
  <si>
    <t>VITA</t>
    <phoneticPr fontId="1" type="noConversion"/>
  </si>
  <si>
    <t>SPINDLE REV</t>
  </si>
  <si>
    <t>-</t>
    <phoneticPr fontId="1" type="noConversion"/>
  </si>
  <si>
    <t>TABLE OUTLINE</t>
    <phoneticPr fontId="1" type="noConversion"/>
  </si>
  <si>
    <t>LM-10 SPINDLE 내구도 신뢰성 시험이력</t>
    <phoneticPr fontId="1" type="noConversion"/>
  </si>
  <si>
    <t>AG Mode Current(min-max)</t>
    <phoneticPr fontId="1" type="noConversion"/>
  </si>
  <si>
    <t>시험완료여부</t>
    <phoneticPr fontId="1" type="noConversion"/>
  </si>
  <si>
    <t>중단</t>
    <phoneticPr fontId="1" type="noConversion"/>
  </si>
  <si>
    <t>BLOCK 제조사</t>
  </si>
  <si>
    <t>BLOCK 식별자</t>
  </si>
  <si>
    <t>BLOCK 재질</t>
  </si>
  <si>
    <t>WATER TANK FILTER 청결상태</t>
    <phoneticPr fontId="1" type="noConversion"/>
  </si>
  <si>
    <t>사전점검(시험 전 점검항목)</t>
    <phoneticPr fontId="1" type="noConversion"/>
  </si>
  <si>
    <t>가공일</t>
    <phoneticPr fontId="1" type="noConversion"/>
  </si>
  <si>
    <t>BLOCK 강도(MPa)</t>
    <phoneticPr fontId="1" type="noConversion"/>
  </si>
  <si>
    <t>가속 Factor</t>
    <phoneticPr fontId="1" type="noConversion"/>
  </si>
  <si>
    <t xml:space="preserve">스핀들 유격 </t>
    <phoneticPr fontId="1" type="noConversion"/>
  </si>
  <si>
    <t>산출가공물 치수 측정결과</t>
    <phoneticPr fontId="1" type="noConversion"/>
  </si>
  <si>
    <t>BUR 기대수명</t>
    <phoneticPr fontId="1" type="noConversion"/>
  </si>
  <si>
    <t>5회 가공회차 주기</t>
  </si>
  <si>
    <t>40회 가공회차 주기</t>
  </si>
  <si>
    <t>160회 가공회차 주기</t>
  </si>
  <si>
    <t>BUR 가공누적사용횟수</t>
    <phoneticPr fontId="1" type="noConversion"/>
  </si>
  <si>
    <t>필터세척/유량계 유량 측정</t>
    <phoneticPr fontId="1" type="noConversion"/>
  </si>
  <si>
    <t>필터교체/BELT TENSION 측정</t>
    <phoneticPr fontId="1" type="noConversion"/>
  </si>
  <si>
    <t>스핀들 소음유무 측정</t>
    <phoneticPr fontId="1" type="noConversion"/>
  </si>
  <si>
    <t>누락</t>
    <phoneticPr fontId="1" type="noConversion"/>
  </si>
  <si>
    <t>버교체 주기</t>
    <phoneticPr fontId="1" type="noConversion"/>
  </si>
  <si>
    <t>누적가공수량</t>
    <phoneticPr fontId="1" type="noConversion"/>
  </si>
  <si>
    <t>통계</t>
    <phoneticPr fontId="1" type="noConversion"/>
  </si>
  <si>
    <t>스핀들 유격 점검</t>
    <phoneticPr fontId="1" type="noConversion"/>
  </si>
  <si>
    <t>193-301</t>
    <phoneticPr fontId="1" type="noConversion"/>
  </si>
  <si>
    <t>173-418</t>
    <phoneticPr fontId="1" type="noConversion"/>
  </si>
  <si>
    <t>189-314</t>
    <phoneticPr fontId="1" type="noConversion"/>
  </si>
  <si>
    <t>199-415</t>
    <phoneticPr fontId="1" type="noConversion"/>
  </si>
  <si>
    <t>ES#8</t>
    <phoneticPr fontId="1" type="noConversion"/>
  </si>
  <si>
    <t>ES#9</t>
    <phoneticPr fontId="1" type="noConversion"/>
  </si>
  <si>
    <t>PP#2</t>
    <phoneticPr fontId="1" type="noConversion"/>
  </si>
  <si>
    <t>PP#3</t>
  </si>
  <si>
    <t>PP#4</t>
  </si>
  <si>
    <t>PP#5</t>
  </si>
  <si>
    <t>월별 가공수량</t>
    <phoneticPr fontId="1" type="noConversion"/>
  </si>
  <si>
    <t>일별 가공수량</t>
    <phoneticPr fontId="1" type="noConversion"/>
  </si>
  <si>
    <t>가공일 수</t>
    <phoneticPr fontId="1" type="noConversion"/>
  </si>
  <si>
    <t>260-385</t>
    <phoneticPr fontId="1" type="noConversion"/>
  </si>
  <si>
    <t>87-206</t>
    <phoneticPr fontId="1" type="noConversion"/>
  </si>
  <si>
    <t>160-266</t>
    <phoneticPr fontId="1" type="noConversion"/>
  </si>
  <si>
    <t>173-286</t>
    <phoneticPr fontId="1" type="noConversion"/>
  </si>
  <si>
    <t>282-297</t>
    <phoneticPr fontId="1" type="noConversion"/>
  </si>
  <si>
    <t>252-274</t>
    <phoneticPr fontId="1" type="noConversion"/>
  </si>
  <si>
    <t>210-264</t>
    <phoneticPr fontId="1" type="noConversion"/>
  </si>
  <si>
    <t>260-281</t>
    <phoneticPr fontId="1" type="noConversion"/>
  </si>
  <si>
    <t>166-254</t>
    <phoneticPr fontId="1" type="noConversion"/>
  </si>
  <si>
    <t>170-230</t>
    <phoneticPr fontId="1" type="noConversion"/>
  </si>
  <si>
    <t>116-197</t>
    <phoneticPr fontId="1" type="noConversion"/>
  </si>
  <si>
    <t>175-253</t>
    <phoneticPr fontId="1" type="noConversion"/>
  </si>
  <si>
    <t>224-310</t>
    <phoneticPr fontId="1" type="noConversion"/>
  </si>
  <si>
    <t>261-324</t>
    <phoneticPr fontId="1" type="noConversion"/>
  </si>
  <si>
    <t>217-299</t>
    <phoneticPr fontId="1" type="noConversion"/>
  </si>
  <si>
    <t>282-327</t>
    <phoneticPr fontId="1" type="noConversion"/>
  </si>
  <si>
    <t>159-229</t>
    <phoneticPr fontId="1" type="noConversion"/>
  </si>
  <si>
    <t>92-170</t>
    <phoneticPr fontId="1" type="noConversion"/>
  </si>
  <si>
    <t>196-241</t>
    <phoneticPr fontId="1" type="noConversion"/>
  </si>
  <si>
    <t>109-260</t>
    <phoneticPr fontId="1" type="noConversion"/>
  </si>
  <si>
    <t>230-270</t>
    <phoneticPr fontId="1" type="noConversion"/>
  </si>
  <si>
    <t>242-279</t>
    <phoneticPr fontId="1" type="noConversion"/>
  </si>
  <si>
    <t>240-267</t>
    <phoneticPr fontId="1" type="noConversion"/>
  </si>
  <si>
    <t>248-270</t>
    <phoneticPr fontId="1" type="noConversion"/>
  </si>
  <si>
    <t>101-223</t>
    <phoneticPr fontId="1" type="noConversion"/>
  </si>
  <si>
    <t>132-320</t>
    <phoneticPr fontId="1" type="noConversion"/>
  </si>
  <si>
    <t>113-202</t>
    <phoneticPr fontId="1" type="noConversion"/>
  </si>
  <si>
    <t>100-343</t>
    <phoneticPr fontId="1" type="noConversion"/>
  </si>
  <si>
    <t>245-291</t>
    <phoneticPr fontId="1" type="noConversion"/>
  </si>
  <si>
    <t>264-310</t>
    <phoneticPr fontId="1" type="noConversion"/>
  </si>
  <si>
    <t>208-270</t>
    <phoneticPr fontId="1" type="noConversion"/>
  </si>
  <si>
    <t>206-250</t>
    <phoneticPr fontId="1" type="noConversion"/>
  </si>
  <si>
    <t xml:space="preserve">산출물 </t>
    <phoneticPr fontId="1" type="noConversion"/>
  </si>
  <si>
    <t>적용 상수</t>
    <phoneticPr fontId="1" type="noConversion"/>
  </si>
  <si>
    <t>가공물</t>
    <phoneticPr fontId="1" type="noConversion"/>
  </si>
  <si>
    <t>*일평균 가공수량</t>
    <phoneticPr fontId="1" type="noConversion"/>
  </si>
  <si>
    <t>이슈식별자='issue_2025_11_10_1527',
이슈식별시기='2025-11-10',
이슈보고시기=None,
부위=객체.LM_100.SOFTWARE.GUI.NEXT,
현상="ES#8, ES#9 전원인가 후 2회차 가공시작 시 밀링 미시작 현상",
현상상세="Milling_Start_클릭 후 NEXT 클릭하였으나 밀링작업시작 안됨",
조치='전원 재인가(파워서플라이 스위치 활용) &gt; 1회차 가공 시도 &gt; 성공 &gt; 2회차 계속적 실패',
원인분석결과=None,
결과=None,
예방=None,</t>
    <phoneticPr fontId="1" type="noConversion"/>
  </si>
  <si>
    <t>이슈코드</t>
    <phoneticPr fontId="1" type="noConversion"/>
  </si>
  <si>
    <t>이슈상세</t>
    <phoneticPr fontId="1" type="noConversion"/>
  </si>
  <si>
    <t>issue_2025_11_10_1527</t>
    <phoneticPr fontId="1" type="noConversion"/>
  </si>
  <si>
    <t>*월평균 가공수량</t>
    <phoneticPr fontId="1" type="noConversion"/>
  </si>
  <si>
    <t xml:space="preserve">월평균 가공수량=가공월 수 *  </t>
    <phoneticPr fontId="1" type="noConversion"/>
  </si>
  <si>
    <t>값</t>
    <phoneticPr fontId="1" type="noConversion"/>
  </si>
  <si>
    <t>산출근거</t>
    <phoneticPr fontId="1" type="noConversion"/>
  </si>
  <si>
    <t>전수</t>
    <phoneticPr fontId="1" type="noConversion"/>
  </si>
  <si>
    <t>2025-11 월가공수량</t>
  </si>
  <si>
    <t>가공월 수</t>
    <phoneticPr fontId="1" type="noConversion"/>
  </si>
  <si>
    <t xml:space="preserve">일평균 가공수량=누적가공수량 / 가공일 수  </t>
    <phoneticPr fontId="1" type="noConversion"/>
  </si>
  <si>
    <t>2025-11-10 일가공수량</t>
    <phoneticPr fontId="1" type="noConversion"/>
  </si>
  <si>
    <t>2025-11-11 일가공수량</t>
    <phoneticPr fontId="1" type="noConversion"/>
  </si>
  <si>
    <t>2025-12 월가공수량</t>
  </si>
  <si>
    <t>시험 적용</t>
  </si>
  <si>
    <t>시험통제변수</t>
  </si>
  <si>
    <t>시험가정</t>
  </si>
  <si>
    <t>산출요소</t>
    <phoneticPr fontId="1" type="noConversion"/>
  </si>
  <si>
    <t>issue_2025_11_11_1100</t>
    <phoneticPr fontId="1" type="noConversion"/>
  </si>
  <si>
    <t>이슈식별자='issue_2025_11_11_1100',
이슈식별시기='2025-11-11',
이슈보고시기='2025-11-11',
부위=객체.LM_100.WATER_LINE,
현상="PP#3 Water Line 누수",
현상상세="밀링작업시작 정상적으로 진행이되나 진행 중 누수 발견",
조치='장비 중단',
원인분석결과=None,
결과=None,
예방=None,</t>
    <phoneticPr fontId="1" type="noConversion"/>
  </si>
  <si>
    <t>이슈해결여부</t>
    <phoneticPr fontId="1" type="noConversion"/>
  </si>
  <si>
    <t>미해결</t>
    <phoneticPr fontId="1" type="noConversion"/>
  </si>
  <si>
    <t>관심지표(통계 산출물)</t>
    <phoneticPr fontId="1" type="noConversion"/>
  </si>
  <si>
    <t>2025-11-12 일가공수량</t>
    <phoneticPr fontId="1" type="noConversion"/>
  </si>
  <si>
    <r>
      <rPr>
        <b/>
        <i/>
        <sz val="11"/>
        <color rgb="FFFF0000"/>
        <rFont val="맑은 고딕"/>
        <family val="3"/>
        <charset val="129"/>
        <scheme val="minor"/>
      </rPr>
      <t xml:space="preserve">15000 </t>
    </r>
    <r>
      <rPr>
        <b/>
        <i/>
        <sz val="11"/>
        <color theme="0" tint="-0.499984740745262"/>
        <rFont val="맑은 고딕"/>
        <family val="3"/>
        <charset val="129"/>
        <scheme val="minor"/>
      </rPr>
      <t>R</t>
    </r>
    <r>
      <rPr>
        <b/>
        <i/>
        <sz val="11"/>
        <color rgb="FF7F7F7F"/>
        <rFont val="맑은 고딕"/>
        <family val="3"/>
        <charset val="129"/>
        <scheme val="minor"/>
      </rPr>
      <t>PM Current(min-max) and 스핀들 소음</t>
    </r>
    <phoneticPr fontId="1" type="noConversion"/>
  </si>
  <si>
    <r>
      <t xml:space="preserve">15000 </t>
    </r>
    <r>
      <rPr>
        <b/>
        <i/>
        <sz val="11"/>
        <color theme="0" tint="-0.499984740745262"/>
        <rFont val="맑은 고딕"/>
        <family val="3"/>
        <charset val="129"/>
        <scheme val="minor"/>
      </rPr>
      <t>R</t>
    </r>
    <r>
      <rPr>
        <b/>
        <i/>
        <sz val="11"/>
        <color rgb="FF7F7F7F"/>
        <rFont val="맑은 고딕"/>
        <family val="3"/>
        <charset val="129"/>
        <scheme val="minor"/>
      </rPr>
      <t>PM Current(min-max) and 스핀들 소음</t>
    </r>
    <phoneticPr fontId="1" type="noConversion"/>
  </si>
  <si>
    <t>가공시간(분)</t>
    <phoneticPr fontId="1" type="noConversion"/>
  </si>
  <si>
    <t>적정</t>
  </si>
  <si>
    <t>예측</t>
    <phoneticPr fontId="1" type="noConversion"/>
  </si>
  <si>
    <t>시험결과</t>
    <phoneticPr fontId="1" type="noConversion"/>
  </si>
  <si>
    <t>issue_2025_11_11_1100 이슈 있지만 물닦으면서 가공진행</t>
    <phoneticPr fontId="1" type="noConversion"/>
  </si>
  <si>
    <t>2025-11 월가공수량 교차검증</t>
    <phoneticPr fontId="1" type="noConversion"/>
  </si>
  <si>
    <t>issue_2025_11_11_1100 이슈 있으며, 물이 꽤 많아 차석길 프로님 지시하에 가공중단.</t>
    <phoneticPr fontId="1" type="noConversion"/>
  </si>
  <si>
    <t>issue_2025_11_10_1527 사유로 작업중단. LM_100 이슈재현하여 로그전송했으며 분석대기 중</t>
    <phoneticPr fontId="1" type="noConversion"/>
  </si>
  <si>
    <t>VITA</t>
  </si>
  <si>
    <t/>
  </si>
  <si>
    <t>실패</t>
    <phoneticPr fontId="1" type="noConversion"/>
  </si>
  <si>
    <t>완료</t>
    <phoneticPr fontId="1" type="noConversion"/>
  </si>
  <si>
    <t>적정</t>
    <phoneticPr fontId="1" type="noConversion"/>
  </si>
  <si>
    <t>issue_2025_11_10_1527  &gt;  작업중단 &gt; LM_100 이슈재현 &gt; 로그전달(하승석) &gt; 분석대기 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</si>
</sst>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i/>
      <sz val="11"/>
      <color rgb="FF7F7F7F"/>
      <name val="맑은 고딕"/>
      <family val="3"/>
      <charset val="129"/>
      <scheme val="minor"/>
    </font>
    <font>
      <b/>
      <i/>
      <sz val="16"/>
      <color rgb="FF7F7F7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i/>
      <sz val="11"/>
      <color rgb="FFFF0000"/>
      <name val="맑은 고딕"/>
      <family val="3"/>
      <charset val="129"/>
      <scheme val="minor"/>
    </font>
    <font>
      <b/>
      <i/>
      <sz val="11"/>
      <color theme="0" tint="-0.499984740745262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2" borderId="15" applyNumberFormat="0" applyAlignment="0" applyProtection="0">
      <alignment vertical="center"/>
    </xf>
  </cellStyleXfs>
  <cellXfs count="93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quotePrefix="1" applyBorder="1">
      <alignment vertical="center"/>
    </xf>
    <xf numFmtId="14" fontId="0" fillId="0" borderId="4" xfId="0" applyNumberFormat="1" applyBorder="1">
      <alignment vertical="center"/>
    </xf>
    <xf numFmtId="0" fontId="0" fillId="0" borderId="0" xfId="0" applyAlignment="1">
      <alignment horizontal="center" vertical="center"/>
    </xf>
    <xf numFmtId="0" fontId="2" fillId="3" borderId="0" xfId="1" applyFill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3" fillId="4" borderId="6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/>
    </xf>
    <xf numFmtId="0" fontId="3" fillId="4" borderId="14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 wrapText="1"/>
    </xf>
    <xf numFmtId="0" fontId="3" fillId="4" borderId="14" xfId="1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7" fillId="2" borderId="15" xfId="2">
      <alignment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14" fontId="0" fillId="0" borderId="0" xfId="0" applyNumberFormat="1" applyBorder="1">
      <alignment vertical="center"/>
    </xf>
    <xf numFmtId="0" fontId="0" fillId="0" borderId="0" xfId="0" applyBorder="1" applyAlignment="1">
      <alignment horizontal="center" vertical="center"/>
    </xf>
    <xf numFmtId="0" fontId="2" fillId="3" borderId="0" xfId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8" fillId="4" borderId="1" xfId="1" applyFont="1" applyFill="1" applyBorder="1" applyAlignment="1">
      <alignment horizontal="center" vertical="center"/>
    </xf>
    <xf numFmtId="0" fontId="0" fillId="4" borderId="11" xfId="0" applyFill="1" applyBorder="1">
      <alignment vertical="center"/>
    </xf>
    <xf numFmtId="0" fontId="2" fillId="4" borderId="1" xfId="1" applyFill="1" applyBorder="1">
      <alignment vertical="center"/>
    </xf>
    <xf numFmtId="0" fontId="7" fillId="4" borderId="15" xfId="2" applyFill="1" applyBorder="1">
      <alignment vertical="center"/>
    </xf>
    <xf numFmtId="0" fontId="3" fillId="4" borderId="9" xfId="1" applyFont="1" applyFill="1" applyBorder="1" applyAlignment="1">
      <alignment vertical="center"/>
    </xf>
    <xf numFmtId="0" fontId="7" fillId="4" borderId="15" xfId="2" applyFill="1">
      <alignment vertical="center"/>
    </xf>
    <xf numFmtId="0" fontId="0" fillId="4" borderId="0" xfId="0" applyFill="1" applyBorder="1">
      <alignment vertical="center"/>
    </xf>
    <xf numFmtId="0" fontId="0" fillId="4" borderId="10" xfId="0" applyFill="1" applyBorder="1">
      <alignment vertical="center"/>
    </xf>
    <xf numFmtId="0" fontId="0" fillId="4" borderId="12" xfId="0" applyFill="1" applyBorder="1">
      <alignment vertical="center"/>
    </xf>
    <xf numFmtId="0" fontId="8" fillId="4" borderId="14" xfId="1" applyFont="1" applyFill="1" applyBorder="1">
      <alignment vertical="center"/>
    </xf>
    <xf numFmtId="0" fontId="0" fillId="4" borderId="14" xfId="0" applyFill="1" applyBorder="1">
      <alignment vertical="center"/>
    </xf>
    <xf numFmtId="0" fontId="8" fillId="4" borderId="1" xfId="1" applyFont="1" applyFill="1" applyBorder="1">
      <alignment vertical="center"/>
    </xf>
    <xf numFmtId="0" fontId="0" fillId="4" borderId="1" xfId="0" applyFill="1" applyBorder="1">
      <alignment vertical="center"/>
    </xf>
    <xf numFmtId="0" fontId="3" fillId="4" borderId="1" xfId="1" applyFont="1" applyFill="1" applyBorder="1">
      <alignment vertical="center"/>
    </xf>
    <xf numFmtId="0" fontId="3" fillId="4" borderId="12" xfId="1" applyFont="1" applyFill="1" applyBorder="1" applyAlignment="1">
      <alignment vertical="center"/>
    </xf>
    <xf numFmtId="0" fontId="3" fillId="4" borderId="14" xfId="1" applyFont="1" applyFill="1" applyBorder="1" applyAlignment="1">
      <alignment vertical="center"/>
    </xf>
    <xf numFmtId="0" fontId="9" fillId="4" borderId="1" xfId="1" applyFont="1" applyFill="1" applyBorder="1">
      <alignment vertical="center"/>
    </xf>
    <xf numFmtId="0" fontId="6" fillId="0" borderId="0" xfId="0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6" fillId="0" borderId="0" xfId="0" applyFont="1" applyBorder="1">
      <alignment vertical="center"/>
    </xf>
    <xf numFmtId="0" fontId="12" fillId="0" borderId="0" xfId="0" applyFont="1" applyBorder="1">
      <alignment vertical="center"/>
    </xf>
    <xf numFmtId="0" fontId="12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8" fillId="3" borderId="0" xfId="1" applyFont="1" applyFill="1" applyBorder="1" applyAlignment="1">
      <alignment vertical="center"/>
    </xf>
    <xf numFmtId="0" fontId="11" fillId="0" borderId="0" xfId="0" applyFont="1">
      <alignment vertical="center"/>
    </xf>
    <xf numFmtId="0" fontId="11" fillId="0" borderId="0" xfId="0" applyFont="1" applyBorder="1">
      <alignment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3" fillId="4" borderId="13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/>
    </xf>
    <xf numFmtId="0" fontId="3" fillId="4" borderId="10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/>
    </xf>
    <xf numFmtId="0" fontId="3" fillId="4" borderId="14" xfId="1" applyFont="1" applyFill="1" applyBorder="1" applyAlignment="1">
      <alignment horizontal="center" vertical="center"/>
    </xf>
    <xf numFmtId="0" fontId="3" fillId="4" borderId="0" xfId="1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/>
    </xf>
    <xf numFmtId="0" fontId="8" fillId="4" borderId="5" xfId="1" applyFont="1" applyFill="1" applyBorder="1" applyAlignment="1">
      <alignment horizontal="center" vertical="center"/>
    </xf>
    <xf numFmtId="0" fontId="8" fillId="4" borderId="3" xfId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/>
    </xf>
    <xf numFmtId="0" fontId="4" fillId="4" borderId="7" xfId="1" applyFont="1" applyFill="1" applyBorder="1" applyAlignment="1">
      <alignment horizontal="center" vertical="center"/>
    </xf>
    <xf numFmtId="0" fontId="4" fillId="4" borderId="13" xfId="1" applyFont="1" applyFill="1" applyBorder="1" applyAlignment="1">
      <alignment horizontal="center" vertical="center"/>
    </xf>
    <xf numFmtId="0" fontId="8" fillId="4" borderId="14" xfId="1" applyFont="1" applyFill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/>
    </xf>
    <xf numFmtId="0" fontId="4" fillId="4" borderId="12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</cellXfs>
  <cellStyles count="3">
    <cellStyle name="계산" xfId="2" builtinId="22"/>
    <cellStyle name="설명 텍스트" xfId="1" builtinId="53"/>
    <cellStyle name="표준" xfId="0" builtinId="0"/>
  </cellStyles>
  <dxfs count="950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E74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0DAAB-702A-438D-B22B-E4398B84585E}">
  <dimension ref="C4:D11"/>
  <sheetViews>
    <sheetView workbookViewId="0">
      <selection activeCell="D13" sqref="D13"/>
    </sheetView>
  </sheetViews>
  <sheetFormatPr defaultRowHeight="17" x14ac:dyDescent="0.45"/>
  <sheetData>
    <row r="4" spans="3:4" x14ac:dyDescent="0.45">
      <c r="C4" t="s">
        <v>11</v>
      </c>
    </row>
    <row r="5" spans="3:4" x14ac:dyDescent="0.45">
      <c r="D5" t="s">
        <v>7</v>
      </c>
    </row>
    <row r="6" spans="3:4" x14ac:dyDescent="0.45">
      <c r="D6" t="s">
        <v>6</v>
      </c>
    </row>
    <row r="8" spans="3:4" x14ac:dyDescent="0.45">
      <c r="D8" t="s">
        <v>8</v>
      </c>
    </row>
    <row r="9" spans="3:4" x14ac:dyDescent="0.45">
      <c r="D9" t="s">
        <v>6</v>
      </c>
    </row>
    <row r="10" spans="3:4" x14ac:dyDescent="0.45">
      <c r="D10" t="s">
        <v>0</v>
      </c>
    </row>
    <row r="11" spans="3:4" x14ac:dyDescent="0.45">
      <c r="D11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6CA6-8BC1-48DC-B239-BAE1C88CF047}">
  <sheetPr>
    <tabColor theme="0" tint="-0.14999847407452621"/>
  </sheetPr>
  <dimension ref="A1:AP29"/>
  <sheetViews>
    <sheetView tabSelected="1" zoomScale="55" zoomScaleNormal="55" workbookViewId="0">
      <selection activeCell="Q17" sqref="Q17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3" max="28" width="9.1640625" customWidth="1"/>
    <col min="29" max="29" width="20.66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55" t="s">
        <v>18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</row>
    <row r="2" spans="1:42" x14ac:dyDescent="0.45">
      <c r="A2" s="60" t="s">
        <v>10</v>
      </c>
      <c r="B2" s="61" t="s">
        <v>90</v>
      </c>
      <c r="C2" s="62"/>
      <c r="D2" s="62"/>
      <c r="E2" s="62"/>
      <c r="F2" s="60" t="s">
        <v>109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22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92</v>
      </c>
      <c r="L5" s="65"/>
      <c r="M5" s="65"/>
      <c r="N5" s="66"/>
      <c r="O5" s="42" t="s">
        <v>91</v>
      </c>
      <c r="P5" s="20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60" t="s">
        <v>119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21" t="s">
        <v>25</v>
      </c>
      <c r="Q6" s="21" t="s">
        <v>4</v>
      </c>
      <c r="R6" s="21" t="s">
        <v>12</v>
      </c>
      <c r="S6" s="21" t="s">
        <v>13</v>
      </c>
      <c r="T6" s="21" t="s">
        <v>5</v>
      </c>
      <c r="U6" s="21" t="s">
        <v>4</v>
      </c>
      <c r="V6" s="21" t="s">
        <v>12</v>
      </c>
      <c r="W6" s="21" t="s">
        <v>13</v>
      </c>
      <c r="X6" s="21" t="s">
        <v>5</v>
      </c>
      <c r="Y6" s="21" t="s">
        <v>4</v>
      </c>
      <c r="Z6" s="21" t="s">
        <v>12</v>
      </c>
      <c r="AA6" s="21" t="s">
        <v>13</v>
      </c>
      <c r="AB6" s="21" t="s">
        <v>5</v>
      </c>
      <c r="AC6" s="21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14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21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92" t="str">
        <f>IF(MOD($B7,5)=0, "누락 ","-" )</f>
        <v>-</v>
      </c>
      <c r="R7" s="92" t="str">
        <f>IF(MOD($B7,5)=0, "누락 ","-" )</f>
        <v>-</v>
      </c>
      <c r="S7" s="92" t="str">
        <f>IF(MOD($B7,5)=0, "누락 ","-" )</f>
        <v>-</v>
      </c>
      <c r="T7" s="92" t="str">
        <f>IF(MOD($B7,5)=0, "누락 ","-" )</f>
        <v>-</v>
      </c>
      <c r="U7" s="92" t="str">
        <f>IF(MOD($B7,5)=0, "누락","-" )</f>
        <v>-</v>
      </c>
      <c r="V7" s="92" t="str">
        <f>IF(MOD($B7,5)=0, "누락","-" )</f>
        <v>-</v>
      </c>
      <c r="W7" s="92" t="str">
        <f>IF(MOD($B7,5)=0, "누락","-" )</f>
        <v>-</v>
      </c>
      <c r="X7" s="92" t="str">
        <f>IF(MOD($B7,5)=0, "누락","-" )</f>
        <v>-</v>
      </c>
      <c r="Y7" s="92" t="str">
        <f>IF(MOD($B7,5)=0, "누락","-" )</f>
        <v>-</v>
      </c>
      <c r="Z7" s="92" t="str">
        <f>IF(MOD($B7,5)=0, "누락","-" )</f>
        <v>-</v>
      </c>
      <c r="AA7" s="92" t="str">
        <f>IF(MOD($B7,5)=0, "누락","-" )</f>
        <v>-</v>
      </c>
      <c r="AB7" s="92" t="str">
        <f>IF(MOD($B7,5)=0, "누락","-" )</f>
        <v>-</v>
      </c>
      <c r="AC7" s="92" t="str">
        <f>IF(MOD($B7,5)=0, "누락","-" )</f>
        <v>-</v>
      </c>
      <c r="AD7" s="92" t="str">
        <f t="shared" ref="AD7:AD16" si="2">IF(MOD($B7,40)=0, "필터세척 :"&amp; CHAR(10) &amp; "FLOW   (T1, T4 : / T2, T3 : / T4 : )","-" )</f>
        <v>-</v>
      </c>
      <c r="AE7" s="92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21</v>
      </c>
      <c r="F8" s="49" t="s">
        <v>40</v>
      </c>
      <c r="G8" s="49" t="s">
        <v>16</v>
      </c>
      <c r="H8" s="49" t="s">
        <v>16</v>
      </c>
      <c r="I8" s="49" t="s">
        <v>40</v>
      </c>
      <c r="J8" s="1"/>
      <c r="K8" s="49" t="str">
        <f t="shared" ref="K8:N8" si="3">IF(NOT(LEN($I8)=0),K7,"")</f>
        <v>VITA</v>
      </c>
      <c r="L8" s="49" t="str">
        <f t="shared" si="3"/>
        <v>MARK II</v>
      </c>
      <c r="M8" s="49">
        <f t="shared" si="3"/>
        <v>160</v>
      </c>
      <c r="N8" s="49" t="str">
        <f t="shared" si="3"/>
        <v>-</v>
      </c>
      <c r="O8" s="24">
        <f>IF(LEN(A8)&gt;0, 종합!$C$27, "")</f>
        <v>2.2599999999999998</v>
      </c>
      <c r="P8" s="1" t="s">
        <v>16</v>
      </c>
      <c r="Q8" s="92" t="str">
        <f>IF(MOD($B8,5)=0, "누락 ","-" )</f>
        <v>-</v>
      </c>
      <c r="R8" s="92" t="str">
        <f>IF(MOD($B8,5)=0, "누락 ","-" )</f>
        <v>-</v>
      </c>
      <c r="S8" s="92" t="str">
        <f>IF(MOD($B8,5)=0, "누락 ","-" )</f>
        <v>-</v>
      </c>
      <c r="T8" s="92" t="str">
        <f>IF(MOD($B8,5)=0, "누락 ","-" )</f>
        <v>-</v>
      </c>
      <c r="U8" s="92" t="str">
        <f>IF(MOD($B8,5)=0, "누락","-" )</f>
        <v>-</v>
      </c>
      <c r="V8" s="92" t="str">
        <f>IF(MOD($B8,5)=0, "누락","-" )</f>
        <v>-</v>
      </c>
      <c r="W8" s="92" t="str">
        <f>IF(MOD($B8,5)=0, "누락","-" )</f>
        <v>-</v>
      </c>
      <c r="X8" s="92" t="str">
        <f>IF(MOD($B8,5)=0, "누락","-" )</f>
        <v>-</v>
      </c>
      <c r="Y8" s="92" t="str">
        <f>IF(MOD($B8,5)=0, "누락","-" )</f>
        <v>-</v>
      </c>
      <c r="Z8" s="92" t="str">
        <f>IF(MOD($B8,5)=0, "누락","-" )</f>
        <v>-</v>
      </c>
      <c r="AA8" s="92" t="str">
        <f>IF(MOD($B8,5)=0, "누락","-" )</f>
        <v>-</v>
      </c>
      <c r="AB8" s="92" t="str">
        <f>IF(MOD($B8,5)=0, "누락","-" )</f>
        <v>-</v>
      </c>
      <c r="AC8" s="92" t="str">
        <f>IF(MOD($B8,5)=0, "누락","-" )</f>
        <v>-</v>
      </c>
      <c r="AD8" s="92" t="str">
        <f t="shared" si="2"/>
        <v>-</v>
      </c>
      <c r="AE8" s="92" t="str">
        <f t="shared" ref="AE8:AE15" si="4">IF($B8="","",
  IF(MOD(B8,160)=0,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21</v>
      </c>
      <c r="F9" s="49" t="s">
        <v>40</v>
      </c>
      <c r="G9" s="49" t="s">
        <v>16</v>
      </c>
      <c r="H9" s="49" t="s">
        <v>16</v>
      </c>
      <c r="I9" s="49" t="s">
        <v>40</v>
      </c>
      <c r="J9" s="1"/>
      <c r="K9" s="49" t="str">
        <f t="shared" ref="K9:K21" si="5">IF(NOT(LEN($I9)=0),K8,"")</f>
        <v>VITA</v>
      </c>
      <c r="L9" s="49" t="str">
        <f t="shared" ref="L9:L21" si="6">IF(NOT(LEN($I9)=0),L8,"")</f>
        <v>MARK II</v>
      </c>
      <c r="M9" s="49">
        <f t="shared" ref="M9:M21" si="7">IF(NOT(LEN($I9)=0),M8,"")</f>
        <v>160</v>
      </c>
      <c r="N9" s="49" t="str">
        <f t="shared" ref="N9:N21" si="8">IF(NOT(LEN($I9)=0),N8,"")</f>
        <v>-</v>
      </c>
      <c r="O9" s="24">
        <f>IF(LEN(A9)&gt;0, 종합!$C$27, "")</f>
        <v>2.2599999999999998</v>
      </c>
      <c r="P9" s="1" t="s">
        <v>16</v>
      </c>
      <c r="Q9" s="92" t="str">
        <f>IF(MOD($B9,5)=0, "누락 ","-" )</f>
        <v>-</v>
      </c>
      <c r="R9" s="92" t="str">
        <f>IF(MOD($B9,5)=0, "누락 ","-" )</f>
        <v>-</v>
      </c>
      <c r="S9" s="92" t="str">
        <f>IF(MOD($B9,5)=0, "누락 ","-" )</f>
        <v>-</v>
      </c>
      <c r="T9" s="92" t="str">
        <f>IF(MOD($B9,5)=0, "누락 ","-" )</f>
        <v>-</v>
      </c>
      <c r="U9" s="92" t="str">
        <f>IF(MOD($B9,5)=0, "누락","-" )</f>
        <v>-</v>
      </c>
      <c r="V9" s="92" t="str">
        <f>IF(MOD($B9,5)=0, "누락","-" )</f>
        <v>-</v>
      </c>
      <c r="W9" s="92" t="str">
        <f>IF(MOD($B9,5)=0, "누락","-" )</f>
        <v>-</v>
      </c>
      <c r="X9" s="92" t="str">
        <f>IF(MOD($B9,5)=0, "누락","-" )</f>
        <v>-</v>
      </c>
      <c r="Y9" s="92" t="str">
        <f>IF(MOD($B9,5)=0, "누락","-" )</f>
        <v>-</v>
      </c>
      <c r="Z9" s="92" t="str">
        <f>IF(MOD($B9,5)=0, "누락","-" )</f>
        <v>-</v>
      </c>
      <c r="AA9" s="92" t="str">
        <f>IF(MOD($B9,5)=0, "누락","-" )</f>
        <v>-</v>
      </c>
      <c r="AB9" s="92" t="str">
        <f>IF(MOD($B9,5)=0, "누락","-" )</f>
        <v>-</v>
      </c>
      <c r="AC9" s="92" t="str">
        <f>IF(MOD($B9,5)=0, "누락","-" )</f>
        <v>-</v>
      </c>
      <c r="AD9" s="92" t="str">
        <f t="shared" si="2"/>
        <v>-</v>
      </c>
      <c r="AE9" s="92" t="str">
        <f t="shared" si="4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>IF(NOT(LEN(A10)=0),B9+1,"")</f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">
        <v>16</v>
      </c>
      <c r="H10" s="49" t="s">
        <v>16</v>
      </c>
      <c r="I10" s="49" t="s">
        <v>40</v>
      </c>
      <c r="J10" s="1"/>
      <c r="K10" s="49" t="str">
        <f t="shared" si="5"/>
        <v>VITA</v>
      </c>
      <c r="L10" s="49" t="str">
        <f t="shared" si="6"/>
        <v>MARK II</v>
      </c>
      <c r="M10" s="49">
        <f t="shared" si="7"/>
        <v>160</v>
      </c>
      <c r="N10" s="49" t="str">
        <f t="shared" si="8"/>
        <v>-</v>
      </c>
      <c r="O10" s="24">
        <f>IF(LEN(A10)&gt;0, 종합!$C$27, "")</f>
        <v>2.2599999999999998</v>
      </c>
      <c r="P10" s="1" t="s">
        <v>16</v>
      </c>
      <c r="Q10" s="92" t="str">
        <f>IF(MOD($B10,5)=0, "누락 ","-" )</f>
        <v>-</v>
      </c>
      <c r="R10" s="92" t="str">
        <f>IF(MOD($B10,5)=0, "누락 ","-" )</f>
        <v>-</v>
      </c>
      <c r="S10" s="92" t="str">
        <f>IF(MOD($B10,5)=0, "누락 ","-" )</f>
        <v>-</v>
      </c>
      <c r="T10" s="92" t="str">
        <f>IF(MOD($B10,5)=0, "누락 ","-" )</f>
        <v>-</v>
      </c>
      <c r="U10" s="92" t="str">
        <f>IF(MOD($B10,5)=0, "누락","-" )</f>
        <v>-</v>
      </c>
      <c r="V10" s="92" t="str">
        <f>IF(MOD($B10,5)=0, "누락","-" )</f>
        <v>-</v>
      </c>
      <c r="W10" s="92" t="str">
        <f>IF(MOD($B10,5)=0, "누락","-" )</f>
        <v>-</v>
      </c>
      <c r="X10" s="92" t="str">
        <f>IF(MOD($B10,5)=0, "누락","-" )</f>
        <v>-</v>
      </c>
      <c r="Y10" s="92" t="str">
        <f>IF(MOD($B10,5)=0, "누락","-" )</f>
        <v>-</v>
      </c>
      <c r="Z10" s="92" t="str">
        <f>IF(MOD($B10,5)=0, "누락","-" )</f>
        <v>-</v>
      </c>
      <c r="AA10" s="92" t="str">
        <f>IF(MOD($B10,5)=0, "누락","-" )</f>
        <v>-</v>
      </c>
      <c r="AB10" s="92" t="str">
        <f>IF(MOD($B10,5)=0, "누락","-" )</f>
        <v>-</v>
      </c>
      <c r="AC10" s="92" t="str">
        <f>IF(MOD($B10,5)=0, "누락","-" )</f>
        <v>-</v>
      </c>
      <c r="AD10" s="92" t="str">
        <f t="shared" si="2"/>
        <v>-</v>
      </c>
      <c r="AE10" s="92" t="str">
        <f t="shared" si="4"/>
        <v>-</v>
      </c>
      <c r="AF10" s="1" t="s">
        <v>16</v>
      </c>
      <c r="AG10" s="1" t="s">
        <v>16</v>
      </c>
    </row>
    <row r="11" spans="1:42" x14ac:dyDescent="0.45">
      <c r="A11" s="3">
        <v>45972</v>
      </c>
      <c r="B11" s="24">
        <f t="shared" ref="B11:B21" si="9">IF(NOT(LEN(A11)=0),B10+1,"")</f>
        <v>5</v>
      </c>
      <c r="C11" s="7" t="str">
        <f t="shared" si="0"/>
        <v>Dimensions: L W H</v>
      </c>
      <c r="D11" s="6" t="str">
        <f t="shared" si="1"/>
        <v>완료</v>
      </c>
      <c r="E11" s="24">
        <v>23</v>
      </c>
      <c r="F11" s="49">
        <v>0</v>
      </c>
      <c r="G11" s="49" t="s">
        <v>16</v>
      </c>
      <c r="H11" s="49" t="s">
        <v>16</v>
      </c>
      <c r="I11" s="49">
        <v>0</v>
      </c>
      <c r="J11" s="1"/>
      <c r="K11" s="49" t="str">
        <f t="shared" si="5"/>
        <v>VITA</v>
      </c>
      <c r="L11" s="49" t="str">
        <f t="shared" si="6"/>
        <v>MARK II</v>
      </c>
      <c r="M11" s="49">
        <f t="shared" si="7"/>
        <v>160</v>
      </c>
      <c r="N11" s="49" t="str">
        <f t="shared" si="8"/>
        <v>-</v>
      </c>
      <c r="O11" s="24">
        <f>IF(LEN(A11)&gt;0, 종합!$C$27, "")</f>
        <v>2.2599999999999998</v>
      </c>
      <c r="P11" s="1" t="s">
        <v>16</v>
      </c>
      <c r="Q11" s="92" t="s">
        <v>133</v>
      </c>
      <c r="R11" s="92" t="s">
        <v>122</v>
      </c>
      <c r="S11" s="92" t="s">
        <v>122</v>
      </c>
      <c r="T11" s="92" t="s">
        <v>122</v>
      </c>
      <c r="U11" s="92" t="s">
        <v>58</v>
      </c>
      <c r="V11" s="92" t="s">
        <v>59</v>
      </c>
      <c r="W11" s="92" t="s">
        <v>60</v>
      </c>
      <c r="X11" s="92" t="s">
        <v>61</v>
      </c>
      <c r="Y11" s="92" t="s">
        <v>62</v>
      </c>
      <c r="Z11" s="92" t="s">
        <v>63</v>
      </c>
      <c r="AA11" s="92" t="s">
        <v>64</v>
      </c>
      <c r="AB11" s="92" t="s">
        <v>65</v>
      </c>
      <c r="AC11" s="92" t="s">
        <v>122</v>
      </c>
      <c r="AD11" s="92" t="str">
        <f t="shared" si="2"/>
        <v>-</v>
      </c>
      <c r="AE11" s="92" t="str">
        <f t="shared" si="4"/>
        <v>-</v>
      </c>
      <c r="AF11" s="1" t="s">
        <v>16</v>
      </c>
      <c r="AG11" s="1" t="s">
        <v>16</v>
      </c>
    </row>
    <row r="12" spans="1:42" x14ac:dyDescent="0.45">
      <c r="A12" s="3">
        <v>45972</v>
      </c>
      <c r="B12" s="24">
        <f t="shared" si="9"/>
        <v>6</v>
      </c>
      <c r="C12" s="7" t="str">
        <f t="shared" si="0"/>
        <v>Dimensions: L W H</v>
      </c>
      <c r="D12" s="6" t="str">
        <f t="shared" si="1"/>
        <v>완료</v>
      </c>
      <c r="E12" s="24">
        <v>21</v>
      </c>
      <c r="F12" s="49">
        <f>IF(NOT(LEN($A12)=0),IF(F11+1&gt;15,"버교체요망",F11+1),"")</f>
        <v>1</v>
      </c>
      <c r="G12" s="49" t="s">
        <v>16</v>
      </c>
      <c r="H12" s="49" t="s">
        <v>16</v>
      </c>
      <c r="I12" s="49">
        <f>IF(NOT(LEN($A12)=0),IF(I11+1&gt;15,"버교체요망",I11+1),"")</f>
        <v>1</v>
      </c>
      <c r="J12" s="1"/>
      <c r="K12" s="49" t="str">
        <f t="shared" si="5"/>
        <v>VITA</v>
      </c>
      <c r="L12" s="49" t="str">
        <f t="shared" si="6"/>
        <v>MARK II</v>
      </c>
      <c r="M12" s="49">
        <f t="shared" si="7"/>
        <v>160</v>
      </c>
      <c r="N12" s="49" t="str">
        <f t="shared" si="8"/>
        <v>-</v>
      </c>
      <c r="O12" s="24">
        <f>IF(LEN(A12)&gt;0, 종합!$C$27, "")</f>
        <v>2.2599999999999998</v>
      </c>
      <c r="P12" s="1" t="s">
        <v>16</v>
      </c>
      <c r="Q12" s="92" t="str">
        <f>IF(MOD($B12,5)=0, "누락 ","-" )</f>
        <v>-</v>
      </c>
      <c r="R12" s="92" t="str">
        <f>IF(MOD($B12,5)=0, "누락 ","-" )</f>
        <v>-</v>
      </c>
      <c r="S12" s="92" t="str">
        <f>IF(MOD($B12,5)=0, "누락 ","-" )</f>
        <v>-</v>
      </c>
      <c r="T12" s="92" t="str">
        <f>IF(MOD($B12,5)=0, "누락 ","-" )</f>
        <v>-</v>
      </c>
      <c r="U12" s="92" t="str">
        <f>IF(MOD($B12,5)=0, "누락","-" )</f>
        <v>-</v>
      </c>
      <c r="V12" s="92" t="str">
        <f>IF(MOD($B12,5)=0, "누락","-" )</f>
        <v>-</v>
      </c>
      <c r="W12" s="92" t="str">
        <f>IF(MOD($B12,5)=0, "누락","-" )</f>
        <v>-</v>
      </c>
      <c r="X12" s="92" t="str">
        <f>IF(MOD($B12,5)=0, "누락","-" )</f>
        <v>-</v>
      </c>
      <c r="Y12" s="92" t="str">
        <f>IF(MOD($B12,5)=0, "누락","-" )</f>
        <v>-</v>
      </c>
      <c r="Z12" s="92" t="str">
        <f>IF(MOD($B12,5)=0, "누락","-" )</f>
        <v>-</v>
      </c>
      <c r="AA12" s="92" t="str">
        <f>IF(MOD($B12,5)=0, "누락","-" )</f>
        <v>-</v>
      </c>
      <c r="AB12" s="92" t="str">
        <f>IF(MOD($B12,5)=0, "누락","-" )</f>
        <v>-</v>
      </c>
      <c r="AC12" s="92" t="str">
        <f>IF(MOD($B12,5)=0, "누락","-" )</f>
        <v>-</v>
      </c>
      <c r="AD12" s="92" t="str">
        <f t="shared" si="2"/>
        <v>-</v>
      </c>
      <c r="AE12" s="92" t="str">
        <f t="shared" si="4"/>
        <v>-</v>
      </c>
      <c r="AF12" s="44" t="s">
        <v>97</v>
      </c>
      <c r="AG12" s="1" t="s">
        <v>16</v>
      </c>
    </row>
    <row r="13" spans="1:42" x14ac:dyDescent="0.45">
      <c r="A13" s="3">
        <v>45972</v>
      </c>
      <c r="B13" s="24">
        <f t="shared" si="9"/>
        <v>7</v>
      </c>
      <c r="C13" s="7" t="str">
        <f t="shared" si="0"/>
        <v>Dimensions: L W H</v>
      </c>
      <c r="D13" s="6" t="str">
        <f t="shared" si="1"/>
        <v>완료</v>
      </c>
      <c r="E13" s="24">
        <v>21</v>
      </c>
      <c r="F13" s="49">
        <f t="shared" ref="F13:F16" si="10">IF(NOT(LEN($A13)=0),IF(F12+1&gt;15,"버교체요망",F12+1),"")</f>
        <v>2</v>
      </c>
      <c r="G13" s="49" t="s">
        <v>16</v>
      </c>
      <c r="H13" s="49" t="s">
        <v>16</v>
      </c>
      <c r="I13" s="49">
        <f t="shared" ref="I13:I16" si="11">IF(NOT(LEN($A13)=0),IF(I12+1&gt;15,"버교체요망",I12+1),"")</f>
        <v>2</v>
      </c>
      <c r="J13" s="1"/>
      <c r="K13" s="49" t="str">
        <f t="shared" si="5"/>
        <v>VITA</v>
      </c>
      <c r="L13" s="49" t="str">
        <f t="shared" si="6"/>
        <v>MARK II</v>
      </c>
      <c r="M13" s="49">
        <f t="shared" si="7"/>
        <v>160</v>
      </c>
      <c r="N13" s="49" t="str">
        <f t="shared" si="8"/>
        <v>-</v>
      </c>
      <c r="O13" s="24">
        <f>IF(LEN(A13)&gt;0, 종합!$C$27, "")</f>
        <v>2.2599999999999998</v>
      </c>
      <c r="P13" s="1" t="s">
        <v>16</v>
      </c>
      <c r="Q13" s="92" t="str">
        <f>IF(MOD($B13,5)=0, "누락 ","-" )</f>
        <v>-</v>
      </c>
      <c r="R13" s="92" t="str">
        <f>IF(MOD($B13,5)=0, "누락 ","-" )</f>
        <v>-</v>
      </c>
      <c r="S13" s="92" t="str">
        <f>IF(MOD($B13,5)=0, "누락 ","-" )</f>
        <v>-</v>
      </c>
      <c r="T13" s="92" t="str">
        <f>IF(MOD($B13,5)=0, "누락 ","-" )</f>
        <v>-</v>
      </c>
      <c r="U13" s="92" t="str">
        <f>IF(MOD($B13,5)=0, "누락","-" )</f>
        <v>-</v>
      </c>
      <c r="V13" s="92" t="str">
        <f>IF(MOD($B13,5)=0, "누락","-" )</f>
        <v>-</v>
      </c>
      <c r="W13" s="92" t="str">
        <f>IF(MOD($B13,5)=0, "누락","-" )</f>
        <v>-</v>
      </c>
      <c r="X13" s="92" t="str">
        <f>IF(MOD($B13,5)=0, "누락","-" )</f>
        <v>-</v>
      </c>
      <c r="Y13" s="92" t="str">
        <f>IF(MOD($B13,5)=0, "누락","-" )</f>
        <v>-</v>
      </c>
      <c r="Z13" s="92" t="str">
        <f>IF(MOD($B13,5)=0, "누락","-" )</f>
        <v>-</v>
      </c>
      <c r="AA13" s="92" t="str">
        <f>IF(MOD($B13,5)=0, "누락","-" )</f>
        <v>-</v>
      </c>
      <c r="AB13" s="92" t="str">
        <f>IF(MOD($B13,5)=0, "누락","-" )</f>
        <v>-</v>
      </c>
      <c r="AC13" s="92" t="str">
        <f>IF(MOD($B13,5)=0, "누락","-" )</f>
        <v>-</v>
      </c>
      <c r="AD13" s="92" t="str">
        <f t="shared" si="2"/>
        <v>-</v>
      </c>
      <c r="AE13" s="92" t="str">
        <f t="shared" si="4"/>
        <v>-</v>
      </c>
      <c r="AF13" s="45" t="s">
        <v>97</v>
      </c>
      <c r="AG13" s="1" t="s">
        <v>16</v>
      </c>
    </row>
    <row r="14" spans="1:42" x14ac:dyDescent="0.45">
      <c r="A14" s="3">
        <v>45973</v>
      </c>
      <c r="B14" s="24">
        <f t="shared" si="9"/>
        <v>8</v>
      </c>
      <c r="C14" s="7" t="str">
        <f t="shared" si="0"/>
        <v>Dimensions: L W H</v>
      </c>
      <c r="D14" s="6" t="str">
        <f t="shared" si="1"/>
        <v>완료</v>
      </c>
      <c r="E14" s="24">
        <v>23</v>
      </c>
      <c r="F14" s="49">
        <f t="shared" si="10"/>
        <v>3</v>
      </c>
      <c r="G14" s="49" t="s">
        <v>16</v>
      </c>
      <c r="H14" s="49" t="s">
        <v>16</v>
      </c>
      <c r="I14" s="49">
        <f t="shared" si="11"/>
        <v>3</v>
      </c>
      <c r="J14" s="1"/>
      <c r="K14" s="49" t="str">
        <f t="shared" si="5"/>
        <v>VITA</v>
      </c>
      <c r="L14" s="49" t="str">
        <f t="shared" si="6"/>
        <v>MARK II</v>
      </c>
      <c r="M14" s="49">
        <f t="shared" si="7"/>
        <v>160</v>
      </c>
      <c r="N14" s="49" t="str">
        <f t="shared" si="8"/>
        <v>-</v>
      </c>
      <c r="O14" s="24">
        <f>IF(LEN(A14)&gt;0, 종합!$C$27, "")</f>
        <v>2.2599999999999998</v>
      </c>
      <c r="P14" s="1" t="s">
        <v>16</v>
      </c>
      <c r="Q14" s="92" t="str">
        <f>IF(MOD($B14,5)=0, "누락 ","-" )</f>
        <v>-</v>
      </c>
      <c r="R14" s="92" t="str">
        <f>IF(MOD($B14,5)=0, "누락 ","-" )</f>
        <v>-</v>
      </c>
      <c r="S14" s="92" t="str">
        <f>IF(MOD($B14,5)=0, "누락 ","-" )</f>
        <v>-</v>
      </c>
      <c r="T14" s="92" t="str">
        <f>IF(MOD($B14,5)=0, "누락 ","-" )</f>
        <v>-</v>
      </c>
      <c r="U14" s="92" t="str">
        <f>IF(MOD($B14,5)=0, "누락","-" )</f>
        <v>-</v>
      </c>
      <c r="V14" s="92" t="str">
        <f>IF(MOD($B14,5)=0, "누락","-" )</f>
        <v>-</v>
      </c>
      <c r="W14" s="92" t="str">
        <f>IF(MOD($B14,5)=0, "누락","-" )</f>
        <v>-</v>
      </c>
      <c r="X14" s="92" t="str">
        <f>IF(MOD($B14,5)=0, "누락","-" )</f>
        <v>-</v>
      </c>
      <c r="Y14" s="92" t="str">
        <f>IF(MOD($B14,5)=0, "누락","-" )</f>
        <v>-</v>
      </c>
      <c r="Z14" s="92" t="str">
        <f>IF(MOD($B14,5)=0, "누락","-" )</f>
        <v>-</v>
      </c>
      <c r="AA14" s="92" t="str">
        <f>IF(MOD($B14,5)=0, "누락","-" )</f>
        <v>-</v>
      </c>
      <c r="AB14" s="92" t="str">
        <f>IF(MOD($B14,5)=0, "누락","-" )</f>
        <v>-</v>
      </c>
      <c r="AC14" s="92" t="str">
        <f>IF(MOD($B14,5)=0, "누락","-" )</f>
        <v>-</v>
      </c>
      <c r="AD14" s="92" t="str">
        <f t="shared" si="2"/>
        <v>-</v>
      </c>
      <c r="AE14" s="92" t="str">
        <f t="shared" si="4"/>
        <v>-</v>
      </c>
      <c r="AF14" s="45" t="s">
        <v>97</v>
      </c>
      <c r="AG14" s="1" t="s">
        <v>16</v>
      </c>
    </row>
    <row r="15" spans="1:42" x14ac:dyDescent="0.45">
      <c r="A15" s="3">
        <v>45973</v>
      </c>
      <c r="B15" s="24">
        <f t="shared" si="9"/>
        <v>9</v>
      </c>
      <c r="C15" s="7" t="str">
        <f t="shared" ref="C15" si="12">IF(B15="","",
  IF(MOD($B15,1)=0,
    "Dimensions: L W H",
    "-"
  )
)</f>
        <v>Dimensions: L W H</v>
      </c>
      <c r="D15" s="6" t="str">
        <f t="shared" si="1"/>
        <v>완료</v>
      </c>
      <c r="E15" s="24">
        <v>23</v>
      </c>
      <c r="F15" s="49">
        <f t="shared" si="10"/>
        <v>4</v>
      </c>
      <c r="G15" s="49" t="s">
        <v>16</v>
      </c>
      <c r="H15" s="49" t="s">
        <v>16</v>
      </c>
      <c r="I15" s="49">
        <f t="shared" si="11"/>
        <v>4</v>
      </c>
      <c r="J15" s="1"/>
      <c r="K15" s="49" t="str">
        <f t="shared" si="5"/>
        <v>VITA</v>
      </c>
      <c r="L15" s="49" t="str">
        <f t="shared" si="6"/>
        <v>MARK II</v>
      </c>
      <c r="M15" s="49">
        <f t="shared" si="7"/>
        <v>160</v>
      </c>
      <c r="N15" s="49" t="str">
        <f t="shared" si="8"/>
        <v>-</v>
      </c>
      <c r="O15" s="24">
        <f>IF(LEN(A15)&gt;0, 종합!$C$27, "")</f>
        <v>2.2599999999999998</v>
      </c>
      <c r="P15" s="1"/>
      <c r="Q15" s="92" t="str">
        <f>IF(MOD($B15,5)=0, "누락 ","-" )</f>
        <v>-</v>
      </c>
      <c r="R15" s="92" t="str">
        <f>IF(MOD($B15,5)=0, "누락 ","-" )</f>
        <v>-</v>
      </c>
      <c r="S15" s="92" t="str">
        <f>IF(MOD($B15,5)=0, "누락 ","-" )</f>
        <v>-</v>
      </c>
      <c r="T15" s="92" t="str">
        <f>IF(MOD($B15,5)=0, "누락 ","-" )</f>
        <v>-</v>
      </c>
      <c r="U15" s="92" t="str">
        <f>IF(MOD($B15,5)=0, "누락","-" )</f>
        <v>-</v>
      </c>
      <c r="V15" s="92" t="str">
        <f>IF(MOD($B15,5)=0, "누락","-" )</f>
        <v>-</v>
      </c>
      <c r="W15" s="92" t="str">
        <f>IF(MOD($B15,5)=0, "누락","-" )</f>
        <v>-</v>
      </c>
      <c r="X15" s="92" t="str">
        <f>IF(MOD($B15,5)=0, "누락","-" )</f>
        <v>-</v>
      </c>
      <c r="Y15" s="92" t="str">
        <f>IF(MOD($B15,5)=0, "누락","-" )</f>
        <v>-</v>
      </c>
      <c r="Z15" s="92" t="str">
        <f>IF(MOD($B15,5)=0, "누락","-" )</f>
        <v>-</v>
      </c>
      <c r="AA15" s="92" t="str">
        <f>IF(MOD($B15,5)=0, "누락","-" )</f>
        <v>-</v>
      </c>
      <c r="AB15" s="92" t="str">
        <f>IF(MOD($B15,5)=0, "누락","-" )</f>
        <v>-</v>
      </c>
      <c r="AC15" s="92" t="str">
        <f>IF(MOD($B15,5)=0, "누락","-" )</f>
        <v>-</v>
      </c>
      <c r="AD15" s="92" t="str">
        <f t="shared" si="2"/>
        <v>-</v>
      </c>
      <c r="AE15" s="92" t="str">
        <f t="shared" si="4"/>
        <v>-</v>
      </c>
      <c r="AF15" s="45" t="s">
        <v>97</v>
      </c>
      <c r="AG15" s="1" t="s">
        <v>16</v>
      </c>
    </row>
    <row r="16" spans="1:42" x14ac:dyDescent="0.45">
      <c r="A16" s="3">
        <v>45973</v>
      </c>
      <c r="B16" s="24">
        <f t="shared" si="9"/>
        <v>10</v>
      </c>
      <c r="C16" s="7" t="str">
        <f>IF(B16="","",
  IF(MOD($B16,1)=0,
    "Dimensions: L W H",
    "-"
  )
)</f>
        <v>Dimensions: L W H</v>
      </c>
      <c r="D16" s="6" t="str">
        <f t="shared" si="1"/>
        <v>완료</v>
      </c>
      <c r="E16" s="51">
        <v>21</v>
      </c>
      <c r="F16" s="49">
        <f t="shared" si="10"/>
        <v>5</v>
      </c>
      <c r="G16" s="49" t="str">
        <f t="shared" ref="G16:H16" si="13">IF(NOT(LEN($I16)=0),G15,"")</f>
        <v>-</v>
      </c>
      <c r="H16" s="49" t="str">
        <f t="shared" si="13"/>
        <v>-</v>
      </c>
      <c r="I16" s="49">
        <f t="shared" si="11"/>
        <v>5</v>
      </c>
      <c r="J16" s="1"/>
      <c r="K16" s="49" t="str">
        <f t="shared" si="5"/>
        <v>VITA</v>
      </c>
      <c r="L16" s="49" t="str">
        <f t="shared" si="6"/>
        <v>MARK II</v>
      </c>
      <c r="M16" s="49">
        <f t="shared" si="7"/>
        <v>160</v>
      </c>
      <c r="N16" s="49" t="str">
        <f t="shared" si="8"/>
        <v>-</v>
      </c>
      <c r="O16" s="24">
        <f>IF(LEN(A16)&gt;0, 종합!$C$27, "")</f>
        <v>2.2599999999999998</v>
      </c>
      <c r="P16" s="1"/>
      <c r="Q16" s="92" t="s">
        <v>133</v>
      </c>
      <c r="R16" s="92" t="s">
        <v>122</v>
      </c>
      <c r="S16" s="92" t="s">
        <v>122</v>
      </c>
      <c r="T16" s="92" t="s">
        <v>122</v>
      </c>
      <c r="U16" s="48" t="str">
        <f t="shared" ref="Q16:AE28" si="14">IF(NOT(LEN($A16)=0),"누락","")</f>
        <v>누락</v>
      </c>
      <c r="V16" s="48" t="str">
        <f t="shared" si="14"/>
        <v>누락</v>
      </c>
      <c r="W16" s="48" t="str">
        <f t="shared" si="14"/>
        <v>누락</v>
      </c>
      <c r="X16" s="48" t="str">
        <f t="shared" si="14"/>
        <v>누락</v>
      </c>
      <c r="Y16" s="48" t="str">
        <f t="shared" si="14"/>
        <v>누락</v>
      </c>
      <c r="Z16" s="48" t="str">
        <f t="shared" si="14"/>
        <v>누락</v>
      </c>
      <c r="AA16" s="48" t="str">
        <f t="shared" si="14"/>
        <v>누락</v>
      </c>
      <c r="AB16" s="48" t="str">
        <f t="shared" si="14"/>
        <v>누락</v>
      </c>
      <c r="AC16" s="92" t="s">
        <v>122</v>
      </c>
      <c r="AD16" s="92" t="str">
        <f t="shared" si="2"/>
        <v>-</v>
      </c>
      <c r="AE16" s="92" t="str">
        <f t="shared" ref="AE16" si="15">IF($B16="","",
  IF(MOD(B16,160)=0,
    "TENSION (XL : / ZL : / XR : / ZR : / Y : )" &amp; CHAR(10) &amp;
    "필터교체",
    "-"
  )
)</f>
        <v>-</v>
      </c>
      <c r="AF16" s="45" t="s">
        <v>134</v>
      </c>
      <c r="AG16" s="1" t="s">
        <v>16</v>
      </c>
    </row>
    <row r="17" spans="1:36" x14ac:dyDescent="0.45">
      <c r="A17" s="3">
        <v>45973</v>
      </c>
      <c r="B17" s="24">
        <f t="shared" si="9"/>
        <v>11</v>
      </c>
      <c r="C17" s="7" t="str">
        <f t="shared" ref="C17:E28" si="16">IF(B17="","",
  IF(MOD($B17,1)=0,
    "Dimensions: L W H",
    "-"
  )
)</f>
        <v>Dimensions: L W H</v>
      </c>
      <c r="D17" s="6" t="str">
        <f t="shared" si="1"/>
        <v>진행중</v>
      </c>
      <c r="E17" s="24">
        <v>21</v>
      </c>
      <c r="F17" s="49">
        <f t="shared" ref="F17:F25" si="17">IF(NOT(LEN($A17)=0),IF(F16+1&gt;15,"버교체요망",F16+1),"")</f>
        <v>6</v>
      </c>
      <c r="G17" s="49" t="str">
        <f t="shared" ref="G17:G25" si="18">IF(NOT(LEN($I17)=0),G16,"")</f>
        <v>-</v>
      </c>
      <c r="H17" s="49" t="str">
        <f t="shared" ref="H17:H25" si="19">IF(NOT(LEN($I17)=0),H16,"")</f>
        <v>-</v>
      </c>
      <c r="I17" s="49">
        <f t="shared" ref="I17:I21" si="20">IF(NOT(LEN($A17)=0),IF(I16+1&gt;15,"버교체요망",I16+1),"")</f>
        <v>6</v>
      </c>
      <c r="J17" s="1"/>
      <c r="K17" s="49" t="str">
        <f t="shared" si="5"/>
        <v>VITA</v>
      </c>
      <c r="L17" s="49" t="str">
        <f t="shared" si="6"/>
        <v>MARK II</v>
      </c>
      <c r="M17" s="49">
        <f t="shared" si="7"/>
        <v>160</v>
      </c>
      <c r="N17" s="49" t="str">
        <f t="shared" si="8"/>
        <v>-</v>
      </c>
      <c r="O17" s="24">
        <f>IF(LEN(A17)&gt;0, 종합!$C$27, "")</f>
        <v>2.2599999999999998</v>
      </c>
      <c r="P17" s="1"/>
      <c r="Q17" s="92" t="str">
        <f>IF(MOD($B17,5)=0, "누락 ","-" )</f>
        <v>-</v>
      </c>
      <c r="R17" s="92" t="str">
        <f>IF(MOD($B17,5)=0, "누락 ","-" )</f>
        <v>-</v>
      </c>
      <c r="S17" s="92" t="str">
        <f>IF(MOD($B17,5)=0, "누락 ","-" )</f>
        <v>-</v>
      </c>
      <c r="T17" s="92" t="str">
        <f>IF(MOD($B17,5)=0, "누락 ","-" )</f>
        <v>-</v>
      </c>
      <c r="U17" s="92" t="str">
        <f>IF(MOD($B17,5)=0, "누락","-" )</f>
        <v>-</v>
      </c>
      <c r="V17" s="92" t="str">
        <f>IF(MOD($B17,5)=0, "누락","-" )</f>
        <v>-</v>
      </c>
      <c r="W17" s="92" t="str">
        <f>IF(MOD($B17,5)=0, "누락","-" )</f>
        <v>-</v>
      </c>
      <c r="X17" s="92" t="str">
        <f>IF(MOD($B17,5)=0, "누락","-" )</f>
        <v>-</v>
      </c>
      <c r="Y17" s="92" t="str">
        <f>IF(MOD($B17,5)=0, "누락","-" )</f>
        <v>-</v>
      </c>
      <c r="Z17" s="92" t="str">
        <f>IF(MOD($B17,5)=0, "누락","-" )</f>
        <v>-</v>
      </c>
      <c r="AA17" s="92" t="str">
        <f>IF(MOD($B17,5)=0, "누락","-" )</f>
        <v>-</v>
      </c>
      <c r="AB17" s="92" t="str">
        <f>IF(MOD($B17,5)=0, "누락","-" )</f>
        <v>-</v>
      </c>
      <c r="AC17" s="92" t="str">
        <f>IF(MOD($B17,5)=0, "누락","-" )</f>
        <v>-</v>
      </c>
      <c r="AD17" s="92" t="str">
        <f>IF(MOD($B17,5)=0, "누락","-" )</f>
        <v>-</v>
      </c>
      <c r="AE17" s="92" t="str">
        <f>IF(MOD($B17,5)=0, "누락","-" )</f>
        <v>-</v>
      </c>
      <c r="AF17" s="1" t="s">
        <v>16</v>
      </c>
      <c r="AG17" s="1" t="s">
        <v>16</v>
      </c>
      <c r="AH17" s="92" t="str">
        <f>IF(MOD($B17,5)=0, "누락","-" )</f>
        <v>-</v>
      </c>
      <c r="AI17" s="92" t="str">
        <f>IF(MOD($B17,5)=0, "누락","-" )</f>
        <v>-</v>
      </c>
      <c r="AJ17" s="92" t="str">
        <f>IF(MOD($B17,5)=0, "누락","-" )</f>
        <v>-</v>
      </c>
    </row>
    <row r="18" spans="1:36" x14ac:dyDescent="0.45">
      <c r="A18" s="3"/>
      <c r="B18" s="24" t="str">
        <f t="shared" si="9"/>
        <v/>
      </c>
      <c r="C18" s="7" t="str">
        <f t="shared" si="16"/>
        <v/>
      </c>
      <c r="D18" s="6" t="str">
        <f t="shared" si="1"/>
        <v/>
      </c>
      <c r="E18" s="24" t="str">
        <f t="shared" ref="E18:E28" si="21">IF($B18="","", "누락")</f>
        <v/>
      </c>
      <c r="F18" s="49" t="str">
        <f t="shared" si="17"/>
        <v/>
      </c>
      <c r="G18" s="49" t="str">
        <f t="shared" si="18"/>
        <v/>
      </c>
      <c r="H18" s="49" t="str">
        <f t="shared" si="19"/>
        <v/>
      </c>
      <c r="I18" s="49" t="str">
        <f t="shared" si="20"/>
        <v/>
      </c>
      <c r="J18" s="1"/>
      <c r="K18" s="49" t="str">
        <f t="shared" si="5"/>
        <v/>
      </c>
      <c r="L18" s="49" t="str">
        <f t="shared" si="6"/>
        <v/>
      </c>
      <c r="M18" s="49" t="str">
        <f t="shared" si="7"/>
        <v/>
      </c>
      <c r="N18" s="49" t="str">
        <f t="shared" si="8"/>
        <v/>
      </c>
      <c r="O18" s="24" t="str">
        <f>IF(LEN(A18)&gt;0, 종합!$C$27, "")</f>
        <v/>
      </c>
      <c r="P18" s="1"/>
      <c r="Q18" s="48" t="str">
        <f t="shared" si="14"/>
        <v/>
      </c>
      <c r="R18" s="48" t="str">
        <f t="shared" si="14"/>
        <v/>
      </c>
      <c r="S18" s="48" t="str">
        <f t="shared" si="14"/>
        <v/>
      </c>
      <c r="T18" s="48" t="str">
        <f t="shared" si="14"/>
        <v/>
      </c>
      <c r="U18" s="48" t="str">
        <f t="shared" si="14"/>
        <v/>
      </c>
      <c r="V18" s="48" t="str">
        <f t="shared" si="14"/>
        <v/>
      </c>
      <c r="W18" s="48" t="str">
        <f t="shared" si="14"/>
        <v/>
      </c>
      <c r="X18" s="48" t="str">
        <f t="shared" si="14"/>
        <v/>
      </c>
      <c r="Y18" s="48" t="str">
        <f t="shared" si="14"/>
        <v/>
      </c>
      <c r="Z18" s="48" t="str">
        <f t="shared" si="14"/>
        <v/>
      </c>
      <c r="AA18" s="48" t="str">
        <f t="shared" si="14"/>
        <v/>
      </c>
      <c r="AB18" s="48" t="str">
        <f t="shared" si="14"/>
        <v/>
      </c>
      <c r="AC18" s="48" t="str">
        <f t="shared" si="14"/>
        <v/>
      </c>
      <c r="AD18" s="48" t="str">
        <f t="shared" si="14"/>
        <v/>
      </c>
      <c r="AE18" s="48" t="str">
        <f t="shared" si="14"/>
        <v/>
      </c>
      <c r="AF18" s="1" t="s">
        <v>16</v>
      </c>
      <c r="AG18" s="1" t="s">
        <v>16</v>
      </c>
    </row>
    <row r="19" spans="1:36" x14ac:dyDescent="0.45">
      <c r="A19" s="3"/>
      <c r="B19" s="24" t="str">
        <f t="shared" si="9"/>
        <v/>
      </c>
      <c r="C19" s="7" t="str">
        <f t="shared" si="16"/>
        <v/>
      </c>
      <c r="D19" s="6" t="str">
        <f t="shared" si="1"/>
        <v/>
      </c>
      <c r="E19" s="24" t="str">
        <f t="shared" si="21"/>
        <v/>
      </c>
      <c r="F19" s="49" t="str">
        <f t="shared" si="17"/>
        <v/>
      </c>
      <c r="G19" s="49" t="str">
        <f t="shared" si="18"/>
        <v/>
      </c>
      <c r="H19" s="49" t="str">
        <f t="shared" si="19"/>
        <v/>
      </c>
      <c r="I19" s="49" t="str">
        <f t="shared" si="20"/>
        <v/>
      </c>
      <c r="J19" s="1"/>
      <c r="K19" s="49" t="str">
        <f t="shared" si="5"/>
        <v/>
      </c>
      <c r="L19" s="49" t="str">
        <f t="shared" si="6"/>
        <v/>
      </c>
      <c r="M19" s="49" t="str">
        <f t="shared" si="7"/>
        <v/>
      </c>
      <c r="N19" s="49" t="str">
        <f t="shared" si="8"/>
        <v/>
      </c>
      <c r="O19" s="24" t="str">
        <f>IF(LEN(A19)&gt;0, 종합!$C$27, "")</f>
        <v/>
      </c>
      <c r="P19" s="1"/>
      <c r="Q19" s="48" t="str">
        <f t="shared" si="14"/>
        <v/>
      </c>
      <c r="R19" s="48" t="str">
        <f t="shared" si="14"/>
        <v/>
      </c>
      <c r="S19" s="48" t="str">
        <f t="shared" si="14"/>
        <v/>
      </c>
      <c r="T19" s="48" t="str">
        <f t="shared" si="14"/>
        <v/>
      </c>
      <c r="U19" s="48" t="str">
        <f t="shared" si="14"/>
        <v/>
      </c>
      <c r="V19" s="48" t="str">
        <f t="shared" si="14"/>
        <v/>
      </c>
      <c r="W19" s="48" t="str">
        <f t="shared" si="14"/>
        <v/>
      </c>
      <c r="X19" s="48" t="str">
        <f t="shared" si="14"/>
        <v/>
      </c>
      <c r="Y19" s="48" t="str">
        <f t="shared" si="14"/>
        <v/>
      </c>
      <c r="Z19" s="48" t="str">
        <f t="shared" si="14"/>
        <v/>
      </c>
      <c r="AA19" s="48" t="str">
        <f t="shared" si="14"/>
        <v/>
      </c>
      <c r="AB19" s="48" t="str">
        <f t="shared" si="14"/>
        <v/>
      </c>
      <c r="AC19" s="48" t="str">
        <f t="shared" si="14"/>
        <v/>
      </c>
      <c r="AD19" s="48" t="str">
        <f t="shared" si="14"/>
        <v/>
      </c>
      <c r="AE19" s="48" t="str">
        <f t="shared" si="14"/>
        <v/>
      </c>
      <c r="AF19" s="1" t="s">
        <v>16</v>
      </c>
      <c r="AG19" s="1" t="s">
        <v>16</v>
      </c>
    </row>
    <row r="20" spans="1:36" x14ac:dyDescent="0.45">
      <c r="A20" s="3"/>
      <c r="B20" s="24" t="str">
        <f>IF(NOT(LEN(A20)=0),B19+1,"")</f>
        <v/>
      </c>
      <c r="C20" s="7" t="str">
        <f t="shared" si="16"/>
        <v/>
      </c>
      <c r="D20" s="6" t="str">
        <f t="shared" si="1"/>
        <v/>
      </c>
      <c r="E20" s="24" t="str">
        <f t="shared" si="21"/>
        <v/>
      </c>
      <c r="F20" s="49" t="str">
        <f t="shared" si="17"/>
        <v/>
      </c>
      <c r="G20" s="49" t="str">
        <f t="shared" si="18"/>
        <v/>
      </c>
      <c r="H20" s="49" t="str">
        <f t="shared" si="19"/>
        <v/>
      </c>
      <c r="I20" s="49" t="str">
        <f t="shared" si="20"/>
        <v/>
      </c>
      <c r="J20" s="1"/>
      <c r="K20" s="49" t="str">
        <f t="shared" si="5"/>
        <v/>
      </c>
      <c r="L20" s="49" t="str">
        <f t="shared" si="6"/>
        <v/>
      </c>
      <c r="M20" s="49" t="str">
        <f t="shared" si="7"/>
        <v/>
      </c>
      <c r="N20" s="49" t="str">
        <f t="shared" si="8"/>
        <v/>
      </c>
      <c r="O20" s="24" t="str">
        <f>IF(LEN(A20)&gt;0, 종합!$C$27, "")</f>
        <v/>
      </c>
      <c r="P20" s="1"/>
      <c r="Q20" s="48" t="str">
        <f t="shared" si="14"/>
        <v/>
      </c>
      <c r="R20" s="48" t="str">
        <f t="shared" si="14"/>
        <v/>
      </c>
      <c r="S20" s="48" t="str">
        <f t="shared" si="14"/>
        <v/>
      </c>
      <c r="T20" s="48" t="str">
        <f t="shared" si="14"/>
        <v/>
      </c>
      <c r="U20" s="48" t="str">
        <f t="shared" si="14"/>
        <v/>
      </c>
      <c r="V20" s="48" t="str">
        <f t="shared" si="14"/>
        <v/>
      </c>
      <c r="W20" s="48" t="str">
        <f t="shared" si="14"/>
        <v/>
      </c>
      <c r="X20" s="48" t="str">
        <f t="shared" si="14"/>
        <v/>
      </c>
      <c r="Y20" s="48" t="str">
        <f t="shared" si="14"/>
        <v/>
      </c>
      <c r="Z20" s="48" t="str">
        <f t="shared" si="14"/>
        <v/>
      </c>
      <c r="AA20" s="48" t="str">
        <f t="shared" si="14"/>
        <v/>
      </c>
      <c r="AB20" s="48" t="str">
        <f t="shared" si="14"/>
        <v/>
      </c>
      <c r="AC20" s="48" t="str">
        <f t="shared" si="14"/>
        <v/>
      </c>
      <c r="AD20" s="48" t="str">
        <f t="shared" si="14"/>
        <v/>
      </c>
      <c r="AE20" s="48" t="str">
        <f t="shared" si="14"/>
        <v/>
      </c>
      <c r="AF20" s="1" t="s">
        <v>16</v>
      </c>
      <c r="AG20" s="1" t="s">
        <v>16</v>
      </c>
    </row>
    <row r="21" spans="1:36" x14ac:dyDescent="0.45">
      <c r="A21" s="3"/>
      <c r="B21" s="24" t="str">
        <f t="shared" si="9"/>
        <v/>
      </c>
      <c r="C21" s="7" t="str">
        <f t="shared" si="16"/>
        <v/>
      </c>
      <c r="D21" s="6" t="str">
        <f>IF(NOT(LEN(B21)=0),IF(LEN(D28)=0,"진행중","완료"),"")</f>
        <v/>
      </c>
      <c r="E21" s="24" t="str">
        <f t="shared" si="21"/>
        <v/>
      </c>
      <c r="F21" s="49" t="str">
        <f t="shared" si="17"/>
        <v/>
      </c>
      <c r="G21" s="49" t="str">
        <f t="shared" si="18"/>
        <v/>
      </c>
      <c r="H21" s="49" t="str">
        <f t="shared" si="19"/>
        <v/>
      </c>
      <c r="I21" s="49" t="str">
        <f t="shared" si="20"/>
        <v/>
      </c>
      <c r="J21" s="1"/>
      <c r="K21" s="49" t="str">
        <f t="shared" si="5"/>
        <v/>
      </c>
      <c r="L21" s="49" t="str">
        <f t="shared" si="6"/>
        <v/>
      </c>
      <c r="M21" s="49" t="str">
        <f t="shared" si="7"/>
        <v/>
      </c>
      <c r="N21" s="49" t="str">
        <f t="shared" si="8"/>
        <v/>
      </c>
      <c r="O21" s="24" t="str">
        <f>IF(LEN(A21)&gt;0, 종합!$C$27, "")</f>
        <v/>
      </c>
      <c r="P21" s="1"/>
      <c r="Q21" s="48" t="str">
        <f t="shared" si="14"/>
        <v/>
      </c>
      <c r="R21" s="48" t="str">
        <f t="shared" si="14"/>
        <v/>
      </c>
      <c r="S21" s="48" t="str">
        <f t="shared" si="14"/>
        <v/>
      </c>
      <c r="T21" s="48" t="str">
        <f t="shared" si="14"/>
        <v/>
      </c>
      <c r="U21" s="48" t="str">
        <f t="shared" si="14"/>
        <v/>
      </c>
      <c r="V21" s="48" t="str">
        <f t="shared" si="14"/>
        <v/>
      </c>
      <c r="W21" s="48" t="str">
        <f t="shared" si="14"/>
        <v/>
      </c>
      <c r="X21" s="48" t="str">
        <f t="shared" si="14"/>
        <v/>
      </c>
      <c r="Y21" s="48" t="str">
        <f t="shared" si="14"/>
        <v/>
      </c>
      <c r="Z21" s="48" t="str">
        <f t="shared" si="14"/>
        <v/>
      </c>
      <c r="AA21" s="48" t="str">
        <f t="shared" si="14"/>
        <v/>
      </c>
      <c r="AB21" s="48" t="str">
        <f t="shared" si="14"/>
        <v/>
      </c>
      <c r="AC21" s="48" t="str">
        <f t="shared" si="14"/>
        <v/>
      </c>
      <c r="AD21" s="48" t="str">
        <f t="shared" si="14"/>
        <v/>
      </c>
      <c r="AE21" s="48" t="str">
        <f t="shared" si="14"/>
        <v/>
      </c>
      <c r="AF21" s="1" t="s">
        <v>16</v>
      </c>
      <c r="AG21" s="1" t="s">
        <v>16</v>
      </c>
    </row>
    <row r="22" spans="1:36" x14ac:dyDescent="0.45">
      <c r="A22" s="3"/>
      <c r="B22" s="24"/>
      <c r="C22" s="7"/>
      <c r="D22" s="6"/>
      <c r="E22" s="24" t="str">
        <f t="shared" si="21"/>
        <v/>
      </c>
      <c r="F22" s="49" t="str">
        <f t="shared" si="17"/>
        <v/>
      </c>
      <c r="G22" s="49" t="str">
        <f t="shared" si="18"/>
        <v/>
      </c>
      <c r="H22" s="49" t="str">
        <f t="shared" si="19"/>
        <v/>
      </c>
      <c r="I22" s="49"/>
      <c r="J22" s="1"/>
      <c r="K22" s="49"/>
      <c r="L22" s="49"/>
      <c r="M22" s="49"/>
      <c r="N22" s="49"/>
      <c r="O22" s="24"/>
      <c r="P22" s="1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1"/>
      <c r="AG22" s="1"/>
    </row>
    <row r="23" spans="1:36" x14ac:dyDescent="0.45">
      <c r="A23" s="3"/>
      <c r="B23" s="24"/>
      <c r="C23" s="7"/>
      <c r="D23" s="6"/>
      <c r="E23" s="24" t="str">
        <f t="shared" si="21"/>
        <v/>
      </c>
      <c r="F23" s="49" t="str">
        <f t="shared" si="17"/>
        <v/>
      </c>
      <c r="G23" s="49" t="str">
        <f t="shared" si="18"/>
        <v/>
      </c>
      <c r="H23" s="49" t="str">
        <f t="shared" si="19"/>
        <v/>
      </c>
      <c r="I23" s="49"/>
      <c r="J23" s="1"/>
      <c r="K23" s="49"/>
      <c r="L23" s="49"/>
      <c r="M23" s="49"/>
      <c r="N23" s="49"/>
      <c r="O23" s="24"/>
      <c r="P23" s="1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1"/>
      <c r="AG23" s="1"/>
    </row>
    <row r="24" spans="1:36" x14ac:dyDescent="0.45">
      <c r="A24" s="3"/>
      <c r="B24" s="24"/>
      <c r="C24" s="7"/>
      <c r="D24" s="6"/>
      <c r="E24" s="24" t="str">
        <f t="shared" si="21"/>
        <v/>
      </c>
      <c r="F24" s="49" t="str">
        <f t="shared" si="17"/>
        <v/>
      </c>
      <c r="G24" s="49" t="str">
        <f t="shared" si="18"/>
        <v/>
      </c>
      <c r="H24" s="49" t="str">
        <f t="shared" si="19"/>
        <v/>
      </c>
      <c r="I24" s="49"/>
      <c r="J24" s="1"/>
      <c r="K24" s="49"/>
      <c r="L24" s="49"/>
      <c r="M24" s="49"/>
      <c r="N24" s="49"/>
      <c r="O24" s="24"/>
      <c r="P24" s="1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1"/>
      <c r="AG24" s="1"/>
    </row>
    <row r="25" spans="1:36" x14ac:dyDescent="0.45">
      <c r="A25" s="3"/>
      <c r="B25" s="24"/>
      <c r="C25" s="7"/>
      <c r="D25" s="6"/>
      <c r="E25" s="24" t="str">
        <f t="shared" si="21"/>
        <v/>
      </c>
      <c r="F25" s="49" t="str">
        <f t="shared" si="17"/>
        <v/>
      </c>
      <c r="G25" s="49" t="str">
        <f t="shared" si="18"/>
        <v/>
      </c>
      <c r="H25" s="49" t="str">
        <f t="shared" si="19"/>
        <v/>
      </c>
      <c r="I25" s="49"/>
      <c r="J25" s="1"/>
      <c r="K25" s="49"/>
      <c r="L25" s="49"/>
      <c r="M25" s="49"/>
      <c r="N25" s="49"/>
      <c r="O25" s="24"/>
      <c r="P25" s="1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1"/>
      <c r="AG25" s="1"/>
    </row>
    <row r="26" spans="1:36" x14ac:dyDescent="0.45">
      <c r="A26" s="3"/>
      <c r="B26" s="24"/>
      <c r="C26" s="7"/>
      <c r="D26" s="6"/>
      <c r="E26" s="24" t="str">
        <f t="shared" si="21"/>
        <v/>
      </c>
      <c r="F26" s="49"/>
      <c r="G26" s="49"/>
      <c r="H26" s="49"/>
      <c r="I26" s="49"/>
      <c r="J26" s="1"/>
      <c r="K26" s="49"/>
      <c r="L26" s="49"/>
      <c r="M26" s="49"/>
      <c r="N26" s="49"/>
      <c r="O26" s="24"/>
      <c r="P26" s="1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1"/>
      <c r="AG26" s="1"/>
    </row>
    <row r="27" spans="1:36" x14ac:dyDescent="0.45">
      <c r="A27" s="3"/>
      <c r="B27" s="24"/>
      <c r="C27" s="7"/>
      <c r="D27" s="6"/>
      <c r="E27" s="24" t="str">
        <f t="shared" si="21"/>
        <v/>
      </c>
      <c r="F27" s="49"/>
      <c r="G27" s="49"/>
      <c r="H27" s="49"/>
      <c r="I27" s="49"/>
      <c r="J27" s="1"/>
      <c r="K27" s="49"/>
      <c r="L27" s="49"/>
      <c r="M27" s="49"/>
      <c r="N27" s="49"/>
      <c r="O27" s="24"/>
      <c r="P27" s="1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1"/>
      <c r="AG27" s="1"/>
    </row>
    <row r="28" spans="1:36" x14ac:dyDescent="0.45">
      <c r="A28" s="3"/>
      <c r="B28" s="24" t="str">
        <f>IF(NOT(LEN(A28)=0),B21+1,"")</f>
        <v/>
      </c>
      <c r="C28" s="7" t="str">
        <f t="shared" si="16"/>
        <v/>
      </c>
      <c r="D28" s="6" t="str">
        <f t="shared" si="1"/>
        <v/>
      </c>
      <c r="E28" s="24" t="str">
        <f t="shared" si="21"/>
        <v/>
      </c>
      <c r="F28" s="49" t="str">
        <f>IF(NOT(LEN($A28)=0),IF(F21+1&gt;15,"버교체요망",F21+1),"")</f>
        <v/>
      </c>
      <c r="G28" s="49" t="str">
        <f>IF(NOT(LEN($I28)=0),G21,"")</f>
        <v/>
      </c>
      <c r="H28" s="49" t="str">
        <f>IF(NOT(LEN($I28)=0),H21,"")</f>
        <v/>
      </c>
      <c r="I28" s="49" t="str">
        <f>IF(NOT(LEN($A28)=0),IF(I21+1&gt;15,"버교체요망",I21+1),"")</f>
        <v/>
      </c>
      <c r="J28" s="1"/>
      <c r="K28" s="49" t="str">
        <f>IF(NOT(LEN($I28)=0),K21,"")</f>
        <v/>
      </c>
      <c r="L28" s="49" t="str">
        <f>IF(NOT(LEN($I28)=0),L21,"")</f>
        <v/>
      </c>
      <c r="M28" s="49" t="str">
        <f>IF(NOT(LEN($I28)=0),M21,"")</f>
        <v/>
      </c>
      <c r="N28" s="49" t="str">
        <f>IF(NOT(LEN($I28)=0),N21,"")</f>
        <v/>
      </c>
      <c r="O28" s="24" t="str">
        <f>IF(LEN(A28)&gt;0, 종합!$C$27, "")</f>
        <v/>
      </c>
      <c r="P28" s="1"/>
      <c r="Q28" s="48" t="str">
        <f t="shared" si="14"/>
        <v/>
      </c>
      <c r="R28" s="48" t="str">
        <f t="shared" si="14"/>
        <v/>
      </c>
      <c r="S28" s="48" t="str">
        <f t="shared" si="14"/>
        <v/>
      </c>
      <c r="T28" s="48" t="str">
        <f t="shared" si="14"/>
        <v/>
      </c>
      <c r="U28" s="48" t="str">
        <f t="shared" si="14"/>
        <v/>
      </c>
      <c r="V28" s="48" t="str">
        <f t="shared" si="14"/>
        <v/>
      </c>
      <c r="W28" s="48" t="str">
        <f t="shared" si="14"/>
        <v/>
      </c>
      <c r="X28" s="48" t="str">
        <f t="shared" si="14"/>
        <v/>
      </c>
      <c r="Y28" s="48" t="str">
        <f t="shared" si="14"/>
        <v/>
      </c>
      <c r="Z28" s="48" t="str">
        <f t="shared" si="14"/>
        <v/>
      </c>
      <c r="AA28" s="48" t="str">
        <f t="shared" si="14"/>
        <v/>
      </c>
      <c r="AB28" s="48" t="str">
        <f t="shared" si="14"/>
        <v/>
      </c>
      <c r="AC28" s="48" t="str">
        <f t="shared" si="14"/>
        <v/>
      </c>
      <c r="AD28" s="48" t="str">
        <f t="shared" si="14"/>
        <v/>
      </c>
      <c r="AE28" s="48" t="str">
        <f t="shared" si="14"/>
        <v/>
      </c>
      <c r="AF28" s="1" t="s">
        <v>16</v>
      </c>
      <c r="AG28" s="1" t="s">
        <v>16</v>
      </c>
    </row>
    <row r="29" spans="1:36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:H9 F7:F9">
    <cfRule type="containsText" dxfId="949" priority="180" operator="containsText" text="신품">
      <formula>NOT(ISERROR(SEARCH("신품",F7)))</formula>
    </cfRule>
    <cfRule type="containsText" dxfId="948" priority="181" operator="containsText" text="중고">
      <formula>NOT(ISERROR(SEARCH("중고",F7)))</formula>
    </cfRule>
  </conditionalFormatting>
  <conditionalFormatting sqref="I7:I9">
    <cfRule type="containsText" dxfId="947" priority="178" operator="containsText" text="신품">
      <formula>NOT(ISERROR(SEARCH("신품",I7)))</formula>
    </cfRule>
    <cfRule type="containsText" dxfId="946" priority="179" operator="containsText" text="중고">
      <formula>NOT(ISERROR(SEARCH("중고",I7)))</formula>
    </cfRule>
  </conditionalFormatting>
  <conditionalFormatting sqref="H10 F10">
    <cfRule type="containsText" dxfId="945" priority="174" operator="containsText" text="신품">
      <formula>NOT(ISERROR(SEARCH("신품",F10)))</formula>
    </cfRule>
    <cfRule type="containsText" dxfId="944" priority="175" operator="containsText" text="중고">
      <formula>NOT(ISERROR(SEARCH("중고",F10)))</formula>
    </cfRule>
  </conditionalFormatting>
  <conditionalFormatting sqref="I10">
    <cfRule type="containsText" dxfId="943" priority="172" operator="containsText" text="신품">
      <formula>NOT(ISERROR(SEARCH("신품",I10)))</formula>
    </cfRule>
    <cfRule type="containsText" dxfId="942" priority="173" operator="containsText" text="중고">
      <formula>NOT(ISERROR(SEARCH("중고",I10)))</formula>
    </cfRule>
  </conditionalFormatting>
  <conditionalFormatting sqref="H11">
    <cfRule type="containsText" dxfId="941" priority="168" operator="containsText" text="신품">
      <formula>NOT(ISERROR(SEARCH("신품",H11)))</formula>
    </cfRule>
    <cfRule type="containsText" dxfId="940" priority="169" operator="containsText" text="중고">
      <formula>NOT(ISERROR(SEARCH("중고",H11)))</formula>
    </cfRule>
  </conditionalFormatting>
  <conditionalFormatting sqref="H12:H15">
    <cfRule type="containsText" dxfId="939" priority="162" operator="containsText" text="신품">
      <formula>NOT(ISERROR(SEARCH("신품",H12)))</formula>
    </cfRule>
    <cfRule type="containsText" dxfId="938" priority="163" operator="containsText" text="중고">
      <formula>NOT(ISERROR(SEARCH("중고",H12)))</formula>
    </cfRule>
  </conditionalFormatting>
  <conditionalFormatting sqref="D29">
    <cfRule type="containsText" dxfId="937" priority="159" operator="containsText" text="진행중">
      <formula>NOT(ISERROR(SEARCH("진행중",D29)))</formula>
    </cfRule>
  </conditionalFormatting>
  <conditionalFormatting sqref="F12:F28">
    <cfRule type="containsText" dxfId="936" priority="127" operator="containsText" text="완료">
      <formula>NOT(ISERROR(SEARCH("완료",F12)))</formula>
    </cfRule>
    <cfRule type="containsText" dxfId="935" priority="128" operator="containsText" text="중단">
      <formula>NOT(ISERROR(SEARCH("중단",F12)))</formula>
    </cfRule>
  </conditionalFormatting>
  <conditionalFormatting sqref="F12:F28">
    <cfRule type="containsText" dxfId="934" priority="125" operator="containsText" text="완료">
      <formula>NOT(ISERROR(SEARCH("완료",F12)))</formula>
    </cfRule>
    <cfRule type="containsText" dxfId="933" priority="126" operator="containsText" text="중단">
      <formula>NOT(ISERROR(SEARCH("중단",F12)))</formula>
    </cfRule>
  </conditionalFormatting>
  <conditionalFormatting sqref="F12:F28">
    <cfRule type="containsText" dxfId="932" priority="124" operator="containsText" text="진행중">
      <formula>NOT(ISERROR(SEARCH("진행중",F12)))</formula>
    </cfRule>
  </conditionalFormatting>
  <conditionalFormatting sqref="F11">
    <cfRule type="containsText" dxfId="931" priority="122" operator="containsText" text="완료">
      <formula>NOT(ISERROR(SEARCH("완료",F11)))</formula>
    </cfRule>
    <cfRule type="containsText" dxfId="930" priority="123" operator="containsText" text="중단">
      <formula>NOT(ISERROR(SEARCH("중단",F11)))</formula>
    </cfRule>
  </conditionalFormatting>
  <conditionalFormatting sqref="F11">
    <cfRule type="containsText" dxfId="929" priority="120" operator="containsText" text="완료">
      <formula>NOT(ISERROR(SEARCH("완료",F11)))</formula>
    </cfRule>
    <cfRule type="containsText" dxfId="928" priority="121" operator="containsText" text="중단">
      <formula>NOT(ISERROR(SEARCH("중단",F11)))</formula>
    </cfRule>
  </conditionalFormatting>
  <conditionalFormatting sqref="F11">
    <cfRule type="containsText" dxfId="927" priority="119" operator="containsText" text="진행중">
      <formula>NOT(ISERROR(SEARCH("진행중",F11)))</formula>
    </cfRule>
  </conditionalFormatting>
  <conditionalFormatting sqref="I12:I28">
    <cfRule type="containsText" dxfId="926" priority="117" operator="containsText" text="완료">
      <formula>NOT(ISERROR(SEARCH("완료",I12)))</formula>
    </cfRule>
    <cfRule type="containsText" dxfId="925" priority="118" operator="containsText" text="중단">
      <formula>NOT(ISERROR(SEARCH("중단",I12)))</formula>
    </cfRule>
  </conditionalFormatting>
  <conditionalFormatting sqref="I12:I28">
    <cfRule type="containsText" dxfId="924" priority="115" operator="containsText" text="완료">
      <formula>NOT(ISERROR(SEARCH("완료",I12)))</formula>
    </cfRule>
    <cfRule type="containsText" dxfId="923" priority="116" operator="containsText" text="중단">
      <formula>NOT(ISERROR(SEARCH("중단",I12)))</formula>
    </cfRule>
  </conditionalFormatting>
  <conditionalFormatting sqref="I12:I28">
    <cfRule type="containsText" dxfId="922" priority="114" operator="containsText" text="진행중">
      <formula>NOT(ISERROR(SEARCH("진행중",I12)))</formula>
    </cfRule>
  </conditionalFormatting>
  <conditionalFormatting sqref="I11">
    <cfRule type="containsText" dxfId="921" priority="112" operator="containsText" text="완료">
      <formula>NOT(ISERROR(SEARCH("완료",I11)))</formula>
    </cfRule>
    <cfRule type="containsText" dxfId="920" priority="113" operator="containsText" text="중단">
      <formula>NOT(ISERROR(SEARCH("중단",I11)))</formula>
    </cfRule>
  </conditionalFormatting>
  <conditionalFormatting sqref="I11">
    <cfRule type="containsText" dxfId="919" priority="110" operator="containsText" text="완료">
      <formula>NOT(ISERROR(SEARCH("완료",I11)))</formula>
    </cfRule>
    <cfRule type="containsText" dxfId="918" priority="111" operator="containsText" text="중단">
      <formula>NOT(ISERROR(SEARCH("중단",I11)))</formula>
    </cfRule>
  </conditionalFormatting>
  <conditionalFormatting sqref="I11">
    <cfRule type="containsText" dxfId="917" priority="109" operator="containsText" text="진행중">
      <formula>NOT(ISERROR(SEARCH("진행중",I11)))</formula>
    </cfRule>
  </conditionalFormatting>
  <conditionalFormatting sqref="K8:K28">
    <cfRule type="containsText" dxfId="916" priority="87" operator="containsText" text="완료">
      <formula>NOT(ISERROR(SEARCH("완료",K8)))</formula>
    </cfRule>
    <cfRule type="containsText" dxfId="915" priority="88" operator="containsText" text="중단">
      <formula>NOT(ISERROR(SEARCH("중단",K8)))</formula>
    </cfRule>
  </conditionalFormatting>
  <conditionalFormatting sqref="K8:K28">
    <cfRule type="containsText" dxfId="914" priority="85" operator="containsText" text="완료">
      <formula>NOT(ISERROR(SEARCH("완료",K8)))</formula>
    </cfRule>
    <cfRule type="containsText" dxfId="913" priority="86" operator="containsText" text="중단">
      <formula>NOT(ISERROR(SEARCH("중단",K8)))</formula>
    </cfRule>
  </conditionalFormatting>
  <conditionalFormatting sqref="K8:K28">
    <cfRule type="containsText" dxfId="912" priority="84" operator="containsText" text="진행중">
      <formula>NOT(ISERROR(SEARCH("진행중",K8)))</formula>
    </cfRule>
  </conditionalFormatting>
  <conditionalFormatting sqref="L8:L28">
    <cfRule type="containsText" dxfId="911" priority="82" operator="containsText" text="완료">
      <formula>NOT(ISERROR(SEARCH("완료",L8)))</formula>
    </cfRule>
    <cfRule type="containsText" dxfId="910" priority="83" operator="containsText" text="중단">
      <formula>NOT(ISERROR(SEARCH("중단",L8)))</formula>
    </cfRule>
  </conditionalFormatting>
  <conditionalFormatting sqref="L8:L28">
    <cfRule type="containsText" dxfId="909" priority="80" operator="containsText" text="완료">
      <formula>NOT(ISERROR(SEARCH("완료",L8)))</formula>
    </cfRule>
    <cfRule type="containsText" dxfId="908" priority="81" operator="containsText" text="중단">
      <formula>NOT(ISERROR(SEARCH("중단",L8)))</formula>
    </cfRule>
  </conditionalFormatting>
  <conditionalFormatting sqref="L8:L28">
    <cfRule type="containsText" dxfId="907" priority="79" operator="containsText" text="진행중">
      <formula>NOT(ISERROR(SEARCH("진행중",L8)))</formula>
    </cfRule>
  </conditionalFormatting>
  <conditionalFormatting sqref="M8:N28">
    <cfRule type="containsText" dxfId="906" priority="77" operator="containsText" text="완료">
      <formula>NOT(ISERROR(SEARCH("완료",M8)))</formula>
    </cfRule>
    <cfRule type="containsText" dxfId="905" priority="78" operator="containsText" text="중단">
      <formula>NOT(ISERROR(SEARCH("중단",M8)))</formula>
    </cfRule>
  </conditionalFormatting>
  <conditionalFormatting sqref="M8:N28">
    <cfRule type="containsText" dxfId="904" priority="75" operator="containsText" text="완료">
      <formula>NOT(ISERROR(SEARCH("완료",M8)))</formula>
    </cfRule>
    <cfRule type="containsText" dxfId="903" priority="76" operator="containsText" text="중단">
      <formula>NOT(ISERROR(SEARCH("중단",M8)))</formula>
    </cfRule>
  </conditionalFormatting>
  <conditionalFormatting sqref="M8:N28">
    <cfRule type="containsText" dxfId="902" priority="74" operator="containsText" text="진행중">
      <formula>NOT(ISERROR(SEARCH("진행중",M8)))</formula>
    </cfRule>
  </conditionalFormatting>
  <conditionalFormatting sqref="Q16:Q28">
    <cfRule type="containsText" dxfId="901" priority="67" operator="containsText" text="완료">
      <formula>NOT(ISERROR(SEARCH("완료",Q16)))</formula>
    </cfRule>
    <cfRule type="containsText" dxfId="900" priority="68" operator="containsText" text="중단">
      <formula>NOT(ISERROR(SEARCH("중단",Q16)))</formula>
    </cfRule>
  </conditionalFormatting>
  <conditionalFormatting sqref="Q16:Q28">
    <cfRule type="containsText" dxfId="899" priority="65" operator="containsText" text="완료">
      <formula>NOT(ISERROR(SEARCH("완료",Q16)))</formula>
    </cfRule>
    <cfRule type="containsText" dxfId="898" priority="66" operator="containsText" text="중단">
      <formula>NOT(ISERROR(SEARCH("중단",Q16)))</formula>
    </cfRule>
  </conditionalFormatting>
  <conditionalFormatting sqref="Q16:Q28">
    <cfRule type="containsText" dxfId="897" priority="64" operator="containsText" text="진행중">
      <formula>NOT(ISERROR(SEARCH("진행중",Q16)))</formula>
    </cfRule>
  </conditionalFormatting>
  <conditionalFormatting sqref="R16:R28">
    <cfRule type="containsText" dxfId="896" priority="62" operator="containsText" text="완료">
      <formula>NOT(ISERROR(SEARCH("완료",R16)))</formula>
    </cfRule>
    <cfRule type="containsText" dxfId="895" priority="63" operator="containsText" text="중단">
      <formula>NOT(ISERROR(SEARCH("중단",R16)))</formula>
    </cfRule>
  </conditionalFormatting>
  <conditionalFormatting sqref="R16:R28">
    <cfRule type="containsText" dxfId="894" priority="60" operator="containsText" text="완료">
      <formula>NOT(ISERROR(SEARCH("완료",R16)))</formula>
    </cfRule>
    <cfRule type="containsText" dxfId="893" priority="61" operator="containsText" text="중단">
      <formula>NOT(ISERROR(SEARCH("중단",R16)))</formula>
    </cfRule>
  </conditionalFormatting>
  <conditionalFormatting sqref="R16:R28">
    <cfRule type="containsText" dxfId="892" priority="59" operator="containsText" text="진행중">
      <formula>NOT(ISERROR(SEARCH("진행중",R16)))</formula>
    </cfRule>
  </conditionalFormatting>
  <conditionalFormatting sqref="S16:S28">
    <cfRule type="containsText" dxfId="891" priority="57" operator="containsText" text="완료">
      <formula>NOT(ISERROR(SEARCH("완료",S16)))</formula>
    </cfRule>
    <cfRule type="containsText" dxfId="890" priority="58" operator="containsText" text="중단">
      <formula>NOT(ISERROR(SEARCH("중단",S16)))</formula>
    </cfRule>
  </conditionalFormatting>
  <conditionalFormatting sqref="S16:S28">
    <cfRule type="containsText" dxfId="889" priority="55" operator="containsText" text="완료">
      <formula>NOT(ISERROR(SEARCH("완료",S16)))</formula>
    </cfRule>
    <cfRule type="containsText" dxfId="888" priority="56" operator="containsText" text="중단">
      <formula>NOT(ISERROR(SEARCH("중단",S16)))</formula>
    </cfRule>
  </conditionalFormatting>
  <conditionalFormatting sqref="S16:S28">
    <cfRule type="containsText" dxfId="887" priority="54" operator="containsText" text="진행중">
      <formula>NOT(ISERROR(SEARCH("진행중",S16)))</formula>
    </cfRule>
  </conditionalFormatting>
  <conditionalFormatting sqref="T16:T28">
    <cfRule type="containsText" dxfId="886" priority="52" operator="containsText" text="완료">
      <formula>NOT(ISERROR(SEARCH("완료",T16)))</formula>
    </cfRule>
    <cfRule type="containsText" dxfId="885" priority="53" operator="containsText" text="중단">
      <formula>NOT(ISERROR(SEARCH("중단",T16)))</formula>
    </cfRule>
  </conditionalFormatting>
  <conditionalFormatting sqref="T16:T28">
    <cfRule type="containsText" dxfId="884" priority="50" operator="containsText" text="완료">
      <formula>NOT(ISERROR(SEARCH("완료",T16)))</formula>
    </cfRule>
    <cfRule type="containsText" dxfId="883" priority="51" operator="containsText" text="중단">
      <formula>NOT(ISERROR(SEARCH("중단",T16)))</formula>
    </cfRule>
  </conditionalFormatting>
  <conditionalFormatting sqref="T16:T28">
    <cfRule type="containsText" dxfId="882" priority="49" operator="containsText" text="진행중">
      <formula>NOT(ISERROR(SEARCH("진행중",T16)))</formula>
    </cfRule>
  </conditionalFormatting>
  <conditionalFormatting sqref="U16:AC16 U18:AC28 U17:AB17">
    <cfRule type="containsText" dxfId="881" priority="47" operator="containsText" text="완료">
      <formula>NOT(ISERROR(SEARCH("완료",U16)))</formula>
    </cfRule>
    <cfRule type="containsText" dxfId="880" priority="48" operator="containsText" text="중단">
      <formula>NOT(ISERROR(SEARCH("중단",U16)))</formula>
    </cfRule>
  </conditionalFormatting>
  <conditionalFormatting sqref="U16:AC16 U18:AC28 U17:AB17">
    <cfRule type="containsText" dxfId="879" priority="45" operator="containsText" text="완료">
      <formula>NOT(ISERROR(SEARCH("완료",U16)))</formula>
    </cfRule>
    <cfRule type="containsText" dxfId="878" priority="46" operator="containsText" text="중단">
      <formula>NOT(ISERROR(SEARCH("중단",U16)))</formula>
    </cfRule>
  </conditionalFormatting>
  <conditionalFormatting sqref="U16:AC16 U18:AC28 U17:AB17">
    <cfRule type="containsText" dxfId="877" priority="44" operator="containsText" text="진행중">
      <formula>NOT(ISERROR(SEARCH("진행중",U16)))</formula>
    </cfRule>
  </conditionalFormatting>
  <conditionalFormatting sqref="AD16 AD18:AD28">
    <cfRule type="containsText" dxfId="876" priority="42" operator="containsText" text="완료">
      <formula>NOT(ISERROR(SEARCH("완료",AD16)))</formula>
    </cfRule>
    <cfRule type="containsText" dxfId="875" priority="43" operator="containsText" text="중단">
      <formula>NOT(ISERROR(SEARCH("중단",AD16)))</formula>
    </cfRule>
  </conditionalFormatting>
  <conditionalFormatting sqref="AD16 AD18:AD28">
    <cfRule type="containsText" dxfId="874" priority="40" operator="containsText" text="완료">
      <formula>NOT(ISERROR(SEARCH("완료",AD16)))</formula>
    </cfRule>
    <cfRule type="containsText" dxfId="873" priority="41" operator="containsText" text="중단">
      <formula>NOT(ISERROR(SEARCH("중단",AD16)))</formula>
    </cfRule>
  </conditionalFormatting>
  <conditionalFormatting sqref="AD16 AD18:AD28">
    <cfRule type="containsText" dxfId="872" priority="39" operator="containsText" text="진행중">
      <formula>NOT(ISERROR(SEARCH("진행중",AD16)))</formula>
    </cfRule>
  </conditionalFormatting>
  <conditionalFormatting sqref="AE16 AE18:AE28">
    <cfRule type="containsText" dxfId="871" priority="37" operator="containsText" text="완료">
      <formula>NOT(ISERROR(SEARCH("완료",AE16)))</formula>
    </cfRule>
    <cfRule type="containsText" dxfId="870" priority="38" operator="containsText" text="중단">
      <formula>NOT(ISERROR(SEARCH("중단",AE16)))</formula>
    </cfRule>
  </conditionalFormatting>
  <conditionalFormatting sqref="AE16 AE18:AE28">
    <cfRule type="containsText" dxfId="869" priority="35" operator="containsText" text="완료">
      <formula>NOT(ISERROR(SEARCH("완료",AE16)))</formula>
    </cfRule>
    <cfRule type="containsText" dxfId="868" priority="36" operator="containsText" text="중단">
      <formula>NOT(ISERROR(SEARCH("중단",AE16)))</formula>
    </cfRule>
  </conditionalFormatting>
  <conditionalFormatting sqref="AE16 AE18:AE28">
    <cfRule type="containsText" dxfId="867" priority="34" operator="containsText" text="진행중">
      <formula>NOT(ISERROR(SEARCH("진행중",AE16)))</formula>
    </cfRule>
  </conditionalFormatting>
  <conditionalFormatting sqref="D8:D19">
    <cfRule type="containsText" dxfId="866" priority="32" operator="containsText" text="완료">
      <formula>NOT(ISERROR(SEARCH("완료",D8)))</formula>
    </cfRule>
    <cfRule type="containsText" dxfId="865" priority="33" operator="containsText" text="중단">
      <formula>NOT(ISERROR(SEARCH("중단",D8)))</formula>
    </cfRule>
  </conditionalFormatting>
  <conditionalFormatting sqref="D11">
    <cfRule type="containsText" dxfId="864" priority="30" operator="containsText" text="완료">
      <formula>NOT(ISERROR(SEARCH("완료",D11)))</formula>
    </cfRule>
    <cfRule type="containsText" dxfId="863" priority="31" operator="containsText" text="중단">
      <formula>NOT(ISERROR(SEARCH("중단",D11)))</formula>
    </cfRule>
  </conditionalFormatting>
  <conditionalFormatting sqref="D12:D19">
    <cfRule type="containsText" dxfId="862" priority="28" operator="containsText" text="완료">
      <formula>NOT(ISERROR(SEARCH("완료",D12)))</formula>
    </cfRule>
    <cfRule type="containsText" dxfId="861" priority="29" operator="containsText" text="중단">
      <formula>NOT(ISERROR(SEARCH("중단",D12)))</formula>
    </cfRule>
  </conditionalFormatting>
  <conditionalFormatting sqref="D13:D19">
    <cfRule type="containsText" dxfId="860" priority="26" operator="containsText" text="완료">
      <formula>NOT(ISERROR(SEARCH("완료",D13)))</formula>
    </cfRule>
    <cfRule type="containsText" dxfId="859" priority="27" operator="containsText" text="중단">
      <formula>NOT(ISERROR(SEARCH("중단",D13)))</formula>
    </cfRule>
  </conditionalFormatting>
  <conditionalFormatting sqref="D8:D19">
    <cfRule type="containsText" dxfId="858" priority="25" operator="containsText" text="진행중">
      <formula>NOT(ISERROR(SEARCH("진행중",D8)))</formula>
    </cfRule>
  </conditionalFormatting>
  <conditionalFormatting sqref="D8:D28">
    <cfRule type="containsText" dxfId="857" priority="23" operator="containsText" text="완료">
      <formula>NOT(ISERROR(SEARCH("완료",D8)))</formula>
    </cfRule>
    <cfRule type="containsText" dxfId="856" priority="24" operator="containsText" text="중단">
      <formula>NOT(ISERROR(SEARCH("중단",D8)))</formula>
    </cfRule>
  </conditionalFormatting>
  <conditionalFormatting sqref="D8:D28">
    <cfRule type="containsText" dxfId="855" priority="21" operator="containsText" text="완료">
      <formula>NOT(ISERROR(SEARCH("완료",D8)))</formula>
    </cfRule>
    <cfRule type="containsText" dxfId="854" priority="22" operator="containsText" text="중단">
      <formula>NOT(ISERROR(SEARCH("중단",D8)))</formula>
    </cfRule>
  </conditionalFormatting>
  <conditionalFormatting sqref="D8:D28">
    <cfRule type="containsText" dxfId="853" priority="20" operator="containsText" text="진행중">
      <formula>NOT(ISERROR(SEARCH("진행중",D8)))</formula>
    </cfRule>
  </conditionalFormatting>
  <conditionalFormatting sqref="D7">
    <cfRule type="containsText" dxfId="852" priority="18" operator="containsText" text="완료">
      <formula>NOT(ISERROR(SEARCH("완료",D7)))</formula>
    </cfRule>
    <cfRule type="containsText" dxfId="851" priority="19" operator="containsText" text="중단">
      <formula>NOT(ISERROR(SEARCH("중단",D7)))</formula>
    </cfRule>
  </conditionalFormatting>
  <conditionalFormatting sqref="D7">
    <cfRule type="containsText" dxfId="850" priority="16" operator="containsText" text="완료">
      <formula>NOT(ISERROR(SEARCH("완료",D7)))</formula>
    </cfRule>
    <cfRule type="containsText" dxfId="849" priority="17" operator="containsText" text="중단">
      <formula>NOT(ISERROR(SEARCH("중단",D7)))</formula>
    </cfRule>
  </conditionalFormatting>
  <conditionalFormatting sqref="D7">
    <cfRule type="containsText" dxfId="848" priority="15" operator="containsText" text="진행중">
      <formula>NOT(ISERROR(SEARCH("진행중",D7)))</formula>
    </cfRule>
  </conditionalFormatting>
  <conditionalFormatting sqref="G16:G28">
    <cfRule type="containsText" dxfId="847" priority="13" operator="containsText" text="완료">
      <formula>NOT(ISERROR(SEARCH("완료",G16)))</formula>
    </cfRule>
    <cfRule type="containsText" dxfId="846" priority="14" operator="containsText" text="중단">
      <formula>NOT(ISERROR(SEARCH("중단",G16)))</formula>
    </cfRule>
  </conditionalFormatting>
  <conditionalFormatting sqref="G16:G28">
    <cfRule type="containsText" dxfId="845" priority="11" operator="containsText" text="완료">
      <formula>NOT(ISERROR(SEARCH("완료",G16)))</formula>
    </cfRule>
    <cfRule type="containsText" dxfId="844" priority="12" operator="containsText" text="중단">
      <formula>NOT(ISERROR(SEARCH("중단",G16)))</formula>
    </cfRule>
  </conditionalFormatting>
  <conditionalFormatting sqref="G16:G28">
    <cfRule type="containsText" dxfId="843" priority="10" operator="containsText" text="진행중">
      <formula>NOT(ISERROR(SEARCH("진행중",G16)))</formula>
    </cfRule>
  </conditionalFormatting>
  <conditionalFormatting sqref="H16:H28">
    <cfRule type="containsText" dxfId="842" priority="8" operator="containsText" text="완료">
      <formula>NOT(ISERROR(SEARCH("완료",H16)))</formula>
    </cfRule>
    <cfRule type="containsText" dxfId="841" priority="9" operator="containsText" text="중단">
      <formula>NOT(ISERROR(SEARCH("중단",H16)))</formula>
    </cfRule>
  </conditionalFormatting>
  <conditionalFormatting sqref="H16:H28">
    <cfRule type="containsText" dxfId="840" priority="6" operator="containsText" text="완료">
      <formula>NOT(ISERROR(SEARCH("완료",H16)))</formula>
    </cfRule>
    <cfRule type="containsText" dxfId="839" priority="7" operator="containsText" text="중단">
      <formula>NOT(ISERROR(SEARCH("중단",H16)))</formula>
    </cfRule>
  </conditionalFormatting>
  <conditionalFormatting sqref="H16:H28">
    <cfRule type="containsText" dxfId="838" priority="5" operator="containsText" text="진행중">
      <formula>NOT(ISERROR(SEARCH("진행중",H16)))</formula>
    </cfRule>
  </conditionalFormatting>
  <conditionalFormatting sqref="A29:E29 J29:AG29 A18:AG28 A17:AB17 A1:AG16 AG17">
    <cfRule type="containsText" dxfId="2" priority="4" operator="containsText" text="누락">
      <formula>NOT(ISERROR(SEARCH("누락",A1)))</formula>
    </cfRule>
  </conditionalFormatting>
  <conditionalFormatting sqref="F7:I28">
    <cfRule type="cellIs" dxfId="52" priority="3" operator="greaterThanOrEqual">
      <formula>15</formula>
    </cfRule>
  </conditionalFormatting>
  <conditionalFormatting sqref="AC17:AE17 AH17:AJ17">
    <cfRule type="containsText" dxfId="1" priority="2" operator="containsText" text="누락">
      <formula>NOT(ISERROR(SEARCH("누락",AC17)))</formula>
    </cfRule>
  </conditionalFormatting>
  <conditionalFormatting sqref="AF17">
    <cfRule type="containsText" dxfId="0" priority="1" operator="containsText" text="누락">
      <formula>NOT(ISERROR(SEARCH("누락",AF17)))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4F31-0379-4494-BB4C-8AC6519F2189}">
  <sheetPr>
    <tabColor theme="0" tint="-0.14999847407452621"/>
  </sheetPr>
  <dimension ref="A1:AP29"/>
  <sheetViews>
    <sheetView zoomScale="55" zoomScaleNormal="55" workbookViewId="0">
      <selection activeCell="H16" sqref="H16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3" max="28" width="9.1640625" customWidth="1"/>
    <col min="29" max="29" width="20.66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55" t="s">
        <v>18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</row>
    <row r="2" spans="1:42" x14ac:dyDescent="0.45">
      <c r="A2" s="60" t="s">
        <v>10</v>
      </c>
      <c r="B2" s="61" t="s">
        <v>90</v>
      </c>
      <c r="C2" s="62"/>
      <c r="D2" s="62"/>
      <c r="E2" s="62"/>
      <c r="F2" s="60" t="s">
        <v>109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22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92</v>
      </c>
      <c r="L5" s="65"/>
      <c r="M5" s="65"/>
      <c r="N5" s="66"/>
      <c r="O5" s="42" t="s">
        <v>91</v>
      </c>
      <c r="P5" s="20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71" t="s">
        <v>120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21" t="s">
        <v>25</v>
      </c>
      <c r="Q6" s="21" t="s">
        <v>4</v>
      </c>
      <c r="R6" s="21" t="s">
        <v>12</v>
      </c>
      <c r="S6" s="21" t="s">
        <v>13</v>
      </c>
      <c r="T6" s="21" t="s">
        <v>5</v>
      </c>
      <c r="U6" s="21" t="s">
        <v>4</v>
      </c>
      <c r="V6" s="21" t="s">
        <v>12</v>
      </c>
      <c r="W6" s="21" t="s">
        <v>13</v>
      </c>
      <c r="X6" s="21" t="s">
        <v>5</v>
      </c>
      <c r="Y6" s="21" t="s">
        <v>4</v>
      </c>
      <c r="Z6" s="21" t="s">
        <v>12</v>
      </c>
      <c r="AA6" s="21" t="s">
        <v>13</v>
      </c>
      <c r="AB6" s="21" t="s">
        <v>5</v>
      </c>
      <c r="AC6" s="21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14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21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92" t="str">
        <f>IF(MOD($B7,5)=0, "누락 ","-" )</f>
        <v>-</v>
      </c>
      <c r="R7" s="92" t="str">
        <f>IF(MOD($B7,5)=0, "누락 ","-" )</f>
        <v>-</v>
      </c>
      <c r="S7" s="92" t="str">
        <f>IF(MOD($B7,5)=0, "누락 ","-" )</f>
        <v>-</v>
      </c>
      <c r="T7" s="92" t="str">
        <f>IF(MOD($B7,5)=0, "누락 ","-" )</f>
        <v>-</v>
      </c>
      <c r="U7" s="92" t="str">
        <f>IF(MOD($B7,5)=0, "누락","-" )</f>
        <v>-</v>
      </c>
      <c r="V7" s="92" t="str">
        <f>IF(MOD($B7,5)=0, "누락","-" )</f>
        <v>-</v>
      </c>
      <c r="W7" s="92" t="str">
        <f>IF(MOD($B7,5)=0, "누락","-" )</f>
        <v>-</v>
      </c>
      <c r="X7" s="92" t="str">
        <f>IF(MOD($B7,5)=0, "누락","-" )</f>
        <v>-</v>
      </c>
      <c r="Y7" s="92" t="str">
        <f>IF(MOD($B7,5)=0, "누락","-" )</f>
        <v>-</v>
      </c>
      <c r="Z7" s="92" t="str">
        <f>IF(MOD($B7,5)=0, "누락","-" )</f>
        <v>-</v>
      </c>
      <c r="AA7" s="92" t="str">
        <f>IF(MOD($B7,5)=0, "누락","-" )</f>
        <v>-</v>
      </c>
      <c r="AB7" s="92" t="str">
        <f>IF(MOD($B7,5)=0, "누락","-" )</f>
        <v>-</v>
      </c>
      <c r="AC7" s="92" t="str">
        <f>IF(MOD($B7,5)=0, "누락","-" )</f>
        <v>-</v>
      </c>
      <c r="AD7" s="92" t="str">
        <f t="shared" ref="AD7:AD15" si="2">IF(MOD($B7,40)=0, "필터세척 :"&amp; CHAR(10) &amp; "FLOW   (T1, T4 : / T2, T3 : / T4 : )","-" )</f>
        <v>-</v>
      </c>
      <c r="AE7" s="92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21</v>
      </c>
      <c r="F8" s="49" t="s">
        <v>40</v>
      </c>
      <c r="G8" s="49" t="s">
        <v>16</v>
      </c>
      <c r="H8" s="49" t="s">
        <v>16</v>
      </c>
      <c r="I8" s="49" t="s">
        <v>40</v>
      </c>
      <c r="J8" s="1"/>
      <c r="K8" s="49" t="str">
        <f t="shared" ref="K8:N8" si="3">IF(NOT(LEN($I8)=0),K7,"")</f>
        <v>VITA</v>
      </c>
      <c r="L8" s="49" t="str">
        <f t="shared" si="3"/>
        <v>MARK II</v>
      </c>
      <c r="M8" s="49">
        <f t="shared" si="3"/>
        <v>160</v>
      </c>
      <c r="N8" s="49" t="str">
        <f t="shared" si="3"/>
        <v>-</v>
      </c>
      <c r="O8" s="24">
        <f>IF(LEN(A8)&gt;0, 종합!$C$27, "")</f>
        <v>2.2599999999999998</v>
      </c>
      <c r="P8" s="1" t="s">
        <v>16</v>
      </c>
      <c r="Q8" s="92" t="str">
        <f>IF(MOD($B8,5)=0, "누락 ","-" )</f>
        <v>-</v>
      </c>
      <c r="R8" s="92" t="str">
        <f>IF(MOD($B8,5)=0, "누락 ","-" )</f>
        <v>-</v>
      </c>
      <c r="S8" s="92" t="str">
        <f>IF(MOD($B8,5)=0, "누락 ","-" )</f>
        <v>-</v>
      </c>
      <c r="T8" s="92" t="str">
        <f>IF(MOD($B8,5)=0, "누락 ","-" )</f>
        <v>-</v>
      </c>
      <c r="U8" s="92" t="str">
        <f>IF(MOD($B8,5)=0, "누락","-" )</f>
        <v>-</v>
      </c>
      <c r="V8" s="92" t="str">
        <f>IF(MOD($B8,5)=0, "누락","-" )</f>
        <v>-</v>
      </c>
      <c r="W8" s="92" t="str">
        <f>IF(MOD($B8,5)=0, "누락","-" )</f>
        <v>-</v>
      </c>
      <c r="X8" s="92" t="str">
        <f>IF(MOD($B8,5)=0, "누락","-" )</f>
        <v>-</v>
      </c>
      <c r="Y8" s="92" t="str">
        <f>IF(MOD($B8,5)=0, "누락","-" )</f>
        <v>-</v>
      </c>
      <c r="Z8" s="92" t="str">
        <f>IF(MOD($B8,5)=0, "누락","-" )</f>
        <v>-</v>
      </c>
      <c r="AA8" s="92" t="str">
        <f>IF(MOD($B8,5)=0, "누락","-" )</f>
        <v>-</v>
      </c>
      <c r="AB8" s="92" t="str">
        <f>IF(MOD($B8,5)=0, "누락","-" )</f>
        <v>-</v>
      </c>
      <c r="AC8" s="92" t="str">
        <f>IF(MOD($B8,5)=0, "누락","-" )</f>
        <v>-</v>
      </c>
      <c r="AD8" s="92" t="str">
        <f t="shared" si="2"/>
        <v>-</v>
      </c>
      <c r="AE8" s="92" t="str">
        <f t="shared" ref="AE8:AE15" si="4">IF($B8="","",
  IF(MOD(B8,160)=0,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21</v>
      </c>
      <c r="F9" s="49" t="s">
        <v>40</v>
      </c>
      <c r="G9" s="49" t="s">
        <v>16</v>
      </c>
      <c r="H9" s="49" t="s">
        <v>16</v>
      </c>
      <c r="I9" s="49" t="s">
        <v>40</v>
      </c>
      <c r="J9" s="1"/>
      <c r="K9" s="49" t="str">
        <f t="shared" ref="K9:K21" si="5">IF(NOT(LEN($I9)=0),K8,"")</f>
        <v>VITA</v>
      </c>
      <c r="L9" s="49" t="str">
        <f t="shared" ref="L9:L21" si="6">IF(NOT(LEN($I9)=0),L8,"")</f>
        <v>MARK II</v>
      </c>
      <c r="M9" s="49">
        <f t="shared" ref="M9:M21" si="7">IF(NOT(LEN($I9)=0),M8,"")</f>
        <v>160</v>
      </c>
      <c r="N9" s="49" t="str">
        <f t="shared" ref="N9:N21" si="8">IF(NOT(LEN($I9)=0),N8,"")</f>
        <v>-</v>
      </c>
      <c r="O9" s="24">
        <f>IF(LEN(A9)&gt;0, 종합!$C$27, "")</f>
        <v>2.2599999999999998</v>
      </c>
      <c r="P9" s="1" t="s">
        <v>16</v>
      </c>
      <c r="Q9" s="92" t="str">
        <f>IF(MOD($B9,5)=0, "누락 ","-" )</f>
        <v>-</v>
      </c>
      <c r="R9" s="92" t="str">
        <f>IF(MOD($B9,5)=0, "누락 ","-" )</f>
        <v>-</v>
      </c>
      <c r="S9" s="92" t="str">
        <f>IF(MOD($B9,5)=0, "누락 ","-" )</f>
        <v>-</v>
      </c>
      <c r="T9" s="92" t="str">
        <f>IF(MOD($B9,5)=0, "누락 ","-" )</f>
        <v>-</v>
      </c>
      <c r="U9" s="92" t="str">
        <f>IF(MOD($B9,5)=0, "누락","-" )</f>
        <v>-</v>
      </c>
      <c r="V9" s="92" t="str">
        <f>IF(MOD($B9,5)=0, "누락","-" )</f>
        <v>-</v>
      </c>
      <c r="W9" s="92" t="str">
        <f>IF(MOD($B9,5)=0, "누락","-" )</f>
        <v>-</v>
      </c>
      <c r="X9" s="92" t="str">
        <f>IF(MOD($B9,5)=0, "누락","-" )</f>
        <v>-</v>
      </c>
      <c r="Y9" s="92" t="str">
        <f>IF(MOD($B9,5)=0, "누락","-" )</f>
        <v>-</v>
      </c>
      <c r="Z9" s="92" t="str">
        <f>IF(MOD($B9,5)=0, "누락","-" )</f>
        <v>-</v>
      </c>
      <c r="AA9" s="92" t="str">
        <f>IF(MOD($B9,5)=0, "누락","-" )</f>
        <v>-</v>
      </c>
      <c r="AB9" s="92" t="str">
        <f>IF(MOD($B9,5)=0, "누락","-" )</f>
        <v>-</v>
      </c>
      <c r="AC9" s="92" t="str">
        <f>IF(MOD($B9,5)=0, "누락","-" )</f>
        <v>-</v>
      </c>
      <c r="AD9" s="92" t="str">
        <f t="shared" si="2"/>
        <v>-</v>
      </c>
      <c r="AE9" s="92" t="str">
        <f t="shared" si="4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>IF(NOT(LEN(A10)=0),B9+1,"")</f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">
        <v>16</v>
      </c>
      <c r="H10" s="49" t="s">
        <v>16</v>
      </c>
      <c r="I10" s="49" t="s">
        <v>40</v>
      </c>
      <c r="J10" s="1"/>
      <c r="K10" s="49" t="str">
        <f t="shared" si="5"/>
        <v>VITA</v>
      </c>
      <c r="L10" s="49" t="str">
        <f t="shared" si="6"/>
        <v>MARK II</v>
      </c>
      <c r="M10" s="49">
        <f t="shared" si="7"/>
        <v>160</v>
      </c>
      <c r="N10" s="49" t="str">
        <f t="shared" si="8"/>
        <v>-</v>
      </c>
      <c r="O10" s="24">
        <f>IF(LEN(A10)&gt;0, 종합!$C$27, "")</f>
        <v>2.2599999999999998</v>
      </c>
      <c r="P10" s="1" t="s">
        <v>16</v>
      </c>
      <c r="Q10" s="92" t="str">
        <f>IF(MOD($B10,5)=0, "누락 ","-" )</f>
        <v>-</v>
      </c>
      <c r="R10" s="92" t="str">
        <f>IF(MOD($B10,5)=0, "누락 ","-" )</f>
        <v>-</v>
      </c>
      <c r="S10" s="92" t="str">
        <f>IF(MOD($B10,5)=0, "누락 ","-" )</f>
        <v>-</v>
      </c>
      <c r="T10" s="92" t="str">
        <f>IF(MOD($B10,5)=0, "누락 ","-" )</f>
        <v>-</v>
      </c>
      <c r="U10" s="92" t="str">
        <f>IF(MOD($B10,5)=0, "누락","-" )</f>
        <v>-</v>
      </c>
      <c r="V10" s="92" t="str">
        <f>IF(MOD($B10,5)=0, "누락","-" )</f>
        <v>-</v>
      </c>
      <c r="W10" s="92" t="str">
        <f>IF(MOD($B10,5)=0, "누락","-" )</f>
        <v>-</v>
      </c>
      <c r="X10" s="92" t="str">
        <f>IF(MOD($B10,5)=0, "누락","-" )</f>
        <v>-</v>
      </c>
      <c r="Y10" s="92" t="str">
        <f>IF(MOD($B10,5)=0, "누락","-" )</f>
        <v>-</v>
      </c>
      <c r="Z10" s="92" t="str">
        <f>IF(MOD($B10,5)=0, "누락","-" )</f>
        <v>-</v>
      </c>
      <c r="AA10" s="92" t="str">
        <f>IF(MOD($B10,5)=0, "누락","-" )</f>
        <v>-</v>
      </c>
      <c r="AB10" s="92" t="str">
        <f>IF(MOD($B10,5)=0, "누락","-" )</f>
        <v>-</v>
      </c>
      <c r="AC10" s="92" t="str">
        <f>IF(MOD($B10,5)=0, "누락","-" )</f>
        <v>-</v>
      </c>
      <c r="AD10" s="92" t="str">
        <f t="shared" si="2"/>
        <v>-</v>
      </c>
      <c r="AE10" s="92" t="str">
        <f t="shared" si="4"/>
        <v>-</v>
      </c>
      <c r="AF10" s="1" t="s">
        <v>16</v>
      </c>
      <c r="AG10" s="1" t="s">
        <v>16</v>
      </c>
    </row>
    <row r="11" spans="1:42" x14ac:dyDescent="0.45">
      <c r="A11" s="3">
        <v>45972</v>
      </c>
      <c r="B11" s="24">
        <f t="shared" ref="B11:B21" si="9">IF(NOT(LEN(A11)=0),B10+1,"")</f>
        <v>5</v>
      </c>
      <c r="C11" s="7" t="str">
        <f t="shared" si="0"/>
        <v>Dimensions: L W H</v>
      </c>
      <c r="D11" s="6" t="str">
        <f t="shared" si="1"/>
        <v>완료</v>
      </c>
      <c r="E11" s="24">
        <v>23</v>
      </c>
      <c r="F11" s="49">
        <v>0</v>
      </c>
      <c r="G11" s="49" t="s">
        <v>16</v>
      </c>
      <c r="H11" s="49" t="s">
        <v>16</v>
      </c>
      <c r="I11" s="49">
        <v>0</v>
      </c>
      <c r="J11" s="1"/>
      <c r="K11" s="49" t="str">
        <f t="shared" si="5"/>
        <v>VITA</v>
      </c>
      <c r="L11" s="49" t="str">
        <f t="shared" si="6"/>
        <v>MARK II</v>
      </c>
      <c r="M11" s="49">
        <f t="shared" si="7"/>
        <v>160</v>
      </c>
      <c r="N11" s="49" t="str">
        <f t="shared" si="8"/>
        <v>-</v>
      </c>
      <c r="O11" s="24">
        <f>IF(LEN(A11)&gt;0, 종합!$C$27, "")</f>
        <v>2.2599999999999998</v>
      </c>
      <c r="P11" s="1" t="s">
        <v>16</v>
      </c>
      <c r="Q11" s="92" t="s">
        <v>122</v>
      </c>
      <c r="R11" s="92" t="s">
        <v>122</v>
      </c>
      <c r="S11" s="92" t="s">
        <v>122</v>
      </c>
      <c r="T11" s="92" t="s">
        <v>122</v>
      </c>
      <c r="U11" s="92" t="s">
        <v>66</v>
      </c>
      <c r="V11" s="92" t="s">
        <v>67</v>
      </c>
      <c r="W11" s="92" t="s">
        <v>68</v>
      </c>
      <c r="X11" s="92" t="s">
        <v>69</v>
      </c>
      <c r="Y11" s="92" t="s">
        <v>70</v>
      </c>
      <c r="Z11" s="92" t="s">
        <v>71</v>
      </c>
      <c r="AA11" s="92" t="s">
        <v>72</v>
      </c>
      <c r="AB11" s="92" t="s">
        <v>73</v>
      </c>
      <c r="AC11" s="92" t="s">
        <v>122</v>
      </c>
      <c r="AD11" s="92" t="str">
        <f t="shared" si="2"/>
        <v>-</v>
      </c>
      <c r="AE11" s="92" t="str">
        <f t="shared" si="4"/>
        <v>-</v>
      </c>
      <c r="AF11" s="1" t="s">
        <v>16</v>
      </c>
      <c r="AG11" s="1" t="s">
        <v>16</v>
      </c>
    </row>
    <row r="12" spans="1:42" x14ac:dyDescent="0.45">
      <c r="A12" s="3">
        <v>45972</v>
      </c>
      <c r="B12" s="24">
        <f t="shared" si="9"/>
        <v>6</v>
      </c>
      <c r="C12" s="7" t="str">
        <f t="shared" si="0"/>
        <v>Dimensions: L W H</v>
      </c>
      <c r="D12" s="6" t="str">
        <f t="shared" si="1"/>
        <v>완료</v>
      </c>
      <c r="E12" s="24">
        <v>21</v>
      </c>
      <c r="F12" s="49">
        <f>IF(NOT(LEN($A12)=0),IF(F11+1&gt;15,"버교체요망",F11+1),"")</f>
        <v>1</v>
      </c>
      <c r="G12" s="49" t="s">
        <v>16</v>
      </c>
      <c r="H12" s="49" t="s">
        <v>16</v>
      </c>
      <c r="I12" s="49">
        <f>IF(NOT(LEN($A12)=0),IF(I11+1&gt;15,"버교체요망",I11+1),"")</f>
        <v>1</v>
      </c>
      <c r="J12" s="1"/>
      <c r="K12" s="49" t="str">
        <f t="shared" si="5"/>
        <v>VITA</v>
      </c>
      <c r="L12" s="49" t="str">
        <f t="shared" si="6"/>
        <v>MARK II</v>
      </c>
      <c r="M12" s="49">
        <f t="shared" si="7"/>
        <v>160</v>
      </c>
      <c r="N12" s="49" t="str">
        <f t="shared" si="8"/>
        <v>-</v>
      </c>
      <c r="O12" s="24">
        <f>IF(LEN(A12)&gt;0, 종합!$C$27, "")</f>
        <v>2.2599999999999998</v>
      </c>
      <c r="P12" s="1" t="s">
        <v>16</v>
      </c>
      <c r="Q12" s="92" t="str">
        <f>IF(MOD($B12,5)=0, "누락 ","-" )</f>
        <v>-</v>
      </c>
      <c r="R12" s="92" t="str">
        <f>IF(MOD($B12,5)=0, "누락 ","-" )</f>
        <v>-</v>
      </c>
      <c r="S12" s="92" t="str">
        <f>IF(MOD($B12,5)=0, "누락 ","-" )</f>
        <v>-</v>
      </c>
      <c r="T12" s="92" t="str">
        <f>IF(MOD($B12,5)=0, "누락 ","-" )</f>
        <v>-</v>
      </c>
      <c r="U12" s="92" t="str">
        <f>IF(MOD($B12,5)=0, "누락","-" )</f>
        <v>-</v>
      </c>
      <c r="V12" s="92" t="str">
        <f>IF(MOD($B12,5)=0, "누락","-" )</f>
        <v>-</v>
      </c>
      <c r="W12" s="92" t="str">
        <f>IF(MOD($B12,5)=0, "누락","-" )</f>
        <v>-</v>
      </c>
      <c r="X12" s="92" t="str">
        <f>IF(MOD($B12,5)=0, "누락","-" )</f>
        <v>-</v>
      </c>
      <c r="Y12" s="92" t="str">
        <f>IF(MOD($B12,5)=0, "누락","-" )</f>
        <v>-</v>
      </c>
      <c r="Z12" s="92" t="str">
        <f>IF(MOD($B12,5)=0, "누락","-" )</f>
        <v>-</v>
      </c>
      <c r="AA12" s="92" t="str">
        <f>IF(MOD($B12,5)=0, "누락","-" )</f>
        <v>-</v>
      </c>
      <c r="AB12" s="92" t="str">
        <f>IF(MOD($B12,5)=0, "누락","-" )</f>
        <v>-</v>
      </c>
      <c r="AC12" s="92" t="str">
        <f>IF(MOD($B12,5)=0, "누락","-" )</f>
        <v>-</v>
      </c>
      <c r="AD12" s="92" t="str">
        <f t="shared" si="2"/>
        <v>-</v>
      </c>
      <c r="AE12" s="92" t="str">
        <f t="shared" si="4"/>
        <v>-</v>
      </c>
      <c r="AF12" s="7" t="s">
        <v>97</v>
      </c>
      <c r="AG12" s="1" t="s">
        <v>16</v>
      </c>
    </row>
    <row r="13" spans="1:42" x14ac:dyDescent="0.45">
      <c r="A13" s="3">
        <v>45972</v>
      </c>
      <c r="B13" s="24">
        <f t="shared" si="9"/>
        <v>7</v>
      </c>
      <c r="C13" s="7" t="str">
        <f t="shared" si="0"/>
        <v>Dimensions: L W H</v>
      </c>
      <c r="D13" s="6" t="str">
        <f t="shared" si="1"/>
        <v>완료</v>
      </c>
      <c r="E13" s="24">
        <v>21</v>
      </c>
      <c r="F13" s="49">
        <f t="shared" ref="F13:F16" si="10">IF(NOT(LEN($A13)=0),IF(F12+1&gt;15,"버교체요망",F12+1),"")</f>
        <v>2</v>
      </c>
      <c r="G13" s="49" t="s">
        <v>16</v>
      </c>
      <c r="H13" s="49" t="s">
        <v>16</v>
      </c>
      <c r="I13" s="49">
        <f t="shared" ref="I13:I16" si="11">IF(NOT(LEN($A13)=0),IF(I12+1&gt;15,"버교체요망",I12+1),"")</f>
        <v>2</v>
      </c>
      <c r="J13" s="1"/>
      <c r="K13" s="49" t="str">
        <f t="shared" si="5"/>
        <v>VITA</v>
      </c>
      <c r="L13" s="49" t="str">
        <f t="shared" si="6"/>
        <v>MARK II</v>
      </c>
      <c r="M13" s="49">
        <f t="shared" si="7"/>
        <v>160</v>
      </c>
      <c r="N13" s="49" t="str">
        <f t="shared" si="8"/>
        <v>-</v>
      </c>
      <c r="O13" s="24">
        <f>IF(LEN(A13)&gt;0, 종합!$C$27, "")</f>
        <v>2.2599999999999998</v>
      </c>
      <c r="P13" s="1" t="s">
        <v>16</v>
      </c>
      <c r="Q13" s="92" t="str">
        <f>IF(MOD($B13,5)=0, "누락 ","-" )</f>
        <v>-</v>
      </c>
      <c r="R13" s="92" t="str">
        <f>IF(MOD($B13,5)=0, "누락 ","-" )</f>
        <v>-</v>
      </c>
      <c r="S13" s="92" t="str">
        <f>IF(MOD($B13,5)=0, "누락 ","-" )</f>
        <v>-</v>
      </c>
      <c r="T13" s="92" t="str">
        <f>IF(MOD($B13,5)=0, "누락 ","-" )</f>
        <v>-</v>
      </c>
      <c r="U13" s="92" t="str">
        <f>IF(MOD($B13,5)=0, "누락","-" )</f>
        <v>-</v>
      </c>
      <c r="V13" s="92" t="str">
        <f>IF(MOD($B13,5)=0, "누락","-" )</f>
        <v>-</v>
      </c>
      <c r="W13" s="92" t="str">
        <f>IF(MOD($B13,5)=0, "누락","-" )</f>
        <v>-</v>
      </c>
      <c r="X13" s="92" t="str">
        <f>IF(MOD($B13,5)=0, "누락","-" )</f>
        <v>-</v>
      </c>
      <c r="Y13" s="92" t="str">
        <f>IF(MOD($B13,5)=0, "누락","-" )</f>
        <v>-</v>
      </c>
      <c r="Z13" s="92" t="str">
        <f>IF(MOD($B13,5)=0, "누락","-" )</f>
        <v>-</v>
      </c>
      <c r="AA13" s="92" t="str">
        <f>IF(MOD($B13,5)=0, "누락","-" )</f>
        <v>-</v>
      </c>
      <c r="AB13" s="92" t="str">
        <f>IF(MOD($B13,5)=0, "누락","-" )</f>
        <v>-</v>
      </c>
      <c r="AC13" s="92" t="str">
        <f>IF(MOD($B13,5)=0, "누락","-" )</f>
        <v>-</v>
      </c>
      <c r="AD13" s="92" t="str">
        <f t="shared" si="2"/>
        <v>-</v>
      </c>
      <c r="AE13" s="92" t="str">
        <f t="shared" si="4"/>
        <v>-</v>
      </c>
      <c r="AF13" s="7" t="s">
        <v>97</v>
      </c>
      <c r="AG13" s="1" t="s">
        <v>16</v>
      </c>
    </row>
    <row r="14" spans="1:42" x14ac:dyDescent="0.45">
      <c r="A14" s="3">
        <v>45973</v>
      </c>
      <c r="B14" s="24">
        <f t="shared" si="9"/>
        <v>8</v>
      </c>
      <c r="C14" s="7" t="str">
        <f t="shared" si="0"/>
        <v>Dimensions: L W H</v>
      </c>
      <c r="D14" s="6" t="str">
        <f t="shared" si="1"/>
        <v>완료</v>
      </c>
      <c r="E14" s="24">
        <v>23</v>
      </c>
      <c r="F14" s="49">
        <f t="shared" si="10"/>
        <v>3</v>
      </c>
      <c r="G14" s="49" t="s">
        <v>16</v>
      </c>
      <c r="H14" s="49" t="s">
        <v>16</v>
      </c>
      <c r="I14" s="49">
        <f t="shared" si="11"/>
        <v>3</v>
      </c>
      <c r="J14" s="1"/>
      <c r="K14" s="49" t="str">
        <f t="shared" si="5"/>
        <v>VITA</v>
      </c>
      <c r="L14" s="49" t="str">
        <f t="shared" si="6"/>
        <v>MARK II</v>
      </c>
      <c r="M14" s="49">
        <f t="shared" si="7"/>
        <v>160</v>
      </c>
      <c r="N14" s="49" t="str">
        <f t="shared" si="8"/>
        <v>-</v>
      </c>
      <c r="O14" s="24">
        <f>IF(LEN(A14)&gt;0, 종합!$C$27, "")</f>
        <v>2.2599999999999998</v>
      </c>
      <c r="P14" s="1" t="s">
        <v>16</v>
      </c>
      <c r="Q14" s="92" t="str">
        <f>IF(MOD($B14,5)=0, "누락 ","-" )</f>
        <v>-</v>
      </c>
      <c r="R14" s="92" t="str">
        <f>IF(MOD($B14,5)=0, "누락 ","-" )</f>
        <v>-</v>
      </c>
      <c r="S14" s="92" t="str">
        <f>IF(MOD($B14,5)=0, "누락 ","-" )</f>
        <v>-</v>
      </c>
      <c r="T14" s="92" t="str">
        <f>IF(MOD($B14,5)=0, "누락 ","-" )</f>
        <v>-</v>
      </c>
      <c r="U14" s="92" t="str">
        <f>IF(MOD($B14,5)=0, "누락","-" )</f>
        <v>-</v>
      </c>
      <c r="V14" s="92" t="str">
        <f>IF(MOD($B14,5)=0, "누락","-" )</f>
        <v>-</v>
      </c>
      <c r="W14" s="92" t="str">
        <f>IF(MOD($B14,5)=0, "누락","-" )</f>
        <v>-</v>
      </c>
      <c r="X14" s="92" t="str">
        <f>IF(MOD($B14,5)=0, "누락","-" )</f>
        <v>-</v>
      </c>
      <c r="Y14" s="92" t="str">
        <f>IF(MOD($B14,5)=0, "누락","-" )</f>
        <v>-</v>
      </c>
      <c r="Z14" s="92" t="str">
        <f>IF(MOD($B14,5)=0, "누락","-" )</f>
        <v>-</v>
      </c>
      <c r="AA14" s="92" t="str">
        <f>IF(MOD($B14,5)=0, "누락","-" )</f>
        <v>-</v>
      </c>
      <c r="AB14" s="92" t="str">
        <f>IF(MOD($B14,5)=0, "누락","-" )</f>
        <v>-</v>
      </c>
      <c r="AC14" s="92" t="str">
        <f>IF(MOD($B14,5)=0, "누락","-" )</f>
        <v>-</v>
      </c>
      <c r="AD14" s="92" t="str">
        <f t="shared" si="2"/>
        <v>-</v>
      </c>
      <c r="AE14" s="92" t="str">
        <f t="shared" si="4"/>
        <v>-</v>
      </c>
      <c r="AF14" s="7" t="s">
        <v>97</v>
      </c>
      <c r="AG14" s="1" t="s">
        <v>16</v>
      </c>
    </row>
    <row r="15" spans="1:42" x14ac:dyDescent="0.45">
      <c r="A15" s="3">
        <v>45973</v>
      </c>
      <c r="B15" s="24">
        <f t="shared" si="9"/>
        <v>9</v>
      </c>
      <c r="C15" s="7" t="str">
        <f t="shared" ref="C15" si="12">IF(B15="","",
  IF(MOD($B15,1)=0,
    "Dimensions: L W H",
    "-"
  )
)</f>
        <v>Dimensions: L W H</v>
      </c>
      <c r="D15" s="6" t="str">
        <f t="shared" si="1"/>
        <v>완료</v>
      </c>
      <c r="E15" s="24">
        <v>23</v>
      </c>
      <c r="F15" s="49">
        <f t="shared" si="10"/>
        <v>4</v>
      </c>
      <c r="G15" s="49" t="s">
        <v>16</v>
      </c>
      <c r="H15" s="49" t="s">
        <v>16</v>
      </c>
      <c r="I15" s="49">
        <f t="shared" si="11"/>
        <v>4</v>
      </c>
      <c r="J15" s="1"/>
      <c r="K15" s="49" t="str">
        <f t="shared" si="5"/>
        <v>VITA</v>
      </c>
      <c r="L15" s="49" t="str">
        <f t="shared" si="6"/>
        <v>MARK II</v>
      </c>
      <c r="M15" s="49">
        <f t="shared" si="7"/>
        <v>160</v>
      </c>
      <c r="N15" s="49" t="str">
        <f t="shared" si="8"/>
        <v>-</v>
      </c>
      <c r="O15" s="24">
        <f>IF(LEN(A15)&gt;0, 종합!$C$27, "")</f>
        <v>2.2599999999999998</v>
      </c>
      <c r="P15" s="1"/>
      <c r="Q15" s="92" t="str">
        <f>IF(MOD($B15,5)=0, "누락 ","-" )</f>
        <v>-</v>
      </c>
      <c r="R15" s="92" t="str">
        <f>IF(MOD($B15,5)=0, "누락 ","-" )</f>
        <v>-</v>
      </c>
      <c r="S15" s="92" t="str">
        <f>IF(MOD($B15,5)=0, "누락 ","-" )</f>
        <v>-</v>
      </c>
      <c r="T15" s="92" t="str">
        <f>IF(MOD($B15,5)=0, "누락 ","-" )</f>
        <v>-</v>
      </c>
      <c r="U15" s="92" t="str">
        <f>IF(MOD($B15,5)=0, "누락","-" )</f>
        <v>-</v>
      </c>
      <c r="V15" s="92" t="str">
        <f>IF(MOD($B15,5)=0, "누락","-" )</f>
        <v>-</v>
      </c>
      <c r="W15" s="92" t="str">
        <f>IF(MOD($B15,5)=0, "누락","-" )</f>
        <v>-</v>
      </c>
      <c r="X15" s="92" t="str">
        <f>IF(MOD($B15,5)=0, "누락","-" )</f>
        <v>-</v>
      </c>
      <c r="Y15" s="92" t="str">
        <f>IF(MOD($B15,5)=0, "누락","-" )</f>
        <v>-</v>
      </c>
      <c r="Z15" s="92" t="str">
        <f>IF(MOD($B15,5)=0, "누락","-" )</f>
        <v>-</v>
      </c>
      <c r="AA15" s="92" t="str">
        <f>IF(MOD($B15,5)=0, "누락","-" )</f>
        <v>-</v>
      </c>
      <c r="AB15" s="92" t="str">
        <f>IF(MOD($B15,5)=0, "누락","-" )</f>
        <v>-</v>
      </c>
      <c r="AC15" s="92" t="str">
        <f>IF(MOD($B15,5)=0, "누락","-" )</f>
        <v>-</v>
      </c>
      <c r="AD15" s="92" t="str">
        <f t="shared" si="2"/>
        <v>-</v>
      </c>
      <c r="AE15" s="92" t="str">
        <f t="shared" si="4"/>
        <v>-</v>
      </c>
      <c r="AF15" s="7" t="s">
        <v>97</v>
      </c>
      <c r="AG15" s="1" t="s">
        <v>16</v>
      </c>
    </row>
    <row r="16" spans="1:42" x14ac:dyDescent="0.45">
      <c r="A16" s="3">
        <v>45973</v>
      </c>
      <c r="B16" s="24">
        <f t="shared" si="9"/>
        <v>10</v>
      </c>
      <c r="C16" s="7" t="str">
        <f>IF(B16="","",
  IF(MOD($B16,1)=0,
    "Dimensions: L W H",
    "-"
  )
)</f>
        <v>Dimensions: L W H</v>
      </c>
      <c r="D16" s="6" t="str">
        <f t="shared" si="1"/>
        <v>완료</v>
      </c>
      <c r="E16" s="24">
        <v>21</v>
      </c>
      <c r="F16" s="49">
        <f t="shared" si="10"/>
        <v>5</v>
      </c>
      <c r="G16" s="49" t="str">
        <f t="shared" ref="G16:H16" si="13">IF(NOT(LEN($I16)=0),G15,"")</f>
        <v>-</v>
      </c>
      <c r="H16" s="49" t="str">
        <f t="shared" si="13"/>
        <v>-</v>
      </c>
      <c r="I16" s="49">
        <f t="shared" si="11"/>
        <v>5</v>
      </c>
      <c r="J16" s="1"/>
      <c r="K16" s="49" t="str">
        <f t="shared" si="5"/>
        <v>VITA</v>
      </c>
      <c r="L16" s="49" t="str">
        <f t="shared" si="6"/>
        <v>MARK II</v>
      </c>
      <c r="M16" s="49">
        <f t="shared" si="7"/>
        <v>160</v>
      </c>
      <c r="N16" s="49" t="str">
        <f t="shared" si="8"/>
        <v>-</v>
      </c>
      <c r="O16" s="24">
        <f>IF(LEN(A16)&gt;0, 종합!$C$27, "")</f>
        <v>2.2599999999999998</v>
      </c>
      <c r="P16" s="1"/>
      <c r="Q16" s="92" t="s">
        <v>133</v>
      </c>
      <c r="R16" s="92" t="s">
        <v>122</v>
      </c>
      <c r="S16" s="92" t="s">
        <v>122</v>
      </c>
      <c r="T16" s="92" t="s">
        <v>122</v>
      </c>
      <c r="U16" s="48" t="str">
        <f t="shared" ref="Q16:AE28" si="14">IF(NOT(LEN($A16)=0),"누락","")</f>
        <v>누락</v>
      </c>
      <c r="V16" s="48" t="str">
        <f t="shared" si="14"/>
        <v>누락</v>
      </c>
      <c r="W16" s="48" t="str">
        <f t="shared" si="14"/>
        <v>누락</v>
      </c>
      <c r="X16" s="48" t="str">
        <f t="shared" si="14"/>
        <v>누락</v>
      </c>
      <c r="Y16" s="48" t="str">
        <f t="shared" si="14"/>
        <v>누락</v>
      </c>
      <c r="Z16" s="48" t="str">
        <f t="shared" si="14"/>
        <v>누락</v>
      </c>
      <c r="AA16" s="48" t="str">
        <f t="shared" si="14"/>
        <v>누락</v>
      </c>
      <c r="AB16" s="48" t="str">
        <f t="shared" si="14"/>
        <v>누락</v>
      </c>
      <c r="AC16" s="48" t="str">
        <f t="shared" si="14"/>
        <v>누락</v>
      </c>
      <c r="AD16" s="48" t="str">
        <f t="shared" si="14"/>
        <v>누락</v>
      </c>
      <c r="AE16" s="48" t="str">
        <f t="shared" si="14"/>
        <v>누락</v>
      </c>
      <c r="AF16" s="7" t="s">
        <v>128</v>
      </c>
      <c r="AG16" s="1" t="s">
        <v>16</v>
      </c>
    </row>
    <row r="17" spans="1:33" x14ac:dyDescent="0.45">
      <c r="A17" s="3">
        <v>45973</v>
      </c>
      <c r="B17" s="24">
        <f t="shared" si="9"/>
        <v>11</v>
      </c>
      <c r="C17" s="7" t="str">
        <f t="shared" ref="C17:C28" si="15">IF(B17="","",
  IF(MOD($B17,1)=0,
    "Dimensions: L W H",
    "-"
  )
)</f>
        <v>Dimensions: L W H</v>
      </c>
      <c r="D17" s="6" t="str">
        <f t="shared" si="1"/>
        <v>진행중</v>
      </c>
      <c r="E17" s="24">
        <v>21</v>
      </c>
      <c r="F17" s="49">
        <f t="shared" ref="F17:F21" si="16">IF(NOT(LEN($A17)=0),IF(F16+1&gt;15,"버교체요망",F16+1),"")</f>
        <v>6</v>
      </c>
      <c r="G17" s="49" t="str">
        <f t="shared" ref="G17:G21" si="17">IF(NOT(LEN($I17)=0),G16,"")</f>
        <v>-</v>
      </c>
      <c r="H17" s="49" t="str">
        <f t="shared" ref="H17:H21" si="18">IF(NOT(LEN($I17)=0),H16,"")</f>
        <v>-</v>
      </c>
      <c r="I17" s="49">
        <f t="shared" ref="I17:I21" si="19">IF(NOT(LEN($A17)=0),IF(I16+1&gt;15,"버교체요망",I16+1),"")</f>
        <v>6</v>
      </c>
      <c r="J17" s="1"/>
      <c r="K17" s="49" t="str">
        <f t="shared" si="5"/>
        <v>VITA</v>
      </c>
      <c r="L17" s="49" t="str">
        <f t="shared" si="6"/>
        <v>MARK II</v>
      </c>
      <c r="M17" s="49">
        <f t="shared" si="7"/>
        <v>160</v>
      </c>
      <c r="N17" s="49" t="str">
        <f t="shared" si="8"/>
        <v>-</v>
      </c>
      <c r="O17" s="24">
        <f>IF(LEN(A17)&gt;0, 종합!$C$27, "")</f>
        <v>2.2599999999999998</v>
      </c>
      <c r="P17" s="1"/>
      <c r="Q17" s="48" t="str">
        <f t="shared" si="14"/>
        <v>누락</v>
      </c>
      <c r="R17" s="48" t="str">
        <f t="shared" si="14"/>
        <v>누락</v>
      </c>
      <c r="S17" s="48" t="str">
        <f t="shared" si="14"/>
        <v>누락</v>
      </c>
      <c r="T17" s="48" t="str">
        <f t="shared" si="14"/>
        <v>누락</v>
      </c>
      <c r="U17" s="48" t="str">
        <f t="shared" si="14"/>
        <v>누락</v>
      </c>
      <c r="V17" s="48" t="str">
        <f t="shared" si="14"/>
        <v>누락</v>
      </c>
      <c r="W17" s="48" t="str">
        <f t="shared" si="14"/>
        <v>누락</v>
      </c>
      <c r="X17" s="48" t="str">
        <f t="shared" si="14"/>
        <v>누락</v>
      </c>
      <c r="Y17" s="48" t="str">
        <f t="shared" si="14"/>
        <v>누락</v>
      </c>
      <c r="Z17" s="48" t="str">
        <f t="shared" si="14"/>
        <v>누락</v>
      </c>
      <c r="AA17" s="48" t="str">
        <f t="shared" si="14"/>
        <v>누락</v>
      </c>
      <c r="AB17" s="48" t="str">
        <f t="shared" si="14"/>
        <v>누락</v>
      </c>
      <c r="AC17" s="48" t="str">
        <f t="shared" si="14"/>
        <v>누락</v>
      </c>
      <c r="AD17" s="48" t="str">
        <f t="shared" si="14"/>
        <v>누락</v>
      </c>
      <c r="AE17" s="48" t="str">
        <f t="shared" si="14"/>
        <v>누락</v>
      </c>
      <c r="AF17" s="1" t="s">
        <v>16</v>
      </c>
      <c r="AG17" s="1" t="s">
        <v>16</v>
      </c>
    </row>
    <row r="18" spans="1:33" x14ac:dyDescent="0.45">
      <c r="A18" s="3"/>
      <c r="B18" s="24" t="str">
        <f t="shared" si="9"/>
        <v/>
      </c>
      <c r="C18" s="7" t="str">
        <f t="shared" si="15"/>
        <v/>
      </c>
      <c r="D18" s="6" t="str">
        <f t="shared" si="1"/>
        <v/>
      </c>
      <c r="E18" s="24" t="str">
        <f t="shared" ref="E18:E28" si="20">IF($B18="","", "누락")</f>
        <v/>
      </c>
      <c r="F18" s="49" t="str">
        <f t="shared" si="16"/>
        <v/>
      </c>
      <c r="G18" s="49" t="str">
        <f t="shared" si="17"/>
        <v/>
      </c>
      <c r="H18" s="49" t="str">
        <f t="shared" si="18"/>
        <v/>
      </c>
      <c r="I18" s="49" t="str">
        <f t="shared" si="19"/>
        <v/>
      </c>
      <c r="J18" s="1"/>
      <c r="K18" s="49" t="str">
        <f t="shared" si="5"/>
        <v/>
      </c>
      <c r="L18" s="49" t="str">
        <f t="shared" si="6"/>
        <v/>
      </c>
      <c r="M18" s="49" t="str">
        <f t="shared" si="7"/>
        <v/>
      </c>
      <c r="N18" s="49" t="str">
        <f t="shared" si="8"/>
        <v/>
      </c>
      <c r="O18" s="24" t="str">
        <f>IF(LEN(A18)&gt;0, 종합!$C$27, "")</f>
        <v/>
      </c>
      <c r="P18" s="1"/>
      <c r="Q18" s="48" t="str">
        <f t="shared" si="14"/>
        <v/>
      </c>
      <c r="R18" s="48" t="str">
        <f t="shared" si="14"/>
        <v/>
      </c>
      <c r="S18" s="48" t="str">
        <f t="shared" si="14"/>
        <v/>
      </c>
      <c r="T18" s="48" t="str">
        <f t="shared" si="14"/>
        <v/>
      </c>
      <c r="U18" s="48" t="str">
        <f t="shared" si="14"/>
        <v/>
      </c>
      <c r="V18" s="48" t="str">
        <f t="shared" si="14"/>
        <v/>
      </c>
      <c r="W18" s="48" t="str">
        <f t="shared" si="14"/>
        <v/>
      </c>
      <c r="X18" s="48" t="str">
        <f t="shared" si="14"/>
        <v/>
      </c>
      <c r="Y18" s="48" t="str">
        <f t="shared" si="14"/>
        <v/>
      </c>
      <c r="Z18" s="48" t="str">
        <f t="shared" si="14"/>
        <v/>
      </c>
      <c r="AA18" s="48" t="str">
        <f t="shared" si="14"/>
        <v/>
      </c>
      <c r="AB18" s="48" t="str">
        <f t="shared" si="14"/>
        <v/>
      </c>
      <c r="AC18" s="48" t="str">
        <f t="shared" si="14"/>
        <v/>
      </c>
      <c r="AD18" s="48" t="str">
        <f t="shared" si="14"/>
        <v/>
      </c>
      <c r="AE18" s="48" t="str">
        <f t="shared" si="14"/>
        <v/>
      </c>
      <c r="AF18" s="1" t="s">
        <v>16</v>
      </c>
      <c r="AG18" s="1" t="s">
        <v>16</v>
      </c>
    </row>
    <row r="19" spans="1:33" x14ac:dyDescent="0.45">
      <c r="A19" s="3"/>
      <c r="B19" s="24" t="str">
        <f t="shared" si="9"/>
        <v/>
      </c>
      <c r="C19" s="7" t="str">
        <f t="shared" si="15"/>
        <v/>
      </c>
      <c r="D19" s="6" t="str">
        <f t="shared" si="1"/>
        <v/>
      </c>
      <c r="E19" s="24" t="str">
        <f t="shared" si="20"/>
        <v/>
      </c>
      <c r="F19" s="49" t="str">
        <f t="shared" si="16"/>
        <v/>
      </c>
      <c r="G19" s="49" t="str">
        <f t="shared" si="17"/>
        <v/>
      </c>
      <c r="H19" s="49" t="str">
        <f t="shared" si="18"/>
        <v/>
      </c>
      <c r="I19" s="49" t="str">
        <f t="shared" si="19"/>
        <v/>
      </c>
      <c r="J19" s="1"/>
      <c r="K19" s="49" t="str">
        <f t="shared" si="5"/>
        <v/>
      </c>
      <c r="L19" s="49" t="str">
        <f t="shared" si="6"/>
        <v/>
      </c>
      <c r="M19" s="49" t="str">
        <f t="shared" si="7"/>
        <v/>
      </c>
      <c r="N19" s="49" t="str">
        <f t="shared" si="8"/>
        <v/>
      </c>
      <c r="O19" s="24" t="str">
        <f>IF(LEN(A19)&gt;0, 종합!$C$27, "")</f>
        <v/>
      </c>
      <c r="P19" s="1"/>
      <c r="Q19" s="48" t="str">
        <f t="shared" si="14"/>
        <v/>
      </c>
      <c r="R19" s="48" t="str">
        <f t="shared" si="14"/>
        <v/>
      </c>
      <c r="S19" s="48" t="str">
        <f t="shared" si="14"/>
        <v/>
      </c>
      <c r="T19" s="48" t="str">
        <f t="shared" si="14"/>
        <v/>
      </c>
      <c r="U19" s="48" t="str">
        <f t="shared" si="14"/>
        <v/>
      </c>
      <c r="V19" s="48" t="str">
        <f t="shared" si="14"/>
        <v/>
      </c>
      <c r="W19" s="48" t="str">
        <f t="shared" si="14"/>
        <v/>
      </c>
      <c r="X19" s="48" t="str">
        <f t="shared" si="14"/>
        <v/>
      </c>
      <c r="Y19" s="48" t="str">
        <f t="shared" si="14"/>
        <v/>
      </c>
      <c r="Z19" s="48" t="str">
        <f t="shared" si="14"/>
        <v/>
      </c>
      <c r="AA19" s="48" t="str">
        <f t="shared" si="14"/>
        <v/>
      </c>
      <c r="AB19" s="48" t="str">
        <f t="shared" si="14"/>
        <v/>
      </c>
      <c r="AC19" s="48" t="str">
        <f t="shared" si="14"/>
        <v/>
      </c>
      <c r="AD19" s="48" t="str">
        <f t="shared" si="14"/>
        <v/>
      </c>
      <c r="AE19" s="48" t="str">
        <f t="shared" si="14"/>
        <v/>
      </c>
      <c r="AF19" s="1" t="s">
        <v>16</v>
      </c>
      <c r="AG19" s="1" t="s">
        <v>16</v>
      </c>
    </row>
    <row r="20" spans="1:33" x14ac:dyDescent="0.45">
      <c r="A20" s="3"/>
      <c r="B20" s="24" t="str">
        <f>IF(NOT(LEN(A20)=0),B19+1,"")</f>
        <v/>
      </c>
      <c r="C20" s="7" t="str">
        <f t="shared" si="15"/>
        <v/>
      </c>
      <c r="D20" s="6" t="str">
        <f t="shared" si="1"/>
        <v/>
      </c>
      <c r="E20" s="24" t="str">
        <f t="shared" si="20"/>
        <v/>
      </c>
      <c r="F20" s="49" t="str">
        <f t="shared" si="16"/>
        <v/>
      </c>
      <c r="G20" s="49" t="str">
        <f t="shared" si="17"/>
        <v/>
      </c>
      <c r="H20" s="49" t="str">
        <f t="shared" si="18"/>
        <v/>
      </c>
      <c r="I20" s="49" t="str">
        <f t="shared" si="19"/>
        <v/>
      </c>
      <c r="J20" s="1"/>
      <c r="K20" s="49" t="str">
        <f t="shared" si="5"/>
        <v/>
      </c>
      <c r="L20" s="49" t="str">
        <f t="shared" si="6"/>
        <v/>
      </c>
      <c r="M20" s="49" t="str">
        <f t="shared" si="7"/>
        <v/>
      </c>
      <c r="N20" s="49" t="str">
        <f t="shared" si="8"/>
        <v/>
      </c>
      <c r="O20" s="24" t="str">
        <f>IF(LEN(A20)&gt;0, 종합!$C$27, "")</f>
        <v/>
      </c>
      <c r="P20" s="1"/>
      <c r="Q20" s="48" t="str">
        <f t="shared" si="14"/>
        <v/>
      </c>
      <c r="R20" s="48" t="str">
        <f t="shared" si="14"/>
        <v/>
      </c>
      <c r="S20" s="48" t="str">
        <f t="shared" si="14"/>
        <v/>
      </c>
      <c r="T20" s="48" t="str">
        <f t="shared" si="14"/>
        <v/>
      </c>
      <c r="U20" s="48" t="str">
        <f t="shared" si="14"/>
        <v/>
      </c>
      <c r="V20" s="48" t="str">
        <f t="shared" si="14"/>
        <v/>
      </c>
      <c r="W20" s="48" t="str">
        <f t="shared" si="14"/>
        <v/>
      </c>
      <c r="X20" s="48" t="str">
        <f t="shared" si="14"/>
        <v/>
      </c>
      <c r="Y20" s="48" t="str">
        <f t="shared" si="14"/>
        <v/>
      </c>
      <c r="Z20" s="48" t="str">
        <f t="shared" si="14"/>
        <v/>
      </c>
      <c r="AA20" s="48" t="str">
        <f t="shared" si="14"/>
        <v/>
      </c>
      <c r="AB20" s="48" t="str">
        <f t="shared" si="14"/>
        <v/>
      </c>
      <c r="AC20" s="48" t="str">
        <f t="shared" si="14"/>
        <v/>
      </c>
      <c r="AD20" s="48" t="str">
        <f t="shared" si="14"/>
        <v/>
      </c>
      <c r="AE20" s="48" t="str">
        <f t="shared" si="14"/>
        <v/>
      </c>
      <c r="AF20" s="1" t="s">
        <v>16</v>
      </c>
      <c r="AG20" s="1" t="s">
        <v>16</v>
      </c>
    </row>
    <row r="21" spans="1:33" x14ac:dyDescent="0.45">
      <c r="A21" s="3"/>
      <c r="B21" s="24" t="str">
        <f t="shared" si="9"/>
        <v/>
      </c>
      <c r="C21" s="7" t="str">
        <f t="shared" si="15"/>
        <v/>
      </c>
      <c r="D21" s="6" t="str">
        <f>IF(NOT(LEN(B21)=0),IF(LEN(D28)=0,"진행중","완료"),"")</f>
        <v/>
      </c>
      <c r="E21" s="24" t="str">
        <f t="shared" si="20"/>
        <v/>
      </c>
      <c r="F21" s="49" t="str">
        <f t="shared" si="16"/>
        <v/>
      </c>
      <c r="G21" s="49" t="str">
        <f t="shared" si="17"/>
        <v/>
      </c>
      <c r="H21" s="49" t="str">
        <f t="shared" si="18"/>
        <v/>
      </c>
      <c r="I21" s="49" t="str">
        <f t="shared" si="19"/>
        <v/>
      </c>
      <c r="J21" s="1"/>
      <c r="K21" s="49" t="str">
        <f t="shared" si="5"/>
        <v/>
      </c>
      <c r="L21" s="49" t="str">
        <f t="shared" si="6"/>
        <v/>
      </c>
      <c r="M21" s="49" t="str">
        <f t="shared" si="7"/>
        <v/>
      </c>
      <c r="N21" s="49" t="str">
        <f t="shared" si="8"/>
        <v/>
      </c>
      <c r="O21" s="24" t="str">
        <f>IF(LEN(A21)&gt;0, 종합!$C$27, "")</f>
        <v/>
      </c>
      <c r="P21" s="1"/>
      <c r="Q21" s="48" t="str">
        <f t="shared" si="14"/>
        <v/>
      </c>
      <c r="R21" s="48" t="str">
        <f t="shared" si="14"/>
        <v/>
      </c>
      <c r="S21" s="48" t="str">
        <f t="shared" si="14"/>
        <v/>
      </c>
      <c r="T21" s="48" t="str">
        <f t="shared" si="14"/>
        <v/>
      </c>
      <c r="U21" s="48" t="str">
        <f t="shared" si="14"/>
        <v/>
      </c>
      <c r="V21" s="48" t="str">
        <f t="shared" si="14"/>
        <v/>
      </c>
      <c r="W21" s="48" t="str">
        <f t="shared" si="14"/>
        <v/>
      </c>
      <c r="X21" s="48" t="str">
        <f t="shared" si="14"/>
        <v/>
      </c>
      <c r="Y21" s="48" t="str">
        <f t="shared" si="14"/>
        <v/>
      </c>
      <c r="Z21" s="48" t="str">
        <f t="shared" si="14"/>
        <v/>
      </c>
      <c r="AA21" s="48" t="str">
        <f t="shared" si="14"/>
        <v/>
      </c>
      <c r="AB21" s="48" t="str">
        <f t="shared" si="14"/>
        <v/>
      </c>
      <c r="AC21" s="48" t="str">
        <f t="shared" si="14"/>
        <v/>
      </c>
      <c r="AD21" s="48" t="str">
        <f t="shared" si="14"/>
        <v/>
      </c>
      <c r="AE21" s="48" t="str">
        <f t="shared" si="14"/>
        <v/>
      </c>
      <c r="AF21" s="1" t="s">
        <v>16</v>
      </c>
      <c r="AG21" s="1" t="s">
        <v>16</v>
      </c>
    </row>
    <row r="22" spans="1:33" x14ac:dyDescent="0.45">
      <c r="A22" s="3"/>
      <c r="B22" s="24"/>
      <c r="C22" s="7"/>
      <c r="D22" s="6"/>
      <c r="E22" s="24" t="str">
        <f t="shared" si="20"/>
        <v/>
      </c>
      <c r="F22" s="49"/>
      <c r="G22" s="49"/>
      <c r="H22" s="49"/>
      <c r="I22" s="49"/>
      <c r="J22" s="1"/>
      <c r="K22" s="49"/>
      <c r="L22" s="49"/>
      <c r="M22" s="49"/>
      <c r="N22" s="49"/>
      <c r="O22" s="24"/>
      <c r="P22" s="1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1"/>
      <c r="AG22" s="1"/>
    </row>
    <row r="23" spans="1:33" x14ac:dyDescent="0.45">
      <c r="A23" s="3"/>
      <c r="B23" s="24"/>
      <c r="C23" s="7"/>
      <c r="D23" s="6"/>
      <c r="E23" s="24" t="str">
        <f t="shared" si="20"/>
        <v/>
      </c>
      <c r="F23" s="49"/>
      <c r="G23" s="49"/>
      <c r="H23" s="49"/>
      <c r="I23" s="49"/>
      <c r="J23" s="1"/>
      <c r="K23" s="49"/>
      <c r="L23" s="49"/>
      <c r="M23" s="49"/>
      <c r="N23" s="49"/>
      <c r="O23" s="24"/>
      <c r="P23" s="1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1"/>
      <c r="AG23" s="1"/>
    </row>
    <row r="24" spans="1:33" x14ac:dyDescent="0.45">
      <c r="A24" s="3"/>
      <c r="B24" s="24"/>
      <c r="C24" s="7"/>
      <c r="D24" s="6"/>
      <c r="E24" s="24" t="str">
        <f t="shared" si="20"/>
        <v/>
      </c>
      <c r="F24" s="49"/>
      <c r="G24" s="49"/>
      <c r="H24" s="49"/>
      <c r="I24" s="49"/>
      <c r="J24" s="1"/>
      <c r="K24" s="49"/>
      <c r="L24" s="49"/>
      <c r="M24" s="49"/>
      <c r="N24" s="49"/>
      <c r="O24" s="24"/>
      <c r="P24" s="1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1"/>
      <c r="AG24" s="1"/>
    </row>
    <row r="25" spans="1:33" x14ac:dyDescent="0.45">
      <c r="A25" s="3"/>
      <c r="B25" s="24"/>
      <c r="C25" s="7"/>
      <c r="D25" s="6"/>
      <c r="E25" s="24" t="str">
        <f t="shared" si="20"/>
        <v/>
      </c>
      <c r="F25" s="49"/>
      <c r="G25" s="49"/>
      <c r="H25" s="49"/>
      <c r="I25" s="49"/>
      <c r="J25" s="1"/>
      <c r="K25" s="49"/>
      <c r="L25" s="49"/>
      <c r="M25" s="49"/>
      <c r="N25" s="49"/>
      <c r="O25" s="24"/>
      <c r="P25" s="1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1"/>
      <c r="AG25" s="1"/>
    </row>
    <row r="26" spans="1:33" x14ac:dyDescent="0.45">
      <c r="A26" s="3"/>
      <c r="B26" s="24"/>
      <c r="C26" s="7"/>
      <c r="D26" s="6"/>
      <c r="E26" s="24" t="str">
        <f t="shared" si="20"/>
        <v/>
      </c>
      <c r="F26" s="49"/>
      <c r="G26" s="49"/>
      <c r="H26" s="49"/>
      <c r="I26" s="49"/>
      <c r="J26" s="1"/>
      <c r="K26" s="49"/>
      <c r="L26" s="49"/>
      <c r="M26" s="49"/>
      <c r="N26" s="49"/>
      <c r="O26" s="24"/>
      <c r="P26" s="1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1"/>
      <c r="AG26" s="1"/>
    </row>
    <row r="27" spans="1:33" x14ac:dyDescent="0.45">
      <c r="A27" s="3"/>
      <c r="B27" s="24"/>
      <c r="C27" s="7"/>
      <c r="D27" s="6"/>
      <c r="E27" s="24" t="str">
        <f t="shared" si="20"/>
        <v/>
      </c>
      <c r="F27" s="49"/>
      <c r="G27" s="49"/>
      <c r="H27" s="49"/>
      <c r="I27" s="49"/>
      <c r="J27" s="1"/>
      <c r="K27" s="49"/>
      <c r="L27" s="49"/>
      <c r="M27" s="49"/>
      <c r="N27" s="49"/>
      <c r="O27" s="24"/>
      <c r="P27" s="1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1"/>
      <c r="AG27" s="1"/>
    </row>
    <row r="28" spans="1:33" x14ac:dyDescent="0.45">
      <c r="A28" s="3"/>
      <c r="B28" s="24" t="str">
        <f>IF(NOT(LEN(A28)=0),B21+1,"")</f>
        <v/>
      </c>
      <c r="C28" s="7" t="str">
        <f t="shared" si="15"/>
        <v/>
      </c>
      <c r="D28" s="6" t="str">
        <f t="shared" si="1"/>
        <v/>
      </c>
      <c r="E28" s="24" t="str">
        <f t="shared" si="20"/>
        <v/>
      </c>
      <c r="F28" s="49" t="str">
        <f>IF(NOT(LEN($A28)=0),IF(F21+1&gt;15,"버교체요망",F21+1),"")</f>
        <v/>
      </c>
      <c r="G28" s="49" t="str">
        <f>IF(NOT(LEN($I28)=0),G21,"")</f>
        <v/>
      </c>
      <c r="H28" s="49" t="str">
        <f>IF(NOT(LEN($I28)=0),H21,"")</f>
        <v/>
      </c>
      <c r="I28" s="49" t="str">
        <f>IF(NOT(LEN($A28)=0),IF(I21+1&gt;15,"버교체요망",I21+1),"")</f>
        <v/>
      </c>
      <c r="J28" s="1"/>
      <c r="K28" s="49" t="str">
        <f>IF(NOT(LEN($I28)=0),K21,"")</f>
        <v/>
      </c>
      <c r="L28" s="49" t="str">
        <f>IF(NOT(LEN($I28)=0),L21,"")</f>
        <v/>
      </c>
      <c r="M28" s="49" t="str">
        <f>IF(NOT(LEN($I28)=0),M21,"")</f>
        <v/>
      </c>
      <c r="N28" s="49" t="str">
        <f>IF(NOT(LEN($I28)=0),N21,"")</f>
        <v/>
      </c>
      <c r="O28" s="24" t="str">
        <f>IF(LEN(A28)&gt;0, 종합!$C$27, "")</f>
        <v/>
      </c>
      <c r="P28" s="1"/>
      <c r="Q28" s="48" t="str">
        <f t="shared" si="14"/>
        <v/>
      </c>
      <c r="R28" s="48" t="str">
        <f t="shared" si="14"/>
        <v/>
      </c>
      <c r="S28" s="48" t="str">
        <f t="shared" si="14"/>
        <v/>
      </c>
      <c r="T28" s="48" t="str">
        <f t="shared" si="14"/>
        <v/>
      </c>
      <c r="U28" s="48" t="str">
        <f t="shared" si="14"/>
        <v/>
      </c>
      <c r="V28" s="48" t="str">
        <f t="shared" si="14"/>
        <v/>
      </c>
      <c r="W28" s="48" t="str">
        <f t="shared" si="14"/>
        <v/>
      </c>
      <c r="X28" s="48" t="str">
        <f t="shared" si="14"/>
        <v/>
      </c>
      <c r="Y28" s="48" t="str">
        <f t="shared" si="14"/>
        <v/>
      </c>
      <c r="Z28" s="48" t="str">
        <f t="shared" si="14"/>
        <v/>
      </c>
      <c r="AA28" s="48" t="str">
        <f t="shared" si="14"/>
        <v/>
      </c>
      <c r="AB28" s="48" t="str">
        <f t="shared" si="14"/>
        <v/>
      </c>
      <c r="AC28" s="48" t="str">
        <f t="shared" si="14"/>
        <v/>
      </c>
      <c r="AD28" s="48" t="str">
        <f t="shared" si="14"/>
        <v/>
      </c>
      <c r="AE28" s="48" t="str">
        <f t="shared" si="14"/>
        <v/>
      </c>
      <c r="AF28" s="1" t="s">
        <v>16</v>
      </c>
      <c r="AG28" s="1" t="s">
        <v>16</v>
      </c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D29">
    <cfRule type="containsText" dxfId="837" priority="171" operator="containsText" text="진행중">
      <formula>NOT(ISERROR(SEARCH("진행중",D29)))</formula>
    </cfRule>
  </conditionalFormatting>
  <conditionalFormatting sqref="K8:K28">
    <cfRule type="containsText" dxfId="836" priority="119" operator="containsText" text="완료">
      <formula>NOT(ISERROR(SEARCH("완료",K8)))</formula>
    </cfRule>
    <cfRule type="containsText" dxfId="835" priority="120" operator="containsText" text="중단">
      <formula>NOT(ISERROR(SEARCH("중단",K8)))</formula>
    </cfRule>
  </conditionalFormatting>
  <conditionalFormatting sqref="K8:K28">
    <cfRule type="containsText" dxfId="834" priority="117" operator="containsText" text="완료">
      <formula>NOT(ISERROR(SEARCH("완료",K8)))</formula>
    </cfRule>
    <cfRule type="containsText" dxfId="833" priority="118" operator="containsText" text="중단">
      <formula>NOT(ISERROR(SEARCH("중단",K8)))</formula>
    </cfRule>
  </conditionalFormatting>
  <conditionalFormatting sqref="K8:K28">
    <cfRule type="containsText" dxfId="832" priority="116" operator="containsText" text="진행중">
      <formula>NOT(ISERROR(SEARCH("진행중",K8)))</formula>
    </cfRule>
  </conditionalFormatting>
  <conditionalFormatting sqref="L8:L28">
    <cfRule type="containsText" dxfId="831" priority="114" operator="containsText" text="완료">
      <formula>NOT(ISERROR(SEARCH("완료",L8)))</formula>
    </cfRule>
    <cfRule type="containsText" dxfId="830" priority="115" operator="containsText" text="중단">
      <formula>NOT(ISERROR(SEARCH("중단",L8)))</formula>
    </cfRule>
  </conditionalFormatting>
  <conditionalFormatting sqref="L8:L28">
    <cfRule type="containsText" dxfId="829" priority="112" operator="containsText" text="완료">
      <formula>NOT(ISERROR(SEARCH("완료",L8)))</formula>
    </cfRule>
    <cfRule type="containsText" dxfId="828" priority="113" operator="containsText" text="중단">
      <formula>NOT(ISERROR(SEARCH("중단",L8)))</formula>
    </cfRule>
  </conditionalFormatting>
  <conditionalFormatting sqref="L8:L28">
    <cfRule type="containsText" dxfId="827" priority="111" operator="containsText" text="진행중">
      <formula>NOT(ISERROR(SEARCH("진행중",L8)))</formula>
    </cfRule>
  </conditionalFormatting>
  <conditionalFormatting sqref="M8:N28">
    <cfRule type="containsText" dxfId="826" priority="109" operator="containsText" text="완료">
      <formula>NOT(ISERROR(SEARCH("완료",M8)))</formula>
    </cfRule>
    <cfRule type="containsText" dxfId="825" priority="110" operator="containsText" text="중단">
      <formula>NOT(ISERROR(SEARCH("중단",M8)))</formula>
    </cfRule>
  </conditionalFormatting>
  <conditionalFormatting sqref="M8:N28">
    <cfRule type="containsText" dxfId="824" priority="107" operator="containsText" text="완료">
      <formula>NOT(ISERROR(SEARCH("완료",M8)))</formula>
    </cfRule>
    <cfRule type="containsText" dxfId="823" priority="108" operator="containsText" text="중단">
      <formula>NOT(ISERROR(SEARCH("중단",M8)))</formula>
    </cfRule>
  </conditionalFormatting>
  <conditionalFormatting sqref="M8:N28">
    <cfRule type="containsText" dxfId="822" priority="106" operator="containsText" text="진행중">
      <formula>NOT(ISERROR(SEARCH("진행중",M8)))</formula>
    </cfRule>
  </conditionalFormatting>
  <conditionalFormatting sqref="Q17:Q28">
    <cfRule type="containsText" dxfId="821" priority="99" operator="containsText" text="완료">
      <formula>NOT(ISERROR(SEARCH("완료",Q17)))</formula>
    </cfRule>
    <cfRule type="containsText" dxfId="820" priority="100" operator="containsText" text="중단">
      <formula>NOT(ISERROR(SEARCH("중단",Q17)))</formula>
    </cfRule>
  </conditionalFormatting>
  <conditionalFormatting sqref="Q17:Q28">
    <cfRule type="containsText" dxfId="819" priority="97" operator="containsText" text="완료">
      <formula>NOT(ISERROR(SEARCH("완료",Q17)))</formula>
    </cfRule>
    <cfRule type="containsText" dxfId="818" priority="98" operator="containsText" text="중단">
      <formula>NOT(ISERROR(SEARCH("중단",Q17)))</formula>
    </cfRule>
  </conditionalFormatting>
  <conditionalFormatting sqref="Q17:Q28">
    <cfRule type="containsText" dxfId="817" priority="96" operator="containsText" text="진행중">
      <formula>NOT(ISERROR(SEARCH("진행중",Q17)))</formula>
    </cfRule>
  </conditionalFormatting>
  <conditionalFormatting sqref="R17:R28">
    <cfRule type="containsText" dxfId="816" priority="94" operator="containsText" text="완료">
      <formula>NOT(ISERROR(SEARCH("완료",R17)))</formula>
    </cfRule>
    <cfRule type="containsText" dxfId="815" priority="95" operator="containsText" text="중단">
      <formula>NOT(ISERROR(SEARCH("중단",R17)))</formula>
    </cfRule>
  </conditionalFormatting>
  <conditionalFormatting sqref="R17:R28">
    <cfRule type="containsText" dxfId="814" priority="92" operator="containsText" text="완료">
      <formula>NOT(ISERROR(SEARCH("완료",R17)))</formula>
    </cfRule>
    <cfRule type="containsText" dxfId="813" priority="93" operator="containsText" text="중단">
      <formula>NOT(ISERROR(SEARCH("중단",R17)))</formula>
    </cfRule>
  </conditionalFormatting>
  <conditionalFormatting sqref="R17:R28">
    <cfRule type="containsText" dxfId="812" priority="91" operator="containsText" text="진행중">
      <formula>NOT(ISERROR(SEARCH("진행중",R17)))</formula>
    </cfRule>
  </conditionalFormatting>
  <conditionalFormatting sqref="S17:S28">
    <cfRule type="containsText" dxfId="811" priority="89" operator="containsText" text="완료">
      <formula>NOT(ISERROR(SEARCH("완료",S17)))</formula>
    </cfRule>
    <cfRule type="containsText" dxfId="810" priority="90" operator="containsText" text="중단">
      <formula>NOT(ISERROR(SEARCH("중단",S17)))</formula>
    </cfRule>
  </conditionalFormatting>
  <conditionalFormatting sqref="S17:S28">
    <cfRule type="containsText" dxfId="809" priority="87" operator="containsText" text="완료">
      <formula>NOT(ISERROR(SEARCH("완료",S17)))</formula>
    </cfRule>
    <cfRule type="containsText" dxfId="808" priority="88" operator="containsText" text="중단">
      <formula>NOT(ISERROR(SEARCH("중단",S17)))</formula>
    </cfRule>
  </conditionalFormatting>
  <conditionalFormatting sqref="S17:S28">
    <cfRule type="containsText" dxfId="807" priority="86" operator="containsText" text="진행중">
      <formula>NOT(ISERROR(SEARCH("진행중",S17)))</formula>
    </cfRule>
  </conditionalFormatting>
  <conditionalFormatting sqref="T17:T28">
    <cfRule type="containsText" dxfId="806" priority="84" operator="containsText" text="완료">
      <formula>NOT(ISERROR(SEARCH("완료",T17)))</formula>
    </cfRule>
    <cfRule type="containsText" dxfId="805" priority="85" operator="containsText" text="중단">
      <formula>NOT(ISERROR(SEARCH("중단",T17)))</formula>
    </cfRule>
  </conditionalFormatting>
  <conditionalFormatting sqref="T17:T28">
    <cfRule type="containsText" dxfId="804" priority="82" operator="containsText" text="완료">
      <formula>NOT(ISERROR(SEARCH("완료",T17)))</formula>
    </cfRule>
    <cfRule type="containsText" dxfId="803" priority="83" operator="containsText" text="중단">
      <formula>NOT(ISERROR(SEARCH("중단",T17)))</formula>
    </cfRule>
  </conditionalFormatting>
  <conditionalFormatting sqref="T17:T28">
    <cfRule type="containsText" dxfId="802" priority="81" operator="containsText" text="진행중">
      <formula>NOT(ISERROR(SEARCH("진행중",T17)))</formula>
    </cfRule>
  </conditionalFormatting>
  <conditionalFormatting sqref="U16:AC28">
    <cfRule type="containsText" dxfId="801" priority="79" operator="containsText" text="완료">
      <formula>NOT(ISERROR(SEARCH("완료",U16)))</formula>
    </cfRule>
    <cfRule type="containsText" dxfId="800" priority="80" operator="containsText" text="중단">
      <formula>NOT(ISERROR(SEARCH("중단",U16)))</formula>
    </cfRule>
  </conditionalFormatting>
  <conditionalFormatting sqref="U16:AC28">
    <cfRule type="containsText" dxfId="799" priority="77" operator="containsText" text="완료">
      <formula>NOT(ISERROR(SEARCH("완료",U16)))</formula>
    </cfRule>
    <cfRule type="containsText" dxfId="798" priority="78" operator="containsText" text="중단">
      <formula>NOT(ISERROR(SEARCH("중단",U16)))</formula>
    </cfRule>
  </conditionalFormatting>
  <conditionalFormatting sqref="U16:AC28">
    <cfRule type="containsText" dxfId="797" priority="76" operator="containsText" text="진행중">
      <formula>NOT(ISERROR(SEARCH("진행중",U16)))</formula>
    </cfRule>
  </conditionalFormatting>
  <conditionalFormatting sqref="AD16:AD28">
    <cfRule type="containsText" dxfId="796" priority="74" operator="containsText" text="완료">
      <formula>NOT(ISERROR(SEARCH("완료",AD16)))</formula>
    </cfRule>
    <cfRule type="containsText" dxfId="795" priority="75" operator="containsText" text="중단">
      <formula>NOT(ISERROR(SEARCH("중단",AD16)))</formula>
    </cfRule>
  </conditionalFormatting>
  <conditionalFormatting sqref="AD16:AD28">
    <cfRule type="containsText" dxfId="794" priority="72" operator="containsText" text="완료">
      <formula>NOT(ISERROR(SEARCH("완료",AD16)))</formula>
    </cfRule>
    <cfRule type="containsText" dxfId="793" priority="73" operator="containsText" text="중단">
      <formula>NOT(ISERROR(SEARCH("중단",AD16)))</formula>
    </cfRule>
  </conditionalFormatting>
  <conditionalFormatting sqref="AD16:AD28">
    <cfRule type="containsText" dxfId="792" priority="71" operator="containsText" text="진행중">
      <formula>NOT(ISERROR(SEARCH("진행중",AD16)))</formula>
    </cfRule>
  </conditionalFormatting>
  <conditionalFormatting sqref="AE16:AE28">
    <cfRule type="containsText" dxfId="791" priority="69" operator="containsText" text="완료">
      <formula>NOT(ISERROR(SEARCH("완료",AE16)))</formula>
    </cfRule>
    <cfRule type="containsText" dxfId="790" priority="70" operator="containsText" text="중단">
      <formula>NOT(ISERROR(SEARCH("중단",AE16)))</formula>
    </cfRule>
  </conditionalFormatting>
  <conditionalFormatting sqref="AE16:AE28">
    <cfRule type="containsText" dxfId="789" priority="67" operator="containsText" text="완료">
      <formula>NOT(ISERROR(SEARCH("완료",AE16)))</formula>
    </cfRule>
    <cfRule type="containsText" dxfId="788" priority="68" operator="containsText" text="중단">
      <formula>NOT(ISERROR(SEARCH("중단",AE16)))</formula>
    </cfRule>
  </conditionalFormatting>
  <conditionalFormatting sqref="AE16:AE28">
    <cfRule type="containsText" dxfId="787" priority="66" operator="containsText" text="진행중">
      <formula>NOT(ISERROR(SEARCH("진행중",AE16)))</formula>
    </cfRule>
  </conditionalFormatting>
  <conditionalFormatting sqref="H7:H9 F7:F9">
    <cfRule type="containsText" dxfId="786" priority="64" operator="containsText" text="신품">
      <formula>NOT(ISERROR(SEARCH("신품",F7)))</formula>
    </cfRule>
    <cfRule type="containsText" dxfId="785" priority="65" operator="containsText" text="중고">
      <formula>NOT(ISERROR(SEARCH("중고",F7)))</formula>
    </cfRule>
  </conditionalFormatting>
  <conditionalFormatting sqref="I7:I9">
    <cfRule type="containsText" dxfId="784" priority="62" operator="containsText" text="신품">
      <formula>NOT(ISERROR(SEARCH("신품",I7)))</formula>
    </cfRule>
    <cfRule type="containsText" dxfId="783" priority="63" operator="containsText" text="중고">
      <formula>NOT(ISERROR(SEARCH("중고",I7)))</formula>
    </cfRule>
  </conditionalFormatting>
  <conditionalFormatting sqref="H10 F10">
    <cfRule type="containsText" dxfId="782" priority="60" operator="containsText" text="신품">
      <formula>NOT(ISERROR(SEARCH("신품",F10)))</formula>
    </cfRule>
    <cfRule type="containsText" dxfId="781" priority="61" operator="containsText" text="중고">
      <formula>NOT(ISERROR(SEARCH("중고",F10)))</formula>
    </cfRule>
  </conditionalFormatting>
  <conditionalFormatting sqref="I10">
    <cfRule type="containsText" dxfId="780" priority="58" operator="containsText" text="신품">
      <formula>NOT(ISERROR(SEARCH("신품",I10)))</formula>
    </cfRule>
    <cfRule type="containsText" dxfId="779" priority="59" operator="containsText" text="중고">
      <formula>NOT(ISERROR(SEARCH("중고",I10)))</formula>
    </cfRule>
  </conditionalFormatting>
  <conditionalFormatting sqref="H11">
    <cfRule type="containsText" dxfId="778" priority="56" operator="containsText" text="신품">
      <formula>NOT(ISERROR(SEARCH("신품",H11)))</formula>
    </cfRule>
    <cfRule type="containsText" dxfId="777" priority="57" operator="containsText" text="중고">
      <formula>NOT(ISERROR(SEARCH("중고",H11)))</formula>
    </cfRule>
  </conditionalFormatting>
  <conditionalFormatting sqref="H12:H15">
    <cfRule type="containsText" dxfId="776" priority="54" operator="containsText" text="신품">
      <formula>NOT(ISERROR(SEARCH("신품",H12)))</formula>
    </cfRule>
    <cfRule type="containsText" dxfId="775" priority="55" operator="containsText" text="중고">
      <formula>NOT(ISERROR(SEARCH("중고",H12)))</formula>
    </cfRule>
  </conditionalFormatting>
  <conditionalFormatting sqref="F12:F28">
    <cfRule type="containsText" dxfId="774" priority="52" operator="containsText" text="완료">
      <formula>NOT(ISERROR(SEARCH("완료",F12)))</formula>
    </cfRule>
    <cfRule type="containsText" dxfId="773" priority="53" operator="containsText" text="중단">
      <formula>NOT(ISERROR(SEARCH("중단",F12)))</formula>
    </cfRule>
  </conditionalFormatting>
  <conditionalFormatting sqref="F12:F28">
    <cfRule type="containsText" dxfId="772" priority="50" operator="containsText" text="완료">
      <formula>NOT(ISERROR(SEARCH("완료",F12)))</formula>
    </cfRule>
    <cfRule type="containsText" dxfId="771" priority="51" operator="containsText" text="중단">
      <formula>NOT(ISERROR(SEARCH("중단",F12)))</formula>
    </cfRule>
  </conditionalFormatting>
  <conditionalFormatting sqref="F12:F28">
    <cfRule type="containsText" dxfId="770" priority="49" operator="containsText" text="진행중">
      <formula>NOT(ISERROR(SEARCH("진행중",F12)))</formula>
    </cfRule>
  </conditionalFormatting>
  <conditionalFormatting sqref="F11">
    <cfRule type="containsText" dxfId="769" priority="47" operator="containsText" text="완료">
      <formula>NOT(ISERROR(SEARCH("완료",F11)))</formula>
    </cfRule>
    <cfRule type="containsText" dxfId="768" priority="48" operator="containsText" text="중단">
      <formula>NOT(ISERROR(SEARCH("중단",F11)))</formula>
    </cfRule>
  </conditionalFormatting>
  <conditionalFormatting sqref="F11">
    <cfRule type="containsText" dxfId="767" priority="45" operator="containsText" text="완료">
      <formula>NOT(ISERROR(SEARCH("완료",F11)))</formula>
    </cfRule>
    <cfRule type="containsText" dxfId="766" priority="46" operator="containsText" text="중단">
      <formula>NOT(ISERROR(SEARCH("중단",F11)))</formula>
    </cfRule>
  </conditionalFormatting>
  <conditionalFormatting sqref="F11">
    <cfRule type="containsText" dxfId="765" priority="44" operator="containsText" text="진행중">
      <formula>NOT(ISERROR(SEARCH("진행중",F11)))</formula>
    </cfRule>
  </conditionalFormatting>
  <conditionalFormatting sqref="I12:I28">
    <cfRule type="containsText" dxfId="764" priority="42" operator="containsText" text="완료">
      <formula>NOT(ISERROR(SEARCH("완료",I12)))</formula>
    </cfRule>
    <cfRule type="containsText" dxfId="763" priority="43" operator="containsText" text="중단">
      <formula>NOT(ISERROR(SEARCH("중단",I12)))</formula>
    </cfRule>
  </conditionalFormatting>
  <conditionalFormatting sqref="I12:I28">
    <cfRule type="containsText" dxfId="762" priority="40" operator="containsText" text="완료">
      <formula>NOT(ISERROR(SEARCH("완료",I12)))</formula>
    </cfRule>
    <cfRule type="containsText" dxfId="761" priority="41" operator="containsText" text="중단">
      <formula>NOT(ISERROR(SEARCH("중단",I12)))</formula>
    </cfRule>
  </conditionalFormatting>
  <conditionalFormatting sqref="I12:I28">
    <cfRule type="containsText" dxfId="760" priority="39" operator="containsText" text="진행중">
      <formula>NOT(ISERROR(SEARCH("진행중",I12)))</formula>
    </cfRule>
  </conditionalFormatting>
  <conditionalFormatting sqref="I11">
    <cfRule type="containsText" dxfId="759" priority="37" operator="containsText" text="완료">
      <formula>NOT(ISERROR(SEARCH("완료",I11)))</formula>
    </cfRule>
    <cfRule type="containsText" dxfId="758" priority="38" operator="containsText" text="중단">
      <formula>NOT(ISERROR(SEARCH("중단",I11)))</formula>
    </cfRule>
  </conditionalFormatting>
  <conditionalFormatting sqref="I11">
    <cfRule type="containsText" dxfId="757" priority="35" operator="containsText" text="완료">
      <formula>NOT(ISERROR(SEARCH("완료",I11)))</formula>
    </cfRule>
    <cfRule type="containsText" dxfId="756" priority="36" operator="containsText" text="중단">
      <formula>NOT(ISERROR(SEARCH("중단",I11)))</formula>
    </cfRule>
  </conditionalFormatting>
  <conditionalFormatting sqref="I11">
    <cfRule type="containsText" dxfId="755" priority="34" operator="containsText" text="진행중">
      <formula>NOT(ISERROR(SEARCH("진행중",I11)))</formula>
    </cfRule>
  </conditionalFormatting>
  <conditionalFormatting sqref="D8:D19">
    <cfRule type="containsText" dxfId="754" priority="32" operator="containsText" text="완료">
      <formula>NOT(ISERROR(SEARCH("완료",D8)))</formula>
    </cfRule>
    <cfRule type="containsText" dxfId="753" priority="33" operator="containsText" text="중단">
      <formula>NOT(ISERROR(SEARCH("중단",D8)))</formula>
    </cfRule>
  </conditionalFormatting>
  <conditionalFormatting sqref="D11">
    <cfRule type="containsText" dxfId="752" priority="30" operator="containsText" text="완료">
      <formula>NOT(ISERROR(SEARCH("완료",D11)))</formula>
    </cfRule>
    <cfRule type="containsText" dxfId="751" priority="31" operator="containsText" text="중단">
      <formula>NOT(ISERROR(SEARCH("중단",D11)))</formula>
    </cfRule>
  </conditionalFormatting>
  <conditionalFormatting sqref="D12:D19">
    <cfRule type="containsText" dxfId="750" priority="28" operator="containsText" text="완료">
      <formula>NOT(ISERROR(SEARCH("완료",D12)))</formula>
    </cfRule>
    <cfRule type="containsText" dxfId="749" priority="29" operator="containsText" text="중단">
      <formula>NOT(ISERROR(SEARCH("중단",D12)))</formula>
    </cfRule>
  </conditionalFormatting>
  <conditionalFormatting sqref="D13:D19">
    <cfRule type="containsText" dxfId="748" priority="26" operator="containsText" text="완료">
      <formula>NOT(ISERROR(SEARCH("완료",D13)))</formula>
    </cfRule>
    <cfRule type="containsText" dxfId="747" priority="27" operator="containsText" text="중단">
      <formula>NOT(ISERROR(SEARCH("중단",D13)))</formula>
    </cfRule>
  </conditionalFormatting>
  <conditionalFormatting sqref="D8:D19">
    <cfRule type="containsText" dxfId="746" priority="25" operator="containsText" text="진행중">
      <formula>NOT(ISERROR(SEARCH("진행중",D8)))</formula>
    </cfRule>
  </conditionalFormatting>
  <conditionalFormatting sqref="D8:D28">
    <cfRule type="containsText" dxfId="745" priority="23" operator="containsText" text="완료">
      <formula>NOT(ISERROR(SEARCH("완료",D8)))</formula>
    </cfRule>
    <cfRule type="containsText" dxfId="744" priority="24" operator="containsText" text="중단">
      <formula>NOT(ISERROR(SEARCH("중단",D8)))</formula>
    </cfRule>
  </conditionalFormatting>
  <conditionalFormatting sqref="D8:D28">
    <cfRule type="containsText" dxfId="743" priority="21" operator="containsText" text="완료">
      <formula>NOT(ISERROR(SEARCH("완료",D8)))</formula>
    </cfRule>
    <cfRule type="containsText" dxfId="742" priority="22" operator="containsText" text="중단">
      <formula>NOT(ISERROR(SEARCH("중단",D8)))</formula>
    </cfRule>
  </conditionalFormatting>
  <conditionalFormatting sqref="D8:D28">
    <cfRule type="containsText" dxfId="741" priority="20" operator="containsText" text="진행중">
      <formula>NOT(ISERROR(SEARCH("진행중",D8)))</formula>
    </cfRule>
  </conditionalFormatting>
  <conditionalFormatting sqref="D7">
    <cfRule type="containsText" dxfId="740" priority="18" operator="containsText" text="완료">
      <formula>NOT(ISERROR(SEARCH("완료",D7)))</formula>
    </cfRule>
    <cfRule type="containsText" dxfId="739" priority="19" operator="containsText" text="중단">
      <formula>NOT(ISERROR(SEARCH("중단",D7)))</formula>
    </cfRule>
  </conditionalFormatting>
  <conditionalFormatting sqref="D7">
    <cfRule type="containsText" dxfId="738" priority="16" operator="containsText" text="완료">
      <formula>NOT(ISERROR(SEARCH("완료",D7)))</formula>
    </cfRule>
    <cfRule type="containsText" dxfId="737" priority="17" operator="containsText" text="중단">
      <formula>NOT(ISERROR(SEARCH("중단",D7)))</formula>
    </cfRule>
  </conditionalFormatting>
  <conditionalFormatting sqref="D7">
    <cfRule type="containsText" dxfId="736" priority="15" operator="containsText" text="진행중">
      <formula>NOT(ISERROR(SEARCH("진행중",D7)))</formula>
    </cfRule>
  </conditionalFormatting>
  <conditionalFormatting sqref="G16:G28">
    <cfRule type="containsText" dxfId="735" priority="13" operator="containsText" text="완료">
      <formula>NOT(ISERROR(SEARCH("완료",G16)))</formula>
    </cfRule>
    <cfRule type="containsText" dxfId="734" priority="14" operator="containsText" text="중단">
      <formula>NOT(ISERROR(SEARCH("중단",G16)))</formula>
    </cfRule>
  </conditionalFormatting>
  <conditionalFormatting sqref="G16:G28">
    <cfRule type="containsText" dxfId="733" priority="11" operator="containsText" text="완료">
      <formula>NOT(ISERROR(SEARCH("완료",G16)))</formula>
    </cfRule>
    <cfRule type="containsText" dxfId="732" priority="12" operator="containsText" text="중단">
      <formula>NOT(ISERROR(SEARCH("중단",G16)))</formula>
    </cfRule>
  </conditionalFormatting>
  <conditionalFormatting sqref="G16:G28">
    <cfRule type="containsText" dxfId="731" priority="10" operator="containsText" text="진행중">
      <formula>NOT(ISERROR(SEARCH("진행중",G16)))</formula>
    </cfRule>
  </conditionalFormatting>
  <conditionalFormatting sqref="H16:H28">
    <cfRule type="containsText" dxfId="730" priority="8" operator="containsText" text="완료">
      <formula>NOT(ISERROR(SEARCH("완료",H16)))</formula>
    </cfRule>
    <cfRule type="containsText" dxfId="729" priority="9" operator="containsText" text="중단">
      <formula>NOT(ISERROR(SEARCH("중단",H16)))</formula>
    </cfRule>
  </conditionalFormatting>
  <conditionalFormatting sqref="H16:H28">
    <cfRule type="containsText" dxfId="728" priority="6" operator="containsText" text="완료">
      <formula>NOT(ISERROR(SEARCH("완료",H16)))</formula>
    </cfRule>
    <cfRule type="containsText" dxfId="727" priority="7" operator="containsText" text="중단">
      <formula>NOT(ISERROR(SEARCH("중단",H16)))</formula>
    </cfRule>
  </conditionalFormatting>
  <conditionalFormatting sqref="H16:H28">
    <cfRule type="containsText" dxfId="726" priority="5" operator="containsText" text="진행중">
      <formula>NOT(ISERROR(SEARCH("진행중",H16)))</formula>
    </cfRule>
  </conditionalFormatting>
  <conditionalFormatting sqref="A1:AG15 A29:AG29 A16:P16 U16:AG16 A17:D28 F17:AG28">
    <cfRule type="containsText" dxfId="725" priority="4" operator="containsText" text="누락">
      <formula>NOT(ISERROR(SEARCH("누락",A1)))</formula>
    </cfRule>
  </conditionalFormatting>
  <conditionalFormatting sqref="F7:I28">
    <cfRule type="cellIs" dxfId="51" priority="3" operator="greaterThanOrEqual">
      <formula>15</formula>
    </cfRule>
  </conditionalFormatting>
  <conditionalFormatting sqref="Q16:T16">
    <cfRule type="containsText" dxfId="44" priority="2" operator="containsText" text="누락">
      <formula>NOT(ISERROR(SEARCH("누락",Q16)))</formula>
    </cfRule>
  </conditionalFormatting>
  <conditionalFormatting sqref="E17:E28">
    <cfRule type="containsText" dxfId="13" priority="1" operator="containsText" text="누락">
      <formula>NOT(ISERROR(SEARCH("누락",E17)))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D3F4-8453-4096-BE49-B4B16DE1FB81}">
  <sheetPr>
    <tabColor theme="0" tint="-0.14999847407452621"/>
  </sheetPr>
  <dimension ref="A1:AP29"/>
  <sheetViews>
    <sheetView zoomScale="55" zoomScaleNormal="55" workbookViewId="0">
      <selection activeCell="H16" sqref="H16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72" t="s">
        <v>18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</row>
    <row r="2" spans="1:42" x14ac:dyDescent="0.45">
      <c r="A2" s="60" t="s">
        <v>10</v>
      </c>
      <c r="B2" s="61" t="s">
        <v>90</v>
      </c>
      <c r="C2" s="62"/>
      <c r="D2" s="62"/>
      <c r="E2" s="62"/>
      <c r="F2" s="60" t="s">
        <v>109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8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92</v>
      </c>
      <c r="L5" s="65"/>
      <c r="M5" s="65"/>
      <c r="N5" s="66"/>
      <c r="O5" s="42" t="s">
        <v>91</v>
      </c>
      <c r="P5" s="10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71" t="s">
        <v>120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9" t="s">
        <v>25</v>
      </c>
      <c r="Q6" s="9" t="s">
        <v>4</v>
      </c>
      <c r="R6" s="9" t="s">
        <v>12</v>
      </c>
      <c r="S6" s="9" t="s">
        <v>13</v>
      </c>
      <c r="T6" s="9" t="s">
        <v>5</v>
      </c>
      <c r="U6" s="9" t="s">
        <v>4</v>
      </c>
      <c r="V6" s="9" t="s">
        <v>12</v>
      </c>
      <c r="W6" s="9" t="s">
        <v>13</v>
      </c>
      <c r="X6" s="9" t="s">
        <v>5</v>
      </c>
      <c r="Y6" s="9" t="s">
        <v>4</v>
      </c>
      <c r="Z6" s="9" t="s">
        <v>12</v>
      </c>
      <c r="AA6" s="9" t="s">
        <v>13</v>
      </c>
      <c r="AB6" s="9" t="s">
        <v>5</v>
      </c>
      <c r="AC6" s="9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28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19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92" t="str">
        <f>IFERROR(IF(MOD($B7,5)=0, "누락 ","-" ),"-")</f>
        <v>-</v>
      </c>
      <c r="R7" s="92" t="str">
        <f>IFERROR(IF(MOD($B7,5)=0, "누락 ","-" ),"-")</f>
        <v>-</v>
      </c>
      <c r="S7" s="92" t="str">
        <f>IFERROR(IF(MOD($B7,5)=0, "누락 ","-" ),"-")</f>
        <v>-</v>
      </c>
      <c r="T7" s="92" t="str">
        <f>IFERROR(IF(MOD($B7,5)=0, "누락 ","-" ),"-")</f>
        <v>-</v>
      </c>
      <c r="U7" s="92" t="str">
        <f>IFERROR(IF(MOD($B7,5)=0, "누락 ","-" ),"-")</f>
        <v>-</v>
      </c>
      <c r="V7" s="92" t="str">
        <f>IFERROR(IF(MOD($B7,5)=0, "누락 ","-" ),"-")</f>
        <v>-</v>
      </c>
      <c r="W7" s="92" t="str">
        <f>IFERROR(IF(MOD($B7,5)=0, "누락 ","-" ),"-")</f>
        <v>-</v>
      </c>
      <c r="X7" s="92" t="str">
        <f>IFERROR(IF(MOD($B7,5)=0, "누락 ","-" ),"-")</f>
        <v>-</v>
      </c>
      <c r="Y7" s="92" t="str">
        <f>IFERROR(IF(MOD($B7,5)=0, "누락 ","-" ),"-")</f>
        <v>-</v>
      </c>
      <c r="Z7" s="92" t="str">
        <f>IFERROR(IF(MOD($B7,5)=0, "누락 ","-" ),"-")</f>
        <v>-</v>
      </c>
      <c r="AA7" s="92" t="str">
        <f>IFERROR(IF(MOD($B7,5)=0, "누락 ","-" ),"-")</f>
        <v>-</v>
      </c>
      <c r="AB7" s="92" t="str">
        <f>IFERROR(IF(MOD($B7,5)=0, "누락 ","-" ),"-")</f>
        <v>-</v>
      </c>
      <c r="AC7" s="92" t="str">
        <f>IFERROR(IF(MOD($B7,5)=0, "누락 ","-" ),"-")</f>
        <v>-</v>
      </c>
      <c r="AD7" s="92" t="str">
        <f t="shared" ref="AD7:AD21" si="2">IF(MOD($B7,40)=0, "필터세척 :"&amp; CHAR(10) &amp; "FLOW   (T1, T4 : / T2, T3 : / T4 : )","-" )</f>
        <v>-</v>
      </c>
      <c r="AE7" s="92" t="str">
        <f>IF($B7="","-",
  IFERROR(
    IF(AND($B7&lt;&gt;0, MOD($B7,160)=0),
       "TENSION (XL : / ZL : / XR : / ZR : / Y : )" &amp; CHAR(10) &amp; "필터교체",
       "-"
    ),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49" t="s">
        <v>40</v>
      </c>
      <c r="G8" s="49" t="str">
        <f>IF(NOT(LEN($I8)=0),G7,"")</f>
        <v>-</v>
      </c>
      <c r="H8" s="49" t="str">
        <f>IF(NOT(LEN($I8)=0),H7,"")</f>
        <v>-</v>
      </c>
      <c r="I8" s="49" t="s">
        <v>40</v>
      </c>
      <c r="J8" s="1"/>
      <c r="K8" s="49" t="str">
        <f t="shared" ref="K8:K17" si="3">IF(NOT(LEN($I8)=0),K7,"")</f>
        <v>VITA</v>
      </c>
      <c r="L8" s="49" t="str">
        <f t="shared" ref="L8:L17" si="4">IF(NOT(LEN($I8)=0),L7,"")</f>
        <v>MARK II</v>
      </c>
      <c r="M8" s="49">
        <f t="shared" ref="M8:N8" si="5">IF(NOT(LEN($I8)=0),M7,"")</f>
        <v>160</v>
      </c>
      <c r="N8" s="49" t="str">
        <f t="shared" si="5"/>
        <v>-</v>
      </c>
      <c r="O8" s="24">
        <f>IF(LEN(A8)&gt;0, 종합!$C$27, "")</f>
        <v>2.2599999999999998</v>
      </c>
      <c r="P8" s="1" t="s">
        <v>16</v>
      </c>
      <c r="Q8" s="92" t="str">
        <f>IFERROR(IF(MOD($B8,5)=0, "누락 ","-" ),"-")</f>
        <v>-</v>
      </c>
      <c r="R8" s="92" t="str">
        <f>IFERROR(IF(MOD($B8,5)=0, "누락 ","-" ),"-")</f>
        <v>-</v>
      </c>
      <c r="S8" s="92" t="str">
        <f>IFERROR(IF(MOD($B8,5)=0, "누락 ","-" ),"-")</f>
        <v>-</v>
      </c>
      <c r="T8" s="92" t="str">
        <f>IFERROR(IF(MOD($B8,5)=0, "누락 ","-" ),"-")</f>
        <v>-</v>
      </c>
      <c r="U8" s="92" t="str">
        <f>IFERROR(IF(MOD($B8,5)=0, "누락 ","-" ),"-")</f>
        <v>-</v>
      </c>
      <c r="V8" s="92" t="str">
        <f>IFERROR(IF(MOD($B8,5)=0, "누락 ","-" ),"-")</f>
        <v>-</v>
      </c>
      <c r="W8" s="92" t="str">
        <f>IFERROR(IF(MOD($B8,5)=0, "누락 ","-" ),"-")</f>
        <v>-</v>
      </c>
      <c r="X8" s="92" t="str">
        <f>IFERROR(IF(MOD($B8,5)=0, "누락 ","-" ),"-")</f>
        <v>-</v>
      </c>
      <c r="Y8" s="92" t="str">
        <f>IFERROR(IF(MOD($B8,5)=0, "누락 ","-" ),"-")</f>
        <v>-</v>
      </c>
      <c r="Z8" s="92" t="str">
        <f>IFERROR(IF(MOD($B8,5)=0, "누락 ","-" ),"-")</f>
        <v>-</v>
      </c>
      <c r="AA8" s="92" t="str">
        <f>IFERROR(IF(MOD($B8,5)=0, "누락 ","-" ),"-")</f>
        <v>-</v>
      </c>
      <c r="AB8" s="92" t="str">
        <f>IFERROR(IF(MOD($B8,5)=0, "누락 ","-" ),"-")</f>
        <v>-</v>
      </c>
      <c r="AC8" s="92" t="str">
        <f>IFERROR(IF(MOD($B8,5)=0, "누락 ","-" ),"-")</f>
        <v>-</v>
      </c>
      <c r="AD8" s="92" t="str">
        <f t="shared" si="2"/>
        <v>-</v>
      </c>
      <c r="AE8" s="92" t="str">
        <f t="shared" ref="AE8:AG21" si="6">IF($B8="","-",
  IFERROR(
    IF(AND($B8&lt;&gt;0, MOD($B8,160)=0),
       "TENSION (XL : / ZL : / XR : / ZR : / Y : )" &amp; CHAR(10) &amp; "필터교체",
       "-"
    ),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 t="shared" ref="B9:B21" si="7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49" t="s">
        <v>40</v>
      </c>
      <c r="G9" s="49" t="str">
        <f t="shared" ref="G9:G19" si="8">IF(NOT(LEN($I9)=0),G8,"")</f>
        <v>-</v>
      </c>
      <c r="H9" s="49" t="str">
        <f t="shared" ref="H9:H19" si="9">IF(NOT(LEN($I9)=0),H8,"")</f>
        <v>-</v>
      </c>
      <c r="I9" s="49" t="s">
        <v>40</v>
      </c>
      <c r="J9" s="1"/>
      <c r="K9" s="49" t="str">
        <f t="shared" si="3"/>
        <v>VITA</v>
      </c>
      <c r="L9" s="49" t="str">
        <f t="shared" si="4"/>
        <v>MARK II</v>
      </c>
      <c r="M9" s="49">
        <f t="shared" ref="M9:M18" si="10">IF(NOT(LEN($I9)=0),M8,"")</f>
        <v>160</v>
      </c>
      <c r="N9" s="49" t="str">
        <f t="shared" ref="N9:N18" si="11">IF(NOT(LEN($I9)=0),N8,"")</f>
        <v>-</v>
      </c>
      <c r="O9" s="24">
        <f>IF(LEN(A9)&gt;0, 종합!$C$27, "")</f>
        <v>2.2599999999999998</v>
      </c>
      <c r="P9" s="1" t="s">
        <v>16</v>
      </c>
      <c r="Q9" s="92" t="str">
        <f>IFERROR(IF(MOD($B9,5)=0, "누락 ","-" ),"-")</f>
        <v>-</v>
      </c>
      <c r="R9" s="92" t="str">
        <f>IFERROR(IF(MOD($B9,5)=0, "누락 ","-" ),"-")</f>
        <v>-</v>
      </c>
      <c r="S9" s="92" t="str">
        <f>IFERROR(IF(MOD($B9,5)=0, "누락 ","-" ),"-")</f>
        <v>-</v>
      </c>
      <c r="T9" s="92" t="str">
        <f>IFERROR(IF(MOD($B9,5)=0, "누락 ","-" ),"-")</f>
        <v>-</v>
      </c>
      <c r="U9" s="92" t="str">
        <f>IFERROR(IF(MOD($B9,5)=0, "누락 ","-" ),"-")</f>
        <v>-</v>
      </c>
      <c r="V9" s="92" t="str">
        <f>IFERROR(IF(MOD($B9,5)=0, "누락 ","-" ),"-")</f>
        <v>-</v>
      </c>
      <c r="W9" s="92" t="str">
        <f>IFERROR(IF(MOD($B9,5)=0, "누락 ","-" ),"-")</f>
        <v>-</v>
      </c>
      <c r="X9" s="92" t="str">
        <f>IFERROR(IF(MOD($B9,5)=0, "누락 ","-" ),"-")</f>
        <v>-</v>
      </c>
      <c r="Y9" s="92" t="str">
        <f>IFERROR(IF(MOD($B9,5)=0, "누락 ","-" ),"-")</f>
        <v>-</v>
      </c>
      <c r="Z9" s="92" t="str">
        <f>IFERROR(IF(MOD($B9,5)=0, "누락 ","-" ),"-")</f>
        <v>-</v>
      </c>
      <c r="AA9" s="92" t="str">
        <f>IFERROR(IF(MOD($B9,5)=0, "누락 ","-" ),"-")</f>
        <v>-</v>
      </c>
      <c r="AB9" s="92" t="str">
        <f>IFERROR(IF(MOD($B9,5)=0, "누락 ","-" ),"-")</f>
        <v>-</v>
      </c>
      <c r="AC9" s="92" t="str">
        <f>IFERROR(IF(MOD($B9,5)=0, "누락 ","-" ),"-")</f>
        <v>-</v>
      </c>
      <c r="AD9" s="92" t="str">
        <f t="shared" si="2"/>
        <v>-</v>
      </c>
      <c r="AE9" s="92" t="str">
        <f t="shared" si="6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 t="shared" si="7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tr">
        <f t="shared" si="8"/>
        <v>-</v>
      </c>
      <c r="H10" s="49" t="str">
        <f t="shared" si="9"/>
        <v>-</v>
      </c>
      <c r="I10" s="49" t="s">
        <v>40</v>
      </c>
      <c r="J10" s="1"/>
      <c r="K10" s="49" t="str">
        <f t="shared" si="3"/>
        <v>VITA</v>
      </c>
      <c r="L10" s="49" t="str">
        <f t="shared" si="4"/>
        <v>MARK II</v>
      </c>
      <c r="M10" s="49">
        <f t="shared" si="10"/>
        <v>160</v>
      </c>
      <c r="N10" s="49" t="str">
        <f t="shared" si="11"/>
        <v>-</v>
      </c>
      <c r="O10" s="24">
        <f>IF(LEN(A10)&gt;0, 종합!$C$27, "")</f>
        <v>2.2599999999999998</v>
      </c>
      <c r="P10" s="1" t="s">
        <v>16</v>
      </c>
      <c r="Q10" s="92" t="str">
        <f>IFERROR(IF(MOD($B10,5)=0, "누락 ","-" ),"-")</f>
        <v>-</v>
      </c>
      <c r="R10" s="92" t="str">
        <f>IFERROR(IF(MOD($B10,5)=0, "누락 ","-" ),"-")</f>
        <v>-</v>
      </c>
      <c r="S10" s="92" t="str">
        <f>IFERROR(IF(MOD($B10,5)=0, "누락 ","-" ),"-")</f>
        <v>-</v>
      </c>
      <c r="T10" s="92" t="str">
        <f>IFERROR(IF(MOD($B10,5)=0, "누락 ","-" ),"-")</f>
        <v>-</v>
      </c>
      <c r="U10" s="92" t="str">
        <f>IFERROR(IF(MOD($B10,5)=0, "누락 ","-" ),"-")</f>
        <v>-</v>
      </c>
      <c r="V10" s="92" t="str">
        <f>IFERROR(IF(MOD($B10,5)=0, "누락 ","-" ),"-")</f>
        <v>-</v>
      </c>
      <c r="W10" s="92" t="str">
        <f>IFERROR(IF(MOD($B10,5)=0, "누락 ","-" ),"-")</f>
        <v>-</v>
      </c>
      <c r="X10" s="92" t="str">
        <f>IFERROR(IF(MOD($B10,5)=0, "누락 ","-" ),"-")</f>
        <v>-</v>
      </c>
      <c r="Y10" s="92" t="str">
        <f>IFERROR(IF(MOD($B10,5)=0, "누락 ","-" ),"-")</f>
        <v>-</v>
      </c>
      <c r="Z10" s="92" t="str">
        <f>IFERROR(IF(MOD($B10,5)=0, "누락 ","-" ),"-")</f>
        <v>-</v>
      </c>
      <c r="AA10" s="92" t="str">
        <f>IFERROR(IF(MOD($B10,5)=0, "누락 ","-" ),"-")</f>
        <v>-</v>
      </c>
      <c r="AB10" s="92" t="str">
        <f>IFERROR(IF(MOD($B10,5)=0, "누락 ","-" ),"-")</f>
        <v>-</v>
      </c>
      <c r="AC10" s="92" t="str">
        <f>IFERROR(IF(MOD($B10,5)=0, "누락 ","-" ),"-")</f>
        <v>-</v>
      </c>
      <c r="AD10" s="92" t="str">
        <f t="shared" si="2"/>
        <v>-</v>
      </c>
      <c r="AE10" s="92" t="str">
        <f t="shared" si="6"/>
        <v>-</v>
      </c>
      <c r="AF10" s="1" t="s">
        <v>16</v>
      </c>
      <c r="AG10" s="1" t="s">
        <v>16</v>
      </c>
    </row>
    <row r="11" spans="1:42" x14ac:dyDescent="0.45">
      <c r="A11" s="3">
        <v>45971</v>
      </c>
      <c r="B11" s="24">
        <f t="shared" si="7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49" t="s">
        <v>40</v>
      </c>
      <c r="G11" s="49" t="str">
        <f t="shared" si="8"/>
        <v>-</v>
      </c>
      <c r="H11" s="49" t="str">
        <f t="shared" si="9"/>
        <v>-</v>
      </c>
      <c r="I11" s="49" t="s">
        <v>40</v>
      </c>
      <c r="J11" s="1"/>
      <c r="K11" s="49" t="str">
        <f t="shared" si="3"/>
        <v>VITA</v>
      </c>
      <c r="L11" s="49" t="str">
        <f t="shared" si="4"/>
        <v>MARK II</v>
      </c>
      <c r="M11" s="49">
        <f t="shared" si="10"/>
        <v>160</v>
      </c>
      <c r="N11" s="49" t="str">
        <f t="shared" si="11"/>
        <v>-</v>
      </c>
      <c r="O11" s="24">
        <f>IF(LEN(A11)&gt;0, 종합!$C$27, "")</f>
        <v>2.2599999999999998</v>
      </c>
      <c r="P11" s="1" t="s">
        <v>16</v>
      </c>
      <c r="Q11" s="92" t="s">
        <v>122</v>
      </c>
      <c r="R11" s="92" t="s">
        <v>122</v>
      </c>
      <c r="S11" s="92" t="s">
        <v>122</v>
      </c>
      <c r="T11" s="92" t="s">
        <v>122</v>
      </c>
      <c r="U11" s="92" t="s">
        <v>74</v>
      </c>
      <c r="V11" s="92" t="s">
        <v>75</v>
      </c>
      <c r="W11" s="92" t="s">
        <v>76</v>
      </c>
      <c r="X11" s="92" t="s">
        <v>77</v>
      </c>
      <c r="Y11" s="92" t="s">
        <v>78</v>
      </c>
      <c r="Z11" s="92" t="s">
        <v>79</v>
      </c>
      <c r="AA11" s="92" t="s">
        <v>80</v>
      </c>
      <c r="AB11" s="92" t="s">
        <v>81</v>
      </c>
      <c r="AC11" s="92" t="s">
        <v>122</v>
      </c>
      <c r="AD11" s="92" t="str">
        <f t="shared" si="2"/>
        <v>-</v>
      </c>
      <c r="AE11" s="92" t="str">
        <f t="shared" si="6"/>
        <v>-</v>
      </c>
      <c r="AF11" s="1" t="s">
        <v>16</v>
      </c>
      <c r="AG11" s="1" t="s">
        <v>16</v>
      </c>
    </row>
    <row r="12" spans="1:42" x14ac:dyDescent="0.45">
      <c r="A12" s="3">
        <v>45971</v>
      </c>
      <c r="B12" s="24">
        <f t="shared" si="7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49" t="s">
        <v>40</v>
      </c>
      <c r="G12" s="49" t="str">
        <f t="shared" si="8"/>
        <v>-</v>
      </c>
      <c r="H12" s="49" t="str">
        <f t="shared" si="9"/>
        <v>-</v>
      </c>
      <c r="I12" s="49" t="s">
        <v>40</v>
      </c>
      <c r="J12" s="1"/>
      <c r="K12" s="49" t="str">
        <f t="shared" si="3"/>
        <v>VITA</v>
      </c>
      <c r="L12" s="49" t="str">
        <f t="shared" si="4"/>
        <v>MARK II</v>
      </c>
      <c r="M12" s="49">
        <f t="shared" si="10"/>
        <v>160</v>
      </c>
      <c r="N12" s="49" t="str">
        <f t="shared" si="11"/>
        <v>-</v>
      </c>
      <c r="O12" s="24">
        <f>IF(LEN(A12)&gt;0, 종합!$C$27, "")</f>
        <v>2.2599999999999998</v>
      </c>
      <c r="P12" s="1" t="s">
        <v>16</v>
      </c>
      <c r="Q12" s="92" t="str">
        <f>IFERROR(IF(MOD($B12,5)=0, "누락 ","-" ),"-")</f>
        <v>-</v>
      </c>
      <c r="R12" s="92" t="str">
        <f>IFERROR(IF(MOD($B12,5)=0, "누락 ","-" ),"-")</f>
        <v>-</v>
      </c>
      <c r="S12" s="92" t="str">
        <f>IFERROR(IF(MOD($B12,5)=0, "누락 ","-" ),"-")</f>
        <v>-</v>
      </c>
      <c r="T12" s="92" t="str">
        <f>IFERROR(IF(MOD($B12,5)=0, "누락 ","-" ),"-")</f>
        <v>-</v>
      </c>
      <c r="U12" s="92" t="str">
        <f>IFERROR(IF(MOD($B12,5)=0, "누락 ","-" ),"-")</f>
        <v>-</v>
      </c>
      <c r="V12" s="92" t="str">
        <f>IFERROR(IF(MOD($B12,5)=0, "누락 ","-" ),"-")</f>
        <v>-</v>
      </c>
      <c r="W12" s="92" t="str">
        <f>IFERROR(IF(MOD($B12,5)=0, "누락 ","-" ),"-")</f>
        <v>-</v>
      </c>
      <c r="X12" s="92" t="str">
        <f>IFERROR(IF(MOD($B12,5)=0, "누락 ","-" ),"-")</f>
        <v>-</v>
      </c>
      <c r="Y12" s="92" t="str">
        <f>IFERROR(IF(MOD($B12,5)=0, "누락 ","-" ),"-")</f>
        <v>-</v>
      </c>
      <c r="Z12" s="92" t="str">
        <f>IFERROR(IF(MOD($B12,5)=0, "누락 ","-" ),"-")</f>
        <v>-</v>
      </c>
      <c r="AA12" s="92" t="str">
        <f>IFERROR(IF(MOD($B12,5)=0, "누락 ","-" ),"-")</f>
        <v>-</v>
      </c>
      <c r="AB12" s="92" t="str">
        <f>IFERROR(IF(MOD($B12,5)=0, "누락 ","-" ),"-")</f>
        <v>-</v>
      </c>
      <c r="AC12" s="92" t="str">
        <f>IFERROR(IF(MOD($B12,5)=0, "누락 ","-" ),"-")</f>
        <v>-</v>
      </c>
      <c r="AD12" s="92" t="str">
        <f t="shared" si="2"/>
        <v>-</v>
      </c>
      <c r="AE12" s="92" t="str">
        <f t="shared" si="6"/>
        <v>-</v>
      </c>
      <c r="AF12" s="1" t="s">
        <v>16</v>
      </c>
      <c r="AG12" s="1" t="s">
        <v>16</v>
      </c>
    </row>
    <row r="13" spans="1:42" x14ac:dyDescent="0.45">
      <c r="A13" s="3">
        <v>45972</v>
      </c>
      <c r="B13" s="24">
        <f t="shared" si="7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49">
        <v>0</v>
      </c>
      <c r="G13" s="49" t="str">
        <f t="shared" si="8"/>
        <v>-</v>
      </c>
      <c r="H13" s="49" t="str">
        <f t="shared" si="9"/>
        <v>-</v>
      </c>
      <c r="I13" s="49">
        <v>0</v>
      </c>
      <c r="J13" s="1"/>
      <c r="K13" s="49" t="str">
        <f t="shared" si="3"/>
        <v>VITA</v>
      </c>
      <c r="L13" s="49" t="str">
        <f t="shared" si="4"/>
        <v>MARK II</v>
      </c>
      <c r="M13" s="49">
        <f t="shared" si="10"/>
        <v>160</v>
      </c>
      <c r="N13" s="49" t="str">
        <f t="shared" si="11"/>
        <v>-</v>
      </c>
      <c r="O13" s="24">
        <f>IF(LEN(A13)&gt;0, 종합!$C$27, "")</f>
        <v>2.2599999999999998</v>
      </c>
      <c r="P13" s="1" t="s">
        <v>16</v>
      </c>
      <c r="Q13" s="92" t="str">
        <f>IFERROR(IF(MOD($B13,5)=0, "누락 ","-" ),"-")</f>
        <v>-</v>
      </c>
      <c r="R13" s="92" t="str">
        <f>IFERROR(IF(MOD($B13,5)=0, "누락 ","-" ),"-")</f>
        <v>-</v>
      </c>
      <c r="S13" s="92" t="str">
        <f>IFERROR(IF(MOD($B13,5)=0, "누락 ","-" ),"-")</f>
        <v>-</v>
      </c>
      <c r="T13" s="92" t="str">
        <f>IFERROR(IF(MOD($B13,5)=0, "누락 ","-" ),"-")</f>
        <v>-</v>
      </c>
      <c r="U13" s="92" t="str">
        <f>IFERROR(IF(MOD($B13,5)=0, "누락 ","-" ),"-")</f>
        <v>-</v>
      </c>
      <c r="V13" s="92" t="str">
        <f>IFERROR(IF(MOD($B13,5)=0, "누락 ","-" ),"-")</f>
        <v>-</v>
      </c>
      <c r="W13" s="92" t="str">
        <f>IFERROR(IF(MOD($B13,5)=0, "누락 ","-" ),"-")</f>
        <v>-</v>
      </c>
      <c r="X13" s="92" t="str">
        <f>IFERROR(IF(MOD($B13,5)=0, "누락 ","-" ),"-")</f>
        <v>-</v>
      </c>
      <c r="Y13" s="92" t="str">
        <f>IFERROR(IF(MOD($B13,5)=0, "누락 ","-" ),"-")</f>
        <v>-</v>
      </c>
      <c r="Z13" s="92" t="str">
        <f>IFERROR(IF(MOD($B13,5)=0, "누락 ","-" ),"-")</f>
        <v>-</v>
      </c>
      <c r="AA13" s="92" t="str">
        <f>IFERROR(IF(MOD($B13,5)=0, "누락 ","-" ),"-")</f>
        <v>-</v>
      </c>
      <c r="AB13" s="92" t="str">
        <f>IFERROR(IF(MOD($B13,5)=0, "누락 ","-" ),"-")</f>
        <v>-</v>
      </c>
      <c r="AC13" s="92" t="str">
        <f>IFERROR(IF(MOD($B13,5)=0, "누락 ","-" ),"-")</f>
        <v>-</v>
      </c>
      <c r="AD13" s="92" t="str">
        <f t="shared" si="2"/>
        <v>-</v>
      </c>
      <c r="AE13" s="92" t="str">
        <f t="shared" si="6"/>
        <v>-</v>
      </c>
      <c r="AF13" s="1" t="s">
        <v>16</v>
      </c>
      <c r="AG13" s="1" t="s">
        <v>16</v>
      </c>
    </row>
    <row r="14" spans="1:42" x14ac:dyDescent="0.45">
      <c r="A14" s="3">
        <v>45972</v>
      </c>
      <c r="B14" s="24">
        <f t="shared" si="7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49">
        <f>IF(NOT(LEN($A14)=0),IF(F13+1&gt;15,"버교체요망",F13+1),"")</f>
        <v>1</v>
      </c>
      <c r="G14" s="49" t="str">
        <f t="shared" si="8"/>
        <v>-</v>
      </c>
      <c r="H14" s="49" t="str">
        <f t="shared" si="9"/>
        <v>-</v>
      </c>
      <c r="I14" s="49">
        <f>IF(NOT(LEN($A14)=0),IF(I13+1&gt;15,"버교체요망",I13+1),"")</f>
        <v>1</v>
      </c>
      <c r="J14" s="1"/>
      <c r="K14" s="49" t="str">
        <f t="shared" si="3"/>
        <v>VITA</v>
      </c>
      <c r="L14" s="49" t="str">
        <f t="shared" si="4"/>
        <v>MARK II</v>
      </c>
      <c r="M14" s="49">
        <f t="shared" si="10"/>
        <v>160</v>
      </c>
      <c r="N14" s="49" t="str">
        <f t="shared" si="11"/>
        <v>-</v>
      </c>
      <c r="O14" s="24">
        <f>IF(LEN(A14)&gt;0, 종합!$C$27, "")</f>
        <v>2.2599999999999998</v>
      </c>
      <c r="P14" s="1" t="s">
        <v>16</v>
      </c>
      <c r="Q14" s="92" t="str">
        <f>IFERROR(IF(MOD($B14,5)=0, "누락 ","-" ),"-")</f>
        <v>-</v>
      </c>
      <c r="R14" s="92" t="str">
        <f>IFERROR(IF(MOD($B14,5)=0, "누락 ","-" ),"-")</f>
        <v>-</v>
      </c>
      <c r="S14" s="92" t="str">
        <f>IFERROR(IF(MOD($B14,5)=0, "누락 ","-" ),"-")</f>
        <v>-</v>
      </c>
      <c r="T14" s="92" t="str">
        <f>IFERROR(IF(MOD($B14,5)=0, "누락 ","-" ),"-")</f>
        <v>-</v>
      </c>
      <c r="U14" s="92" t="str">
        <f>IFERROR(IF(MOD($B14,5)=0, "누락 ","-" ),"-")</f>
        <v>-</v>
      </c>
      <c r="V14" s="92" t="str">
        <f>IFERROR(IF(MOD($B14,5)=0, "누락 ","-" ),"-")</f>
        <v>-</v>
      </c>
      <c r="W14" s="92" t="str">
        <f>IFERROR(IF(MOD($B14,5)=0, "누락 ","-" ),"-")</f>
        <v>-</v>
      </c>
      <c r="X14" s="92" t="str">
        <f>IFERROR(IF(MOD($B14,5)=0, "누락 ","-" ),"-")</f>
        <v>-</v>
      </c>
      <c r="Y14" s="92" t="str">
        <f>IFERROR(IF(MOD($B14,5)=0, "누락 ","-" ),"-")</f>
        <v>-</v>
      </c>
      <c r="Z14" s="92" t="str">
        <f>IFERROR(IF(MOD($B14,5)=0, "누락 ","-" ),"-")</f>
        <v>-</v>
      </c>
      <c r="AA14" s="92" t="str">
        <f>IFERROR(IF(MOD($B14,5)=0, "누락 ","-" ),"-")</f>
        <v>-</v>
      </c>
      <c r="AB14" s="92" t="str">
        <f>IFERROR(IF(MOD($B14,5)=0, "누락 ","-" ),"-")</f>
        <v>-</v>
      </c>
      <c r="AC14" s="92" t="str">
        <f>IFERROR(IF(MOD($B14,5)=0, "누락 ","-" ),"-")</f>
        <v>-</v>
      </c>
      <c r="AD14" s="92" t="str">
        <f t="shared" si="2"/>
        <v>-</v>
      </c>
      <c r="AE14" s="92" t="str">
        <f t="shared" si="6"/>
        <v>-</v>
      </c>
      <c r="AF14" s="1" t="s">
        <v>16</v>
      </c>
      <c r="AG14" s="1" t="s">
        <v>16</v>
      </c>
    </row>
    <row r="15" spans="1:42" x14ac:dyDescent="0.45">
      <c r="A15" s="3">
        <v>45972</v>
      </c>
      <c r="B15" s="24">
        <f t="shared" si="7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49">
        <f t="shared" ref="F15:F21" si="12">IF(NOT(LEN($A15)=0),IF(F14+1&gt;15,"버교체요망",F14+1),"")</f>
        <v>2</v>
      </c>
      <c r="G15" s="49" t="str">
        <f t="shared" si="8"/>
        <v>-</v>
      </c>
      <c r="H15" s="49" t="str">
        <f t="shared" si="9"/>
        <v>-</v>
      </c>
      <c r="I15" s="49">
        <f t="shared" ref="I15:I21" si="13">IF(NOT(LEN($A15)=0),IF(I14+1&gt;15,"버교체요망",I14+1),"")</f>
        <v>2</v>
      </c>
      <c r="J15" s="1"/>
      <c r="K15" s="49" t="str">
        <f t="shared" si="3"/>
        <v>VITA</v>
      </c>
      <c r="L15" s="49" t="str">
        <f t="shared" si="4"/>
        <v>MARK II</v>
      </c>
      <c r="M15" s="49">
        <f t="shared" si="10"/>
        <v>160</v>
      </c>
      <c r="N15" s="49" t="str">
        <f t="shared" si="11"/>
        <v>-</v>
      </c>
      <c r="O15" s="24">
        <f>IF(LEN(A15)&gt;0, 종합!$C$27, "")</f>
        <v>2.2599999999999998</v>
      </c>
      <c r="P15" s="1" t="s">
        <v>16</v>
      </c>
      <c r="Q15" s="92" t="str">
        <f>IFERROR(IF(MOD($B15,5)=0, "누락 ","-" ),"-")</f>
        <v>-</v>
      </c>
      <c r="R15" s="92" t="str">
        <f>IFERROR(IF(MOD($B15,5)=0, "누락 ","-" ),"-")</f>
        <v>-</v>
      </c>
      <c r="S15" s="92" t="str">
        <f>IFERROR(IF(MOD($B15,5)=0, "누락 ","-" ),"-")</f>
        <v>-</v>
      </c>
      <c r="T15" s="92" t="str">
        <f>IFERROR(IF(MOD($B15,5)=0, "누락 ","-" ),"-")</f>
        <v>-</v>
      </c>
      <c r="U15" s="92" t="str">
        <f>IFERROR(IF(MOD($B15,5)=0, "누락 ","-" ),"-")</f>
        <v>-</v>
      </c>
      <c r="V15" s="92" t="str">
        <f>IFERROR(IF(MOD($B15,5)=0, "누락 ","-" ),"-")</f>
        <v>-</v>
      </c>
      <c r="W15" s="92" t="str">
        <f>IFERROR(IF(MOD($B15,5)=0, "누락 ","-" ),"-")</f>
        <v>-</v>
      </c>
      <c r="X15" s="92" t="str">
        <f>IFERROR(IF(MOD($B15,5)=0, "누락 ","-" ),"-")</f>
        <v>-</v>
      </c>
      <c r="Y15" s="92" t="str">
        <f>IFERROR(IF(MOD($B15,5)=0, "누락 ","-" ),"-")</f>
        <v>-</v>
      </c>
      <c r="Z15" s="92" t="str">
        <f>IFERROR(IF(MOD($B15,5)=0, "누락 ","-" ),"-")</f>
        <v>-</v>
      </c>
      <c r="AA15" s="92" t="str">
        <f>IFERROR(IF(MOD($B15,5)=0, "누락 ","-" ),"-")</f>
        <v>-</v>
      </c>
      <c r="AB15" s="92" t="str">
        <f>IFERROR(IF(MOD($B15,5)=0, "누락 ","-" ),"-")</f>
        <v>-</v>
      </c>
      <c r="AC15" s="92" t="str">
        <f>IFERROR(IF(MOD($B15,5)=0, "누락 ","-" ),"-")</f>
        <v>-</v>
      </c>
      <c r="AD15" s="92" t="str">
        <f t="shared" si="2"/>
        <v>-</v>
      </c>
      <c r="AE15" s="92" t="str">
        <f t="shared" si="6"/>
        <v>-</v>
      </c>
      <c r="AF15" s="1" t="s">
        <v>16</v>
      </c>
      <c r="AG15" s="1" t="s">
        <v>16</v>
      </c>
    </row>
    <row r="16" spans="1:42" x14ac:dyDescent="0.45">
      <c r="A16" s="3">
        <v>45972</v>
      </c>
      <c r="B16" s="24">
        <f t="shared" si="7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49">
        <f t="shared" si="12"/>
        <v>3</v>
      </c>
      <c r="G16" s="49" t="str">
        <f t="shared" si="8"/>
        <v>-</v>
      </c>
      <c r="H16" s="49" t="str">
        <f t="shared" si="9"/>
        <v>-</v>
      </c>
      <c r="I16" s="49">
        <f t="shared" si="13"/>
        <v>3</v>
      </c>
      <c r="J16" s="1"/>
      <c r="K16" s="49" t="str">
        <f t="shared" si="3"/>
        <v>VITA</v>
      </c>
      <c r="L16" s="49" t="str">
        <f t="shared" si="4"/>
        <v>MARK II</v>
      </c>
      <c r="M16" s="49">
        <f t="shared" si="10"/>
        <v>160</v>
      </c>
      <c r="N16" s="49" t="str">
        <f t="shared" si="11"/>
        <v>-</v>
      </c>
      <c r="O16" s="24">
        <f>IF(LEN(A16)&gt;0, 종합!$C$27, "")</f>
        <v>2.2599999999999998</v>
      </c>
      <c r="P16" s="1" t="s">
        <v>16</v>
      </c>
      <c r="Q16" s="92" t="s">
        <v>122</v>
      </c>
      <c r="R16" s="92" t="s">
        <v>122</v>
      </c>
      <c r="S16" s="92" t="s">
        <v>122</v>
      </c>
      <c r="T16" s="92" t="s">
        <v>122</v>
      </c>
      <c r="U16" s="92" t="str">
        <f>IFERROR(IF(MOD($B16,5)=0, "누락 ","-" ),"-")</f>
        <v xml:space="preserve">누락 </v>
      </c>
      <c r="V16" s="92" t="str">
        <f>IFERROR(IF(MOD($B16,5)=0, "누락 ","-" ),"-")</f>
        <v xml:space="preserve">누락 </v>
      </c>
      <c r="W16" s="92" t="str">
        <f>IFERROR(IF(MOD($B16,5)=0, "누락 ","-" ),"-")</f>
        <v xml:space="preserve">누락 </v>
      </c>
      <c r="X16" s="92" t="str">
        <f>IFERROR(IF(MOD($B16,5)=0, "누락 ","-" ),"-")</f>
        <v xml:space="preserve">누락 </v>
      </c>
      <c r="Y16" s="92" t="str">
        <f>IFERROR(IF(MOD($B16,5)=0, "누락 ","-" ),"-")</f>
        <v xml:space="preserve">누락 </v>
      </c>
      <c r="Z16" s="92" t="str">
        <f>IFERROR(IF(MOD($B16,5)=0, "누락 ","-" ),"-")</f>
        <v xml:space="preserve">누락 </v>
      </c>
      <c r="AA16" s="92" t="str">
        <f>IFERROR(IF(MOD($B16,5)=0, "누락 ","-" ),"-")</f>
        <v xml:space="preserve">누락 </v>
      </c>
      <c r="AB16" s="92" t="str">
        <f>IFERROR(IF(MOD($B16,5)=0, "누락 ","-" ),"-")</f>
        <v xml:space="preserve">누락 </v>
      </c>
      <c r="AC16" s="92" t="str">
        <f>IFERROR(IF(MOD($B16,5)=0, "누락 ","-" ),"-")</f>
        <v xml:space="preserve">누락 </v>
      </c>
      <c r="AD16" s="92" t="str">
        <f t="shared" si="2"/>
        <v>-</v>
      </c>
      <c r="AE16" s="92" t="str">
        <f t="shared" si="6"/>
        <v>-</v>
      </c>
      <c r="AF16" s="1" t="s">
        <v>16</v>
      </c>
      <c r="AG16" s="1" t="s">
        <v>16</v>
      </c>
    </row>
    <row r="17" spans="1:33" x14ac:dyDescent="0.45">
      <c r="A17" s="3">
        <v>45973</v>
      </c>
      <c r="B17" s="24">
        <f t="shared" si="7"/>
        <v>11</v>
      </c>
      <c r="C17" s="7" t="str">
        <f t="shared" si="0"/>
        <v>Dimensions: L W H</v>
      </c>
      <c r="D17" s="6" t="str">
        <f t="shared" si="1"/>
        <v>완료</v>
      </c>
      <c r="E17" s="24">
        <v>21</v>
      </c>
      <c r="F17" s="49">
        <f t="shared" si="12"/>
        <v>4</v>
      </c>
      <c r="G17" s="49" t="str">
        <f t="shared" si="8"/>
        <v>-</v>
      </c>
      <c r="H17" s="49" t="str">
        <f t="shared" si="9"/>
        <v>-</v>
      </c>
      <c r="I17" s="49">
        <f t="shared" si="13"/>
        <v>4</v>
      </c>
      <c r="J17" s="1"/>
      <c r="K17" s="49" t="str">
        <f t="shared" si="3"/>
        <v>VITA</v>
      </c>
      <c r="L17" s="49" t="str">
        <f t="shared" si="4"/>
        <v>MARK II</v>
      </c>
      <c r="M17" s="49">
        <f t="shared" si="10"/>
        <v>160</v>
      </c>
      <c r="N17" s="49" t="str">
        <f t="shared" si="11"/>
        <v>-</v>
      </c>
      <c r="O17" s="24">
        <f>IF(LEN(A17)&gt;0, 종합!$C$27, "")</f>
        <v>2.2599999999999998</v>
      </c>
      <c r="P17" s="1" t="s">
        <v>16</v>
      </c>
      <c r="Q17" s="92" t="str">
        <f>IFERROR(IF(MOD($B17,5)=0, "누락 ","-" ),"-")</f>
        <v>-</v>
      </c>
      <c r="R17" s="92" t="str">
        <f>IFERROR(IF(MOD($B17,5)=0, "누락 ","-" ),"-")</f>
        <v>-</v>
      </c>
      <c r="S17" s="92" t="str">
        <f>IFERROR(IF(MOD($B17,5)=0, "누락 ","-" ),"-")</f>
        <v>-</v>
      </c>
      <c r="T17" s="92" t="str">
        <f>IFERROR(IF(MOD($B17,5)=0, "누락 ","-" ),"-")</f>
        <v>-</v>
      </c>
      <c r="U17" s="92" t="str">
        <f>IFERROR(IF(MOD($B17,5)=0, "누락 ","-" ),"-")</f>
        <v>-</v>
      </c>
      <c r="V17" s="92" t="str">
        <f>IFERROR(IF(MOD($B17,5)=0, "누락 ","-" ),"-")</f>
        <v>-</v>
      </c>
      <c r="W17" s="92" t="str">
        <f>IFERROR(IF(MOD($B17,5)=0, "누락 ","-" ),"-")</f>
        <v>-</v>
      </c>
      <c r="X17" s="92" t="str">
        <f>IFERROR(IF(MOD($B17,5)=0, "누락 ","-" ),"-")</f>
        <v>-</v>
      </c>
      <c r="Y17" s="92" t="str">
        <f>IFERROR(IF(MOD($B17,5)=0, "누락 ","-" ),"-")</f>
        <v>-</v>
      </c>
      <c r="Z17" s="92" t="str">
        <f>IFERROR(IF(MOD($B17,5)=0, "누락 ","-" ),"-")</f>
        <v>-</v>
      </c>
      <c r="AA17" s="92" t="str">
        <f>IFERROR(IF(MOD($B17,5)=0, "누락 ","-" ),"-")</f>
        <v>-</v>
      </c>
      <c r="AB17" s="92" t="str">
        <f>IFERROR(IF(MOD($B17,5)=0, "누락 ","-" ),"-")</f>
        <v>-</v>
      </c>
      <c r="AC17" s="92" t="str">
        <f>IFERROR(IF(MOD($B17,5)=0, "누락 ","-" ),"-")</f>
        <v>-</v>
      </c>
      <c r="AD17" s="92" t="str">
        <f t="shared" si="2"/>
        <v>-</v>
      </c>
      <c r="AE17" s="92" t="str">
        <f t="shared" si="6"/>
        <v>-</v>
      </c>
      <c r="AF17" s="1" t="s">
        <v>16</v>
      </c>
      <c r="AG17" s="1" t="s">
        <v>16</v>
      </c>
    </row>
    <row r="18" spans="1:33" x14ac:dyDescent="0.45">
      <c r="A18" s="3">
        <v>45973</v>
      </c>
      <c r="B18" s="24">
        <f t="shared" si="7"/>
        <v>12</v>
      </c>
      <c r="C18" s="7" t="str">
        <f t="shared" si="0"/>
        <v>Dimensions: L W H</v>
      </c>
      <c r="D18" s="6" t="str">
        <f t="shared" si="1"/>
        <v>완료</v>
      </c>
      <c r="E18" s="4">
        <v>23</v>
      </c>
      <c r="F18" s="49">
        <f t="shared" si="12"/>
        <v>5</v>
      </c>
      <c r="G18" s="49" t="str">
        <f t="shared" si="8"/>
        <v>-</v>
      </c>
      <c r="H18" s="49" t="str">
        <f t="shared" si="9"/>
        <v>-</v>
      </c>
      <c r="I18" s="49">
        <f t="shared" si="13"/>
        <v>5</v>
      </c>
      <c r="K18" s="49" t="str">
        <f>IF(NOT(LEN($I18)=0),K17,"")</f>
        <v>VITA</v>
      </c>
      <c r="L18" s="49" t="str">
        <f>IF(NOT(LEN($I18)=0),L17,"")</f>
        <v>MARK II</v>
      </c>
      <c r="M18" s="49">
        <f t="shared" si="10"/>
        <v>160</v>
      </c>
      <c r="N18" s="49" t="str">
        <f t="shared" si="11"/>
        <v>-</v>
      </c>
      <c r="O18" s="24">
        <f>IF(LEN(A18)&gt;0, 종합!$C$27, "")</f>
        <v>2.2599999999999998</v>
      </c>
      <c r="Q18" s="92" t="str">
        <f>IF(MOD($B18,5)=0, "누락 ","-" )</f>
        <v>-</v>
      </c>
      <c r="R18" s="92" t="str">
        <f>IF(MOD($B18,5)=0, "누락 ","-" )</f>
        <v>-</v>
      </c>
      <c r="S18" s="92" t="str">
        <f>IF(MOD($B18,5)=0, "누락 ","-" )</f>
        <v>-</v>
      </c>
      <c r="T18" s="92" t="str">
        <f>IF(MOD($B18,5)=0, "누락 ","-" )</f>
        <v>-</v>
      </c>
      <c r="U18" s="92" t="str">
        <f>IF(MOD($B18,5)=0, "누락","-" )</f>
        <v>-</v>
      </c>
      <c r="V18" s="92" t="str">
        <f>IF(MOD($B18,5)=0, "누락","-" )</f>
        <v>-</v>
      </c>
      <c r="W18" s="92" t="str">
        <f>IF(MOD($B18,5)=0, "누락","-" )</f>
        <v>-</v>
      </c>
      <c r="X18" s="92" t="str">
        <f>IF(MOD($B18,5)=0, "누락","-" )</f>
        <v>-</v>
      </c>
      <c r="Y18" s="92" t="str">
        <f>IF(MOD($B18,5)=0, "누락","-" )</f>
        <v>-</v>
      </c>
      <c r="Z18" s="92" t="str">
        <f>IF(MOD($B18,5)=0, "누락","-" )</f>
        <v>-</v>
      </c>
      <c r="AA18" s="92" t="str">
        <f>IF(MOD($B18,5)=0, "누락","-" )</f>
        <v>-</v>
      </c>
      <c r="AB18" s="92" t="str">
        <f>IF(MOD($B18,5)=0, "누락","-" )</f>
        <v>-</v>
      </c>
      <c r="AC18" s="92" t="str">
        <f>IF(MOD($B18,5)=0, "누락","-" )</f>
        <v>-</v>
      </c>
      <c r="AD18" s="92" t="str">
        <f t="shared" si="2"/>
        <v>-</v>
      </c>
      <c r="AE18" s="92" t="str">
        <f t="shared" si="6"/>
        <v>-</v>
      </c>
      <c r="AF18" s="1" t="s">
        <v>16</v>
      </c>
      <c r="AG18" s="1" t="s">
        <v>16</v>
      </c>
    </row>
    <row r="19" spans="1:33" x14ac:dyDescent="0.45">
      <c r="A19" s="3">
        <v>45973</v>
      </c>
      <c r="B19" s="24">
        <f t="shared" si="7"/>
        <v>13</v>
      </c>
      <c r="C19" s="7" t="str">
        <f t="shared" si="0"/>
        <v>Dimensions: L W H</v>
      </c>
      <c r="D19" s="6" t="str">
        <f t="shared" si="1"/>
        <v>완료</v>
      </c>
      <c r="E19" s="49">
        <v>21</v>
      </c>
      <c r="F19" s="49">
        <f t="shared" si="12"/>
        <v>6</v>
      </c>
      <c r="G19" s="49" t="str">
        <f t="shared" si="8"/>
        <v>-</v>
      </c>
      <c r="H19" s="49" t="str">
        <f t="shared" si="9"/>
        <v>-</v>
      </c>
      <c r="I19" s="49">
        <f t="shared" si="13"/>
        <v>6</v>
      </c>
      <c r="K19" s="49" t="str">
        <f t="shared" ref="K19:K21" si="14">IF(NOT(LEN($I19)=0),K18,"")</f>
        <v>VITA</v>
      </c>
      <c r="L19" s="49" t="str">
        <f t="shared" ref="L19:L21" si="15">IF(NOT(LEN($I19)=0),L18,"")</f>
        <v>MARK II</v>
      </c>
      <c r="M19" s="49">
        <f t="shared" ref="M19:M21" si="16">IF(NOT(LEN($I19)=0),M18,"")</f>
        <v>160</v>
      </c>
      <c r="N19" s="49" t="str">
        <f t="shared" ref="N19:N21" si="17">IF(NOT(LEN($I19)=0),N18,"")</f>
        <v>-</v>
      </c>
      <c r="O19" s="24">
        <f>IF(LEN(A19)&gt;0, 종합!$C$27, "")</f>
        <v>2.2599999999999998</v>
      </c>
      <c r="Q19" s="92" t="str">
        <f>IF(MOD($B19,5)=0, "누락 ","-" )</f>
        <v>-</v>
      </c>
      <c r="R19" s="92" t="str">
        <f>IF(MOD($B19,5)=0, "누락 ","-" )</f>
        <v>-</v>
      </c>
      <c r="S19" s="92" t="str">
        <f>IF(MOD($B19,5)=0, "누락 ","-" )</f>
        <v>-</v>
      </c>
      <c r="T19" s="92" t="str">
        <f>IF(MOD($B19,5)=0, "누락 ","-" )</f>
        <v>-</v>
      </c>
      <c r="U19" s="92" t="str">
        <f>IF(MOD($B19,5)=0, "누락","-" )</f>
        <v>-</v>
      </c>
      <c r="V19" s="92" t="str">
        <f>IF(MOD($B19,5)=0, "누락","-" )</f>
        <v>-</v>
      </c>
      <c r="W19" s="92" t="str">
        <f>IF(MOD($B19,5)=0, "누락","-" )</f>
        <v>-</v>
      </c>
      <c r="X19" s="92" t="str">
        <f>IF(MOD($B19,5)=0, "누락","-" )</f>
        <v>-</v>
      </c>
      <c r="Y19" s="92" t="str">
        <f>IF(MOD($B19,5)=0, "누락","-" )</f>
        <v>-</v>
      </c>
      <c r="Z19" s="92" t="str">
        <f>IF(MOD($B19,5)=0, "누락","-" )</f>
        <v>-</v>
      </c>
      <c r="AA19" s="92" t="str">
        <f>IF(MOD($B19,5)=0, "누락","-" )</f>
        <v>-</v>
      </c>
      <c r="AB19" s="92" t="str">
        <f>IF(MOD($B19,5)=0, "누락","-" )</f>
        <v>-</v>
      </c>
      <c r="AC19" s="92" t="str">
        <f>IF(MOD($B19,5)=0, "누락","-" )</f>
        <v>-</v>
      </c>
      <c r="AD19" s="92" t="str">
        <f t="shared" si="2"/>
        <v>-</v>
      </c>
      <c r="AE19" s="92" t="str">
        <f t="shared" si="6"/>
        <v>-</v>
      </c>
      <c r="AF19" s="1" t="s">
        <v>16</v>
      </c>
      <c r="AG19" s="1" t="s">
        <v>16</v>
      </c>
    </row>
    <row r="20" spans="1:33" x14ac:dyDescent="0.45">
      <c r="A20" s="3">
        <v>45973</v>
      </c>
      <c r="B20" s="24">
        <f t="shared" si="7"/>
        <v>14</v>
      </c>
      <c r="C20" s="7" t="str">
        <f t="shared" si="0"/>
        <v>Dimensions: L W H</v>
      </c>
      <c r="D20" s="6" t="str">
        <f t="shared" si="1"/>
        <v>완료</v>
      </c>
      <c r="E20" s="49">
        <v>21</v>
      </c>
      <c r="F20" s="49">
        <f t="shared" si="12"/>
        <v>7</v>
      </c>
      <c r="G20" s="49" t="str">
        <f t="shared" ref="G20:G21" si="18">IF(NOT(LEN($I20)=0),G19,"")</f>
        <v>-</v>
      </c>
      <c r="H20" s="49" t="str">
        <f t="shared" ref="H20:H21" si="19">IF(NOT(LEN($I20)=0),H19,"")</f>
        <v>-</v>
      </c>
      <c r="I20" s="49">
        <f t="shared" si="13"/>
        <v>7</v>
      </c>
      <c r="K20" s="49" t="str">
        <f t="shared" si="14"/>
        <v>VITA</v>
      </c>
      <c r="L20" s="49" t="str">
        <f t="shared" si="15"/>
        <v>MARK II</v>
      </c>
      <c r="M20" s="49">
        <f t="shared" si="16"/>
        <v>160</v>
      </c>
      <c r="N20" s="49" t="str">
        <f t="shared" si="17"/>
        <v>-</v>
      </c>
      <c r="O20" s="24">
        <f>IF(LEN(A20)&gt;0, 종합!$C$27, "")</f>
        <v>2.2599999999999998</v>
      </c>
      <c r="Q20" s="92" t="str">
        <f>IF(MOD($B20,5)=0, "누락 ","-" )</f>
        <v>-</v>
      </c>
      <c r="R20" s="92" t="str">
        <f>IF(MOD($B20,5)=0, "누락 ","-" )</f>
        <v>-</v>
      </c>
      <c r="S20" s="92" t="str">
        <f>IF(MOD($B20,5)=0, "누락 ","-" )</f>
        <v>-</v>
      </c>
      <c r="T20" s="92" t="str">
        <f>IF(MOD($B20,5)=0, "누락 ","-" )</f>
        <v>-</v>
      </c>
      <c r="U20" s="92" t="str">
        <f>IF(MOD($B20,5)=0, "누락","-" )</f>
        <v>-</v>
      </c>
      <c r="V20" s="92" t="str">
        <f>IF(MOD($B20,5)=0, "누락","-" )</f>
        <v>-</v>
      </c>
      <c r="W20" s="92" t="str">
        <f>IF(MOD($B20,5)=0, "누락","-" )</f>
        <v>-</v>
      </c>
      <c r="X20" s="92" t="str">
        <f>IF(MOD($B20,5)=0, "누락","-" )</f>
        <v>-</v>
      </c>
      <c r="Y20" s="92" t="str">
        <f>IF(MOD($B20,5)=0, "누락","-" )</f>
        <v>-</v>
      </c>
      <c r="Z20" s="92" t="str">
        <f>IF(MOD($B20,5)=0, "누락","-" )</f>
        <v>-</v>
      </c>
      <c r="AA20" s="92" t="str">
        <f>IF(MOD($B20,5)=0, "누락","-" )</f>
        <v>-</v>
      </c>
      <c r="AB20" s="92" t="str">
        <f>IF(MOD($B20,5)=0, "누락","-" )</f>
        <v>-</v>
      </c>
      <c r="AC20" s="92" t="str">
        <f>IF(MOD($B20,5)=0, "누락","-" )</f>
        <v>-</v>
      </c>
      <c r="AD20" s="92" t="str">
        <f t="shared" si="2"/>
        <v>-</v>
      </c>
      <c r="AE20" s="92" t="str">
        <f t="shared" si="6"/>
        <v>-</v>
      </c>
      <c r="AF20" s="1" t="s">
        <v>16</v>
      </c>
      <c r="AG20" s="1" t="s">
        <v>16</v>
      </c>
    </row>
    <row r="21" spans="1:33" x14ac:dyDescent="0.45">
      <c r="A21" s="3">
        <v>45973</v>
      </c>
      <c r="B21" s="24">
        <f t="shared" si="7"/>
        <v>15</v>
      </c>
      <c r="C21" s="7" t="str">
        <f t="shared" si="0"/>
        <v>Dimensions: L W H</v>
      </c>
      <c r="D21" s="6" t="s">
        <v>131</v>
      </c>
      <c r="E21" s="49">
        <v>23</v>
      </c>
      <c r="F21" s="49">
        <f t="shared" si="12"/>
        <v>8</v>
      </c>
      <c r="G21" s="49" t="str">
        <f t="shared" si="18"/>
        <v>-</v>
      </c>
      <c r="H21" s="49" t="str">
        <f t="shared" si="19"/>
        <v>-</v>
      </c>
      <c r="I21" s="49">
        <f t="shared" si="13"/>
        <v>8</v>
      </c>
      <c r="K21" s="49" t="str">
        <f t="shared" si="14"/>
        <v>VITA</v>
      </c>
      <c r="L21" s="49" t="str">
        <f t="shared" si="15"/>
        <v>MARK II</v>
      </c>
      <c r="M21" s="49">
        <f t="shared" si="16"/>
        <v>160</v>
      </c>
      <c r="N21" s="49" t="str">
        <f t="shared" si="17"/>
        <v>-</v>
      </c>
      <c r="O21" s="24">
        <f>IF(LEN(A21)&gt;0, 종합!$C$27, "")</f>
        <v>2.2599999999999998</v>
      </c>
      <c r="Q21" s="92" t="s">
        <v>122</v>
      </c>
      <c r="R21" s="92" t="s">
        <v>122</v>
      </c>
      <c r="S21" s="92" t="s">
        <v>122</v>
      </c>
      <c r="T21" s="92" t="s">
        <v>122</v>
      </c>
      <c r="U21" s="92" t="str">
        <f>IF(MOD($B21,5)=0, "누락","-" )</f>
        <v>누락</v>
      </c>
      <c r="V21" s="92" t="str">
        <f>IF(MOD($B21,5)=0, "누락","-" )</f>
        <v>누락</v>
      </c>
      <c r="W21" s="92" t="str">
        <f>IF(MOD($B21,5)=0, "누락","-" )</f>
        <v>누락</v>
      </c>
      <c r="X21" s="92" t="str">
        <f>IF(MOD($B21,5)=0, "누락","-" )</f>
        <v>누락</v>
      </c>
      <c r="Y21" s="92" t="str">
        <f>IF(MOD($B21,5)=0, "누락","-" )</f>
        <v>누락</v>
      </c>
      <c r="Z21" s="92" t="str">
        <f>IF(MOD($B21,5)=0, "누락","-" )</f>
        <v>누락</v>
      </c>
      <c r="AA21" s="92" t="str">
        <f>IF(MOD($B21,5)=0, "누락","-" )</f>
        <v>누락</v>
      </c>
      <c r="AB21" s="92" t="str">
        <f>IF(MOD($B21,5)=0, "누락","-" )</f>
        <v>누락</v>
      </c>
      <c r="AC21" s="92" t="str">
        <f>IF(MOD($B21,5)=0, "누락","-" )</f>
        <v>누락</v>
      </c>
      <c r="AD21" s="92" t="str">
        <f t="shared" si="2"/>
        <v>-</v>
      </c>
      <c r="AE21" s="92" t="str">
        <f t="shared" si="6"/>
        <v>-</v>
      </c>
      <c r="AF21" s="7" t="str">
        <f t="shared" si="6"/>
        <v>-</v>
      </c>
      <c r="AG21" s="7" t="str">
        <f t="shared" si="6"/>
        <v>-</v>
      </c>
    </row>
    <row r="22" spans="1:33" x14ac:dyDescent="0.45">
      <c r="A22" s="23"/>
      <c r="B22" s="24"/>
      <c r="C22" s="7"/>
      <c r="D22" s="6"/>
      <c r="E22" s="24" t="str">
        <f>IF($B22="","", "누락")</f>
        <v/>
      </c>
      <c r="F22" s="49"/>
      <c r="G22" s="53"/>
      <c r="H22" s="53"/>
      <c r="I22" s="49">
        <v>0</v>
      </c>
      <c r="K22" s="49"/>
      <c r="L22" s="49"/>
      <c r="M22" s="49"/>
      <c r="N22" s="49"/>
      <c r="O22" s="24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7"/>
      <c r="AG22" s="7"/>
    </row>
    <row r="23" spans="1:33" x14ac:dyDescent="0.45">
      <c r="A23" s="23"/>
      <c r="B23" s="24"/>
      <c r="C23" s="7"/>
      <c r="D23" s="6"/>
      <c r="E23" s="24" t="str">
        <f t="shared" ref="E23:E28" si="20">IF($B23="","", "누락")</f>
        <v/>
      </c>
      <c r="F23" s="49"/>
      <c r="G23" s="53"/>
      <c r="H23" s="53"/>
      <c r="I23" s="49"/>
      <c r="K23" s="49"/>
      <c r="L23" s="49"/>
      <c r="M23" s="49"/>
      <c r="N23" s="49"/>
      <c r="O23" s="24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7"/>
      <c r="AG23" s="7"/>
    </row>
    <row r="24" spans="1:33" x14ac:dyDescent="0.45">
      <c r="A24" s="23"/>
      <c r="B24" s="24"/>
      <c r="C24" s="7"/>
      <c r="D24" s="6"/>
      <c r="E24" s="24" t="str">
        <f t="shared" si="20"/>
        <v/>
      </c>
      <c r="F24" s="49"/>
      <c r="G24" s="53"/>
      <c r="H24" s="53"/>
      <c r="I24" s="49"/>
      <c r="K24" s="49"/>
      <c r="L24" s="49"/>
      <c r="M24" s="49"/>
      <c r="N24" s="49"/>
      <c r="O24" s="24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7"/>
      <c r="AG24" s="7"/>
    </row>
    <row r="25" spans="1:33" x14ac:dyDescent="0.45">
      <c r="A25" s="23"/>
      <c r="B25" s="24"/>
      <c r="C25" s="7"/>
      <c r="D25" s="6"/>
      <c r="E25" s="24" t="str">
        <f t="shared" si="20"/>
        <v/>
      </c>
      <c r="F25" s="49"/>
      <c r="G25" s="53"/>
      <c r="H25" s="53"/>
      <c r="I25" s="49"/>
      <c r="K25" s="49"/>
      <c r="L25" s="49"/>
      <c r="M25" s="49"/>
      <c r="N25" s="49"/>
      <c r="O25" s="24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7"/>
      <c r="AG25" s="7"/>
    </row>
    <row r="26" spans="1:33" x14ac:dyDescent="0.45">
      <c r="A26" s="23"/>
      <c r="B26" s="24"/>
      <c r="C26" s="7"/>
      <c r="D26" s="6"/>
      <c r="E26" s="24" t="str">
        <f t="shared" si="20"/>
        <v/>
      </c>
      <c r="F26" s="49"/>
      <c r="G26" s="53"/>
      <c r="H26" s="53"/>
      <c r="I26" s="49"/>
      <c r="K26" s="49"/>
      <c r="L26" s="49"/>
      <c r="M26" s="49"/>
      <c r="N26" s="49"/>
      <c r="O26" s="24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7"/>
      <c r="AG26" s="7"/>
    </row>
    <row r="27" spans="1:33" x14ac:dyDescent="0.45">
      <c r="A27" s="23"/>
      <c r="B27" s="24"/>
      <c r="C27" s="7"/>
      <c r="D27" s="6"/>
      <c r="E27" s="24" t="str">
        <f t="shared" si="20"/>
        <v/>
      </c>
      <c r="F27" s="49"/>
      <c r="G27" s="53"/>
      <c r="H27" s="53"/>
      <c r="I27" s="49"/>
      <c r="K27" s="49"/>
      <c r="L27" s="49"/>
      <c r="M27" s="49"/>
      <c r="N27" s="49"/>
      <c r="O27" s="24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7"/>
      <c r="AG27" s="7"/>
    </row>
    <row r="28" spans="1:33" x14ac:dyDescent="0.45">
      <c r="B28" s="24" t="str">
        <f>IF(NOT(LEN(A28)=0),B21+1,"")</f>
        <v/>
      </c>
      <c r="C28" s="7" t="str">
        <f t="shared" si="0"/>
        <v/>
      </c>
      <c r="D28" s="6" t="str">
        <f t="shared" si="1"/>
        <v/>
      </c>
      <c r="E28" s="24" t="str">
        <f t="shared" si="20"/>
        <v/>
      </c>
      <c r="F28" s="49" t="str">
        <f>IF(NOT(LEN($A28)=0),IF(F21+1&gt;15,"버교체요망",F21+1),"")</f>
        <v/>
      </c>
      <c r="G28" s="53"/>
      <c r="H28" s="53"/>
      <c r="I28" s="49" t="str">
        <f>IF(NOT(LEN($A28)=0),IF(I21+1&gt;15,"버교체요망",I21+1),"")</f>
        <v/>
      </c>
      <c r="K28" s="49" t="str">
        <f>IF(NOT(LEN($I28)=0),K21,"")</f>
        <v/>
      </c>
      <c r="L28" s="49" t="str">
        <f>IF(NOT(LEN($I28)=0),L21,"")</f>
        <v/>
      </c>
      <c r="M28" s="49" t="str">
        <f>IF(NOT(LEN($I28)=0),M21,"")</f>
        <v/>
      </c>
      <c r="N28" s="49" t="str">
        <f>IF(NOT(LEN($I28)=0),N21,"")</f>
        <v/>
      </c>
      <c r="O28" s="24" t="str">
        <f>IF(LEN(A28)&gt;0, 종합!$C$27, "")</f>
        <v/>
      </c>
      <c r="Q28" s="48" t="str">
        <f t="shared" ref="Q28:AG28" si="21">IF(NOT(LEN($A28)=0),"누락","")</f>
        <v/>
      </c>
      <c r="R28" s="48" t="str">
        <f t="shared" si="21"/>
        <v/>
      </c>
      <c r="S28" s="48" t="str">
        <f t="shared" si="21"/>
        <v/>
      </c>
      <c r="T28" s="48" t="str">
        <f t="shared" si="21"/>
        <v/>
      </c>
      <c r="U28" s="48" t="str">
        <f t="shared" si="21"/>
        <v/>
      </c>
      <c r="V28" s="48" t="str">
        <f t="shared" si="21"/>
        <v/>
      </c>
      <c r="W28" s="48" t="str">
        <f t="shared" si="21"/>
        <v/>
      </c>
      <c r="X28" s="48" t="str">
        <f t="shared" si="21"/>
        <v/>
      </c>
      <c r="Y28" s="48" t="str">
        <f t="shared" si="21"/>
        <v/>
      </c>
      <c r="Z28" s="48" t="str">
        <f t="shared" si="21"/>
        <v/>
      </c>
      <c r="AA28" s="48" t="str">
        <f t="shared" si="21"/>
        <v/>
      </c>
      <c r="AB28" s="48" t="str">
        <f t="shared" si="21"/>
        <v/>
      </c>
      <c r="AC28" s="48" t="str">
        <f t="shared" si="21"/>
        <v/>
      </c>
      <c r="AD28" s="48" t="str">
        <f t="shared" si="21"/>
        <v/>
      </c>
      <c r="AE28" s="48" t="str">
        <f t="shared" si="21"/>
        <v/>
      </c>
      <c r="AF28" s="48" t="str">
        <f t="shared" si="21"/>
        <v/>
      </c>
      <c r="AG28" s="48" t="str">
        <f t="shared" si="21"/>
        <v/>
      </c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Y5:AC5"/>
    <mergeCell ref="Q4:AC4"/>
    <mergeCell ref="F5:I5"/>
    <mergeCell ref="A2:A5"/>
    <mergeCell ref="U5:X5"/>
    <mergeCell ref="AF2:AG6"/>
    <mergeCell ref="Q5:T5"/>
    <mergeCell ref="P2:AE3"/>
    <mergeCell ref="B2:E5"/>
    <mergeCell ref="K5:N5"/>
    <mergeCell ref="F2:O4"/>
  </mergeCells>
  <phoneticPr fontId="1" type="noConversion"/>
  <conditionalFormatting sqref="D8:D19">
    <cfRule type="containsText" dxfId="724" priority="321" operator="containsText" text="완료">
      <formula>NOT(ISERROR(SEARCH("완료",D8)))</formula>
    </cfRule>
    <cfRule type="containsText" dxfId="723" priority="322" operator="containsText" text="중단">
      <formula>NOT(ISERROR(SEARCH("중단",D8)))</formula>
    </cfRule>
  </conditionalFormatting>
  <conditionalFormatting sqref="H7 F7:F10">
    <cfRule type="containsText" dxfId="722" priority="318" operator="containsText" text="신품">
      <formula>NOT(ISERROR(SEARCH("신품",F7)))</formula>
    </cfRule>
    <cfRule type="containsText" dxfId="721" priority="320" operator="containsText" text="중고">
      <formula>NOT(ISERROR(SEARCH("중고",F7)))</formula>
    </cfRule>
  </conditionalFormatting>
  <conditionalFormatting sqref="I7:I10">
    <cfRule type="containsText" dxfId="720" priority="316" operator="containsText" text="신품">
      <formula>NOT(ISERROR(SEARCH("신품",I7)))</formula>
    </cfRule>
    <cfRule type="containsText" dxfId="719" priority="317" operator="containsText" text="중고">
      <formula>NOT(ISERROR(SEARCH("중고",I7)))</formula>
    </cfRule>
  </conditionalFormatting>
  <conditionalFormatting sqref="D11">
    <cfRule type="containsText" dxfId="718" priority="312" operator="containsText" text="완료">
      <formula>NOT(ISERROR(SEARCH("완료",D11)))</formula>
    </cfRule>
    <cfRule type="containsText" dxfId="717" priority="313" operator="containsText" text="중단">
      <formula>NOT(ISERROR(SEARCH("중단",D11)))</formula>
    </cfRule>
  </conditionalFormatting>
  <conditionalFormatting sqref="F11">
    <cfRule type="containsText" dxfId="716" priority="310" operator="containsText" text="신품">
      <formula>NOT(ISERROR(SEARCH("신품",F11)))</formula>
    </cfRule>
    <cfRule type="containsText" dxfId="715" priority="311" operator="containsText" text="중고">
      <formula>NOT(ISERROR(SEARCH("중고",F11)))</formula>
    </cfRule>
  </conditionalFormatting>
  <conditionalFormatting sqref="I11">
    <cfRule type="containsText" dxfId="714" priority="308" operator="containsText" text="신품">
      <formula>NOT(ISERROR(SEARCH("신품",I11)))</formula>
    </cfRule>
    <cfRule type="containsText" dxfId="713" priority="309" operator="containsText" text="중고">
      <formula>NOT(ISERROR(SEARCH("중고",I11)))</formula>
    </cfRule>
  </conditionalFormatting>
  <conditionalFormatting sqref="D12:D19">
    <cfRule type="containsText" dxfId="712" priority="306" operator="containsText" text="완료">
      <formula>NOT(ISERROR(SEARCH("완료",D12)))</formula>
    </cfRule>
    <cfRule type="containsText" dxfId="711" priority="307" operator="containsText" text="중단">
      <formula>NOT(ISERROR(SEARCH("중단",D12)))</formula>
    </cfRule>
  </conditionalFormatting>
  <conditionalFormatting sqref="F12">
    <cfRule type="containsText" dxfId="710" priority="304" operator="containsText" text="신품">
      <formula>NOT(ISERROR(SEARCH("신품",F12)))</formula>
    </cfRule>
    <cfRule type="containsText" dxfId="709" priority="305" operator="containsText" text="중고">
      <formula>NOT(ISERROR(SEARCH("중고",F12)))</formula>
    </cfRule>
  </conditionalFormatting>
  <conditionalFormatting sqref="I12">
    <cfRule type="containsText" dxfId="708" priority="302" operator="containsText" text="신품">
      <formula>NOT(ISERROR(SEARCH("신품",I12)))</formula>
    </cfRule>
    <cfRule type="containsText" dxfId="707" priority="303" operator="containsText" text="중고">
      <formula>NOT(ISERROR(SEARCH("중고",I12)))</formula>
    </cfRule>
  </conditionalFormatting>
  <conditionalFormatting sqref="D13:D19">
    <cfRule type="containsText" dxfId="706" priority="300" operator="containsText" text="완료">
      <formula>NOT(ISERROR(SEARCH("완료",D13)))</formula>
    </cfRule>
    <cfRule type="containsText" dxfId="705" priority="301" operator="containsText" text="중단">
      <formula>NOT(ISERROR(SEARCH("중단",D13)))</formula>
    </cfRule>
  </conditionalFormatting>
  <conditionalFormatting sqref="D29 D8:D19">
    <cfRule type="containsText" dxfId="704" priority="295" operator="containsText" text="진행중">
      <formula>NOT(ISERROR(SEARCH("진행중",D8)))</formula>
    </cfRule>
  </conditionalFormatting>
  <conditionalFormatting sqref="D8:D28">
    <cfRule type="containsText" dxfId="703" priority="281" operator="containsText" text="완료">
      <formula>NOT(ISERROR(SEARCH("완료",D8)))</formula>
    </cfRule>
    <cfRule type="containsText" dxfId="702" priority="282" operator="containsText" text="중단">
      <formula>NOT(ISERROR(SEARCH("중단",D8)))</formula>
    </cfRule>
  </conditionalFormatting>
  <conditionalFormatting sqref="D8:D28">
    <cfRule type="containsText" dxfId="701" priority="279" operator="containsText" text="완료">
      <formula>NOT(ISERROR(SEARCH("완료",D8)))</formula>
    </cfRule>
    <cfRule type="containsText" dxfId="700" priority="280" operator="containsText" text="중단">
      <formula>NOT(ISERROR(SEARCH("중단",D8)))</formula>
    </cfRule>
  </conditionalFormatting>
  <conditionalFormatting sqref="D8:D28">
    <cfRule type="containsText" dxfId="699" priority="278" operator="containsText" text="진행중">
      <formula>NOT(ISERROR(SEARCH("진행중",D8)))</formula>
    </cfRule>
  </conditionalFormatting>
  <conditionalFormatting sqref="F14:F28">
    <cfRule type="containsText" dxfId="698" priority="271" operator="containsText" text="완료">
      <formula>NOT(ISERROR(SEARCH("완료",F14)))</formula>
    </cfRule>
    <cfRule type="containsText" dxfId="697" priority="272" operator="containsText" text="중단">
      <formula>NOT(ISERROR(SEARCH("중단",F14)))</formula>
    </cfRule>
  </conditionalFormatting>
  <conditionalFormatting sqref="F14:F28">
    <cfRule type="containsText" dxfId="696" priority="269" operator="containsText" text="완료">
      <formula>NOT(ISERROR(SEARCH("완료",F14)))</formula>
    </cfRule>
    <cfRule type="containsText" dxfId="695" priority="270" operator="containsText" text="중단">
      <formula>NOT(ISERROR(SEARCH("중단",F14)))</formula>
    </cfRule>
  </conditionalFormatting>
  <conditionalFormatting sqref="F14:F28">
    <cfRule type="containsText" dxfId="694" priority="268" operator="containsText" text="진행중">
      <formula>NOT(ISERROR(SEARCH("진행중",F14)))</formula>
    </cfRule>
  </conditionalFormatting>
  <conditionalFormatting sqref="K8:K17">
    <cfRule type="containsText" dxfId="693" priority="161" operator="containsText" text="완료">
      <formula>NOT(ISERROR(SEARCH("완료",K8)))</formula>
    </cfRule>
    <cfRule type="containsText" dxfId="692" priority="162" operator="containsText" text="중단">
      <formula>NOT(ISERROR(SEARCH("중단",K8)))</formula>
    </cfRule>
  </conditionalFormatting>
  <conditionalFormatting sqref="K8:K17">
    <cfRule type="containsText" dxfId="691" priority="159" operator="containsText" text="완료">
      <formula>NOT(ISERROR(SEARCH("완료",K8)))</formula>
    </cfRule>
    <cfRule type="containsText" dxfId="690" priority="160" operator="containsText" text="중단">
      <formula>NOT(ISERROR(SEARCH("중단",K8)))</formula>
    </cfRule>
  </conditionalFormatting>
  <conditionalFormatting sqref="K8:K17">
    <cfRule type="containsText" dxfId="689" priority="158" operator="containsText" text="진행중">
      <formula>NOT(ISERROR(SEARCH("진행중",K8)))</formula>
    </cfRule>
  </conditionalFormatting>
  <conditionalFormatting sqref="L8:L17">
    <cfRule type="containsText" dxfId="688" priority="156" operator="containsText" text="완료">
      <formula>NOT(ISERROR(SEARCH("완료",L8)))</formula>
    </cfRule>
    <cfRule type="containsText" dxfId="687" priority="157" operator="containsText" text="중단">
      <formula>NOT(ISERROR(SEARCH("중단",L8)))</formula>
    </cfRule>
  </conditionalFormatting>
  <conditionalFormatting sqref="L8:L17">
    <cfRule type="containsText" dxfId="686" priority="154" operator="containsText" text="완료">
      <formula>NOT(ISERROR(SEARCH("완료",L8)))</formula>
    </cfRule>
    <cfRule type="containsText" dxfId="685" priority="155" operator="containsText" text="중단">
      <formula>NOT(ISERROR(SEARCH("중단",L8)))</formula>
    </cfRule>
  </conditionalFormatting>
  <conditionalFormatting sqref="L8:L17">
    <cfRule type="containsText" dxfId="684" priority="153" operator="containsText" text="진행중">
      <formula>NOT(ISERROR(SEARCH("진행중",L8)))</formula>
    </cfRule>
  </conditionalFormatting>
  <conditionalFormatting sqref="M8:N28">
    <cfRule type="containsText" dxfId="683" priority="146" operator="containsText" text="완료">
      <formula>NOT(ISERROR(SEARCH("완료",M8)))</formula>
    </cfRule>
    <cfRule type="containsText" dxfId="682" priority="147" operator="containsText" text="중단">
      <formula>NOT(ISERROR(SEARCH("중단",M8)))</formula>
    </cfRule>
  </conditionalFormatting>
  <conditionalFormatting sqref="M8:N28">
    <cfRule type="containsText" dxfId="681" priority="144" operator="containsText" text="완료">
      <formula>NOT(ISERROR(SEARCH("완료",M8)))</formula>
    </cfRule>
    <cfRule type="containsText" dxfId="680" priority="145" operator="containsText" text="중단">
      <formula>NOT(ISERROR(SEARCH("중단",M8)))</formula>
    </cfRule>
  </conditionalFormatting>
  <conditionalFormatting sqref="M8:N28">
    <cfRule type="containsText" dxfId="679" priority="143" operator="containsText" text="진행중">
      <formula>NOT(ISERROR(SEARCH("진행중",M8)))</formula>
    </cfRule>
  </conditionalFormatting>
  <conditionalFormatting sqref="E19">
    <cfRule type="containsText" dxfId="678" priority="136" operator="containsText" text="완료">
      <formula>NOT(ISERROR(SEARCH("완료",E19)))</formula>
    </cfRule>
    <cfRule type="containsText" dxfId="677" priority="137" operator="containsText" text="중단">
      <formula>NOT(ISERROR(SEARCH("중단",E19)))</formula>
    </cfRule>
  </conditionalFormatting>
  <conditionalFormatting sqref="E19">
    <cfRule type="containsText" dxfId="676" priority="134" operator="containsText" text="완료">
      <formula>NOT(ISERROR(SEARCH("완료",E19)))</formula>
    </cfRule>
    <cfRule type="containsText" dxfId="675" priority="135" operator="containsText" text="중단">
      <formula>NOT(ISERROR(SEARCH("중단",E19)))</formula>
    </cfRule>
  </conditionalFormatting>
  <conditionalFormatting sqref="E19">
    <cfRule type="containsText" dxfId="674" priority="133" operator="containsText" text="진행중">
      <formula>NOT(ISERROR(SEARCH("진행중",E19)))</formula>
    </cfRule>
  </conditionalFormatting>
  <conditionalFormatting sqref="I14:I28">
    <cfRule type="containsText" dxfId="673" priority="226" operator="containsText" text="완료">
      <formula>NOT(ISERROR(SEARCH("완료",I14)))</formula>
    </cfRule>
    <cfRule type="containsText" dxfId="672" priority="227" operator="containsText" text="중단">
      <formula>NOT(ISERROR(SEARCH("중단",I14)))</formula>
    </cfRule>
  </conditionalFormatting>
  <conditionalFormatting sqref="I14:I28">
    <cfRule type="containsText" dxfId="671" priority="224" operator="containsText" text="완료">
      <formula>NOT(ISERROR(SEARCH("완료",I14)))</formula>
    </cfRule>
    <cfRule type="containsText" dxfId="670" priority="225" operator="containsText" text="중단">
      <formula>NOT(ISERROR(SEARCH("중단",I14)))</formula>
    </cfRule>
  </conditionalFormatting>
  <conditionalFormatting sqref="I14:I28">
    <cfRule type="containsText" dxfId="669" priority="223" operator="containsText" text="진행중">
      <formula>NOT(ISERROR(SEARCH("진행중",I14)))</formula>
    </cfRule>
  </conditionalFormatting>
  <conditionalFormatting sqref="F13">
    <cfRule type="containsText" dxfId="668" priority="221" operator="containsText" text="완료">
      <formula>NOT(ISERROR(SEARCH("완료",F13)))</formula>
    </cfRule>
    <cfRule type="containsText" dxfId="667" priority="222" operator="containsText" text="중단">
      <formula>NOT(ISERROR(SEARCH("중단",F13)))</formula>
    </cfRule>
  </conditionalFormatting>
  <conditionalFormatting sqref="F13">
    <cfRule type="containsText" dxfId="666" priority="219" operator="containsText" text="완료">
      <formula>NOT(ISERROR(SEARCH("완료",F13)))</formula>
    </cfRule>
    <cfRule type="containsText" dxfId="665" priority="220" operator="containsText" text="중단">
      <formula>NOT(ISERROR(SEARCH("중단",F13)))</formula>
    </cfRule>
  </conditionalFormatting>
  <conditionalFormatting sqref="F13">
    <cfRule type="containsText" dxfId="664" priority="218" operator="containsText" text="진행중">
      <formula>NOT(ISERROR(SEARCH("진행중",F13)))</formula>
    </cfRule>
  </conditionalFormatting>
  <conditionalFormatting sqref="I13">
    <cfRule type="containsText" dxfId="663" priority="216" operator="containsText" text="완료">
      <formula>NOT(ISERROR(SEARCH("완료",I13)))</formula>
    </cfRule>
    <cfRule type="containsText" dxfId="662" priority="217" operator="containsText" text="중단">
      <formula>NOT(ISERROR(SEARCH("중단",I13)))</formula>
    </cfRule>
  </conditionalFormatting>
  <conditionalFormatting sqref="I13">
    <cfRule type="containsText" dxfId="661" priority="214" operator="containsText" text="완료">
      <formula>NOT(ISERROR(SEARCH("완료",I13)))</formula>
    </cfRule>
    <cfRule type="containsText" dxfId="660" priority="215" operator="containsText" text="중단">
      <formula>NOT(ISERROR(SEARCH("중단",I13)))</formula>
    </cfRule>
  </conditionalFormatting>
  <conditionalFormatting sqref="I13">
    <cfRule type="containsText" dxfId="659" priority="213" operator="containsText" text="진행중">
      <formula>NOT(ISERROR(SEARCH("진행중",I13)))</formula>
    </cfRule>
  </conditionalFormatting>
  <conditionalFormatting sqref="E20:E21 E23:E28">
    <cfRule type="containsText" dxfId="658" priority="126" operator="containsText" text="완료">
      <formula>NOT(ISERROR(SEARCH("완료",E20)))</formula>
    </cfRule>
    <cfRule type="containsText" dxfId="657" priority="127" operator="containsText" text="중단">
      <formula>NOT(ISERROR(SEARCH("중단",E20)))</formula>
    </cfRule>
  </conditionalFormatting>
  <conditionalFormatting sqref="E20:E21 E23:E28">
    <cfRule type="containsText" dxfId="656" priority="124" operator="containsText" text="완료">
      <formula>NOT(ISERROR(SEARCH("완료",E20)))</formula>
    </cfRule>
    <cfRule type="containsText" dxfId="655" priority="125" operator="containsText" text="중단">
      <formula>NOT(ISERROR(SEARCH("중단",E20)))</formula>
    </cfRule>
  </conditionalFormatting>
  <conditionalFormatting sqref="E20:E21 E23:E28">
    <cfRule type="containsText" dxfId="654" priority="123" operator="containsText" text="진행중">
      <formula>NOT(ISERROR(SEARCH("진행중",E20)))</formula>
    </cfRule>
  </conditionalFormatting>
  <conditionalFormatting sqref="K18:K28">
    <cfRule type="containsText" dxfId="653" priority="206" operator="containsText" text="완료">
      <formula>NOT(ISERROR(SEARCH("완료",K18)))</formula>
    </cfRule>
    <cfRule type="containsText" dxfId="652" priority="207" operator="containsText" text="중단">
      <formula>NOT(ISERROR(SEARCH("중단",K18)))</formula>
    </cfRule>
  </conditionalFormatting>
  <conditionalFormatting sqref="K18:K28">
    <cfRule type="containsText" dxfId="651" priority="204" operator="containsText" text="완료">
      <formula>NOT(ISERROR(SEARCH("완료",K18)))</formula>
    </cfRule>
    <cfRule type="containsText" dxfId="650" priority="205" operator="containsText" text="중단">
      <formula>NOT(ISERROR(SEARCH("중단",K18)))</formula>
    </cfRule>
  </conditionalFormatting>
  <conditionalFormatting sqref="K18:K28">
    <cfRule type="containsText" dxfId="649" priority="203" operator="containsText" text="진행중">
      <formula>NOT(ISERROR(SEARCH("진행중",K18)))</formula>
    </cfRule>
  </conditionalFormatting>
  <conditionalFormatting sqref="L18:L28">
    <cfRule type="containsText" dxfId="648" priority="196" operator="containsText" text="완료">
      <formula>NOT(ISERROR(SEARCH("완료",L18)))</formula>
    </cfRule>
    <cfRule type="containsText" dxfId="647" priority="197" operator="containsText" text="중단">
      <formula>NOT(ISERROR(SEARCH("중단",L18)))</formula>
    </cfRule>
  </conditionalFormatting>
  <conditionalFormatting sqref="L18:L28">
    <cfRule type="containsText" dxfId="646" priority="194" operator="containsText" text="완료">
      <formula>NOT(ISERROR(SEARCH("완료",L18)))</formula>
    </cfRule>
    <cfRule type="containsText" dxfId="645" priority="195" operator="containsText" text="중단">
      <formula>NOT(ISERROR(SEARCH("중단",L18)))</formula>
    </cfRule>
  </conditionalFormatting>
  <conditionalFormatting sqref="L18:L28">
    <cfRule type="containsText" dxfId="644" priority="193" operator="containsText" text="진행중">
      <formula>NOT(ISERROR(SEARCH("진행중",L18)))</formula>
    </cfRule>
  </conditionalFormatting>
  <conditionalFormatting sqref="G8:G21">
    <cfRule type="containsText" dxfId="643" priority="121" operator="containsText" text="완료">
      <formula>NOT(ISERROR(SEARCH("완료",G8)))</formula>
    </cfRule>
    <cfRule type="containsText" dxfId="642" priority="122" operator="containsText" text="중단">
      <formula>NOT(ISERROR(SEARCH("중단",G8)))</formula>
    </cfRule>
  </conditionalFormatting>
  <conditionalFormatting sqref="G8:G21">
    <cfRule type="containsText" dxfId="641" priority="119" operator="containsText" text="완료">
      <formula>NOT(ISERROR(SEARCH("완료",G8)))</formula>
    </cfRule>
    <cfRule type="containsText" dxfId="640" priority="120" operator="containsText" text="중단">
      <formula>NOT(ISERROR(SEARCH("중단",G8)))</formula>
    </cfRule>
  </conditionalFormatting>
  <conditionalFormatting sqref="G8:G21">
    <cfRule type="containsText" dxfId="639" priority="118" operator="containsText" text="진행중">
      <formula>NOT(ISERROR(SEARCH("진행중",G8)))</formula>
    </cfRule>
  </conditionalFormatting>
  <conditionalFormatting sqref="H8:H21">
    <cfRule type="containsText" dxfId="638" priority="116" operator="containsText" text="완료">
      <formula>NOT(ISERROR(SEARCH("완료",H8)))</formula>
    </cfRule>
    <cfRule type="containsText" dxfId="637" priority="117" operator="containsText" text="중단">
      <formula>NOT(ISERROR(SEARCH("중단",H8)))</formula>
    </cfRule>
  </conditionalFormatting>
  <conditionalFormatting sqref="H8:H21">
    <cfRule type="containsText" dxfId="636" priority="114" operator="containsText" text="완료">
      <formula>NOT(ISERROR(SEARCH("완료",H8)))</formula>
    </cfRule>
    <cfRule type="containsText" dxfId="635" priority="115" operator="containsText" text="중단">
      <formula>NOT(ISERROR(SEARCH("중단",H8)))</formula>
    </cfRule>
  </conditionalFormatting>
  <conditionalFormatting sqref="H8:H21">
    <cfRule type="containsText" dxfId="634" priority="113" operator="containsText" text="진행중">
      <formula>NOT(ISERROR(SEARCH("진행중",H8)))</formula>
    </cfRule>
  </conditionalFormatting>
  <conditionalFormatting sqref="Q20:Q28">
    <cfRule type="containsText" dxfId="19" priority="91" operator="containsText" text="완료">
      <formula>NOT(ISERROR(SEARCH("완료",Q20)))</formula>
    </cfRule>
    <cfRule type="containsText" dxfId="18" priority="92" operator="containsText" text="중단">
      <formula>NOT(ISERROR(SEARCH("중단",Q20)))</formula>
    </cfRule>
  </conditionalFormatting>
  <conditionalFormatting sqref="Q20:Q28">
    <cfRule type="containsText" dxfId="17" priority="89" operator="containsText" text="완료">
      <formula>NOT(ISERROR(SEARCH("완료",Q20)))</formula>
    </cfRule>
    <cfRule type="containsText" dxfId="16" priority="90" operator="containsText" text="중단">
      <formula>NOT(ISERROR(SEARCH("중단",Q20)))</formula>
    </cfRule>
  </conditionalFormatting>
  <conditionalFormatting sqref="Q20:Q28">
    <cfRule type="containsText" dxfId="15" priority="88" operator="containsText" text="진행중">
      <formula>NOT(ISERROR(SEARCH("진행중",Q20)))</formula>
    </cfRule>
  </conditionalFormatting>
  <conditionalFormatting sqref="R20:R28">
    <cfRule type="containsText" dxfId="633" priority="86" operator="containsText" text="완료">
      <formula>NOT(ISERROR(SEARCH("완료",R20)))</formula>
    </cfRule>
    <cfRule type="containsText" dxfId="632" priority="87" operator="containsText" text="중단">
      <formula>NOT(ISERROR(SEARCH("중단",R20)))</formula>
    </cfRule>
  </conditionalFormatting>
  <conditionalFormatting sqref="R20:R28">
    <cfRule type="containsText" dxfId="631" priority="84" operator="containsText" text="완료">
      <formula>NOT(ISERROR(SEARCH("완료",R20)))</formula>
    </cfRule>
    <cfRule type="containsText" dxfId="630" priority="85" operator="containsText" text="중단">
      <formula>NOT(ISERROR(SEARCH("중단",R20)))</formula>
    </cfRule>
  </conditionalFormatting>
  <conditionalFormatting sqref="R20:R28">
    <cfRule type="containsText" dxfId="629" priority="83" operator="containsText" text="진행중">
      <formula>NOT(ISERROR(SEARCH("진행중",R20)))</formula>
    </cfRule>
  </conditionalFormatting>
  <conditionalFormatting sqref="S20:S28">
    <cfRule type="containsText" dxfId="628" priority="81" operator="containsText" text="완료">
      <formula>NOT(ISERROR(SEARCH("완료",S20)))</formula>
    </cfRule>
    <cfRule type="containsText" dxfId="627" priority="82" operator="containsText" text="중단">
      <formula>NOT(ISERROR(SEARCH("중단",S20)))</formula>
    </cfRule>
  </conditionalFormatting>
  <conditionalFormatting sqref="S20:S28">
    <cfRule type="containsText" dxfId="626" priority="79" operator="containsText" text="완료">
      <formula>NOT(ISERROR(SEARCH("완료",S20)))</formula>
    </cfRule>
    <cfRule type="containsText" dxfId="625" priority="80" operator="containsText" text="중단">
      <formula>NOT(ISERROR(SEARCH("중단",S20)))</formula>
    </cfRule>
  </conditionalFormatting>
  <conditionalFormatting sqref="S20:S28">
    <cfRule type="containsText" dxfId="624" priority="78" operator="containsText" text="진행중">
      <formula>NOT(ISERROR(SEARCH("진행중",S20)))</formula>
    </cfRule>
  </conditionalFormatting>
  <conditionalFormatting sqref="T20:T28">
    <cfRule type="containsText" dxfId="623" priority="76" operator="containsText" text="완료">
      <formula>NOT(ISERROR(SEARCH("완료",T20)))</formula>
    </cfRule>
    <cfRule type="containsText" dxfId="622" priority="77" operator="containsText" text="중단">
      <formula>NOT(ISERROR(SEARCH("중단",T20)))</formula>
    </cfRule>
  </conditionalFormatting>
  <conditionalFormatting sqref="T20:T28">
    <cfRule type="containsText" dxfId="621" priority="74" operator="containsText" text="완료">
      <formula>NOT(ISERROR(SEARCH("완료",T20)))</formula>
    </cfRule>
    <cfRule type="containsText" dxfId="620" priority="75" operator="containsText" text="중단">
      <formula>NOT(ISERROR(SEARCH("중단",T20)))</formula>
    </cfRule>
  </conditionalFormatting>
  <conditionalFormatting sqref="T20:T28">
    <cfRule type="containsText" dxfId="619" priority="73" operator="containsText" text="진행중">
      <formula>NOT(ISERROR(SEARCH("진행중",T20)))</formula>
    </cfRule>
  </conditionalFormatting>
  <conditionalFormatting sqref="U20:AC28">
    <cfRule type="containsText" dxfId="618" priority="66" operator="containsText" text="완료">
      <formula>NOT(ISERROR(SEARCH("완료",U20)))</formula>
    </cfRule>
    <cfRule type="containsText" dxfId="617" priority="67" operator="containsText" text="중단">
      <formula>NOT(ISERROR(SEARCH("중단",U20)))</formula>
    </cfRule>
  </conditionalFormatting>
  <conditionalFormatting sqref="U20:AC28">
    <cfRule type="containsText" dxfId="616" priority="64" operator="containsText" text="완료">
      <formula>NOT(ISERROR(SEARCH("완료",U20)))</formula>
    </cfRule>
    <cfRule type="containsText" dxfId="615" priority="65" operator="containsText" text="중단">
      <formula>NOT(ISERROR(SEARCH("중단",U20)))</formula>
    </cfRule>
  </conditionalFormatting>
  <conditionalFormatting sqref="U20:AC28">
    <cfRule type="containsText" dxfId="614" priority="63" operator="containsText" text="진행중">
      <formula>NOT(ISERROR(SEARCH("진행중",U20)))</formula>
    </cfRule>
  </conditionalFormatting>
  <conditionalFormatting sqref="AD20:AD28">
    <cfRule type="containsText" dxfId="613" priority="61" operator="containsText" text="완료">
      <formula>NOT(ISERROR(SEARCH("완료",AD20)))</formula>
    </cfRule>
    <cfRule type="containsText" dxfId="612" priority="62" operator="containsText" text="중단">
      <formula>NOT(ISERROR(SEARCH("중단",AD20)))</formula>
    </cfRule>
  </conditionalFormatting>
  <conditionalFormatting sqref="AD20:AD28">
    <cfRule type="containsText" dxfId="611" priority="59" operator="containsText" text="완료">
      <formula>NOT(ISERROR(SEARCH("완료",AD20)))</formula>
    </cfRule>
    <cfRule type="containsText" dxfId="610" priority="60" operator="containsText" text="중단">
      <formula>NOT(ISERROR(SEARCH("중단",AD20)))</formula>
    </cfRule>
  </conditionalFormatting>
  <conditionalFormatting sqref="AD20:AD28">
    <cfRule type="containsText" dxfId="609" priority="58" operator="containsText" text="진행중">
      <formula>NOT(ISERROR(SEARCH("진행중",AD20)))</formula>
    </cfRule>
  </conditionalFormatting>
  <conditionalFormatting sqref="AE20:AE28">
    <cfRule type="containsText" dxfId="608" priority="56" operator="containsText" text="완료">
      <formula>NOT(ISERROR(SEARCH("완료",AE20)))</formula>
    </cfRule>
    <cfRule type="containsText" dxfId="607" priority="57" operator="containsText" text="중단">
      <formula>NOT(ISERROR(SEARCH("중단",AE20)))</formula>
    </cfRule>
  </conditionalFormatting>
  <conditionalFormatting sqref="AE20:AE28">
    <cfRule type="containsText" dxfId="606" priority="54" operator="containsText" text="완료">
      <formula>NOT(ISERROR(SEARCH("완료",AE20)))</formula>
    </cfRule>
    <cfRule type="containsText" dxfId="605" priority="55" operator="containsText" text="중단">
      <formula>NOT(ISERROR(SEARCH("중단",AE20)))</formula>
    </cfRule>
  </conditionalFormatting>
  <conditionalFormatting sqref="AE20:AE28">
    <cfRule type="containsText" dxfId="604" priority="53" operator="containsText" text="진행중">
      <formula>NOT(ISERROR(SEARCH("진행중",AE20)))</formula>
    </cfRule>
  </conditionalFormatting>
  <conditionalFormatting sqref="D7">
    <cfRule type="containsText" dxfId="603" priority="51" operator="containsText" text="완료">
      <formula>NOT(ISERROR(SEARCH("완료",D7)))</formula>
    </cfRule>
    <cfRule type="containsText" dxfId="602" priority="52" operator="containsText" text="중단">
      <formula>NOT(ISERROR(SEARCH("중단",D7)))</formula>
    </cfRule>
  </conditionalFormatting>
  <conditionalFormatting sqref="D7">
    <cfRule type="containsText" dxfId="601" priority="49" operator="containsText" text="완료">
      <formula>NOT(ISERROR(SEARCH("완료",D7)))</formula>
    </cfRule>
    <cfRule type="containsText" dxfId="600" priority="50" operator="containsText" text="중단">
      <formula>NOT(ISERROR(SEARCH("중단",D7)))</formula>
    </cfRule>
  </conditionalFormatting>
  <conditionalFormatting sqref="D7">
    <cfRule type="containsText" dxfId="599" priority="48" operator="containsText" text="진행중">
      <formula>NOT(ISERROR(SEARCH("진행중",D7)))</formula>
    </cfRule>
  </conditionalFormatting>
  <conditionalFormatting sqref="A1:AG21 A23:AG29 A22:D22 F22:AG22">
    <cfRule type="containsText" dxfId="14" priority="47" operator="containsText" text="누락">
      <formula>NOT(ISERROR(SEARCH("누락",A1)))</formula>
    </cfRule>
  </conditionalFormatting>
  <conditionalFormatting sqref="AF21:AF27">
    <cfRule type="containsText" dxfId="598" priority="45" operator="containsText" text="완료">
      <formula>NOT(ISERROR(SEARCH("완료",AF21)))</formula>
    </cfRule>
    <cfRule type="containsText" dxfId="597" priority="46" operator="containsText" text="중단">
      <formula>NOT(ISERROR(SEARCH("중단",AF21)))</formula>
    </cfRule>
  </conditionalFormatting>
  <conditionalFormatting sqref="AF21:AF27">
    <cfRule type="containsText" dxfId="596" priority="43" operator="containsText" text="완료">
      <formula>NOT(ISERROR(SEARCH("완료",AF21)))</formula>
    </cfRule>
    <cfRule type="containsText" dxfId="595" priority="44" operator="containsText" text="중단">
      <formula>NOT(ISERROR(SEARCH("중단",AF21)))</formula>
    </cfRule>
  </conditionalFormatting>
  <conditionalFormatting sqref="AF21:AF27">
    <cfRule type="containsText" dxfId="594" priority="42" operator="containsText" text="진행중">
      <formula>NOT(ISERROR(SEARCH("진행중",AF21)))</formula>
    </cfRule>
  </conditionalFormatting>
  <conditionalFormatting sqref="AG21:AG27">
    <cfRule type="containsText" dxfId="593" priority="40" operator="containsText" text="완료">
      <formula>NOT(ISERROR(SEARCH("완료",AG21)))</formula>
    </cfRule>
    <cfRule type="containsText" dxfId="592" priority="41" operator="containsText" text="중단">
      <formula>NOT(ISERROR(SEARCH("중단",AG21)))</formula>
    </cfRule>
  </conditionalFormatting>
  <conditionalFormatting sqref="AG21:AG27">
    <cfRule type="containsText" dxfId="591" priority="38" operator="containsText" text="완료">
      <formula>NOT(ISERROR(SEARCH("완료",AG21)))</formula>
    </cfRule>
    <cfRule type="containsText" dxfId="590" priority="39" operator="containsText" text="중단">
      <formula>NOT(ISERROR(SEARCH("중단",AG21)))</formula>
    </cfRule>
  </conditionalFormatting>
  <conditionalFormatting sqref="AG21:AG27">
    <cfRule type="containsText" dxfId="589" priority="37" operator="containsText" text="진행중">
      <formula>NOT(ISERROR(SEARCH("진행중",AG21)))</formula>
    </cfRule>
  </conditionalFormatting>
  <conditionalFormatting sqref="AG21:AG27">
    <cfRule type="containsText" dxfId="588" priority="35" operator="containsText" text="완료">
      <formula>NOT(ISERROR(SEARCH("완료",AG21)))</formula>
    </cfRule>
    <cfRule type="containsText" dxfId="587" priority="36" operator="containsText" text="중단">
      <formula>NOT(ISERROR(SEARCH("중단",AG21)))</formula>
    </cfRule>
  </conditionalFormatting>
  <conditionalFormatting sqref="AG21:AG27">
    <cfRule type="containsText" dxfId="586" priority="33" operator="containsText" text="완료">
      <formula>NOT(ISERROR(SEARCH("완료",AG21)))</formula>
    </cfRule>
    <cfRule type="containsText" dxfId="585" priority="34" operator="containsText" text="중단">
      <formula>NOT(ISERROR(SEARCH("중단",AG21)))</formula>
    </cfRule>
  </conditionalFormatting>
  <conditionalFormatting sqref="AG21:AG27">
    <cfRule type="containsText" dxfId="584" priority="32" operator="containsText" text="진행중">
      <formula>NOT(ISERROR(SEARCH("진행중",AG21)))</formula>
    </cfRule>
  </conditionalFormatting>
  <conditionalFormatting sqref="AF28">
    <cfRule type="containsText" dxfId="583" priority="30" operator="containsText" text="완료">
      <formula>NOT(ISERROR(SEARCH("완료",AF28)))</formula>
    </cfRule>
    <cfRule type="containsText" dxfId="582" priority="31" operator="containsText" text="중단">
      <formula>NOT(ISERROR(SEARCH("중단",AF28)))</formula>
    </cfRule>
  </conditionalFormatting>
  <conditionalFormatting sqref="AF28">
    <cfRule type="containsText" dxfId="581" priority="28" operator="containsText" text="완료">
      <formula>NOT(ISERROR(SEARCH("완료",AF28)))</formula>
    </cfRule>
    <cfRule type="containsText" dxfId="580" priority="29" operator="containsText" text="중단">
      <formula>NOT(ISERROR(SEARCH("중단",AF28)))</formula>
    </cfRule>
  </conditionalFormatting>
  <conditionalFormatting sqref="AF28">
    <cfRule type="containsText" dxfId="579" priority="27" operator="containsText" text="진행중">
      <formula>NOT(ISERROR(SEARCH("진행중",AF28)))</formula>
    </cfRule>
  </conditionalFormatting>
  <conditionalFormatting sqref="AG28">
    <cfRule type="containsText" dxfId="578" priority="25" operator="containsText" text="완료">
      <formula>NOT(ISERROR(SEARCH("완료",AG28)))</formula>
    </cfRule>
    <cfRule type="containsText" dxfId="577" priority="26" operator="containsText" text="중단">
      <formula>NOT(ISERROR(SEARCH("중단",AG28)))</formula>
    </cfRule>
  </conditionalFormatting>
  <conditionalFormatting sqref="AG28">
    <cfRule type="containsText" dxfId="576" priority="23" operator="containsText" text="완료">
      <formula>NOT(ISERROR(SEARCH("완료",AG28)))</formula>
    </cfRule>
    <cfRule type="containsText" dxfId="575" priority="24" operator="containsText" text="중단">
      <formula>NOT(ISERROR(SEARCH("중단",AG28)))</formula>
    </cfRule>
  </conditionalFormatting>
  <conditionalFormatting sqref="AG28">
    <cfRule type="containsText" dxfId="574" priority="22" operator="containsText" text="진행중">
      <formula>NOT(ISERROR(SEARCH("진행중",AG28)))</formula>
    </cfRule>
  </conditionalFormatting>
  <conditionalFormatting sqref="Q16">
    <cfRule type="containsText" dxfId="39" priority="20" operator="containsText" text="완료">
      <formula>NOT(ISERROR(SEARCH("완료",Q16)))</formula>
    </cfRule>
    <cfRule type="containsText" dxfId="38" priority="21" operator="containsText" text="중단">
      <formula>NOT(ISERROR(SEARCH("중단",Q16)))</formula>
    </cfRule>
  </conditionalFormatting>
  <conditionalFormatting sqref="Q16">
    <cfRule type="containsText" dxfId="37" priority="18" operator="containsText" text="완료">
      <formula>NOT(ISERROR(SEARCH("완료",Q16)))</formula>
    </cfRule>
    <cfRule type="containsText" dxfId="36" priority="19" operator="containsText" text="중단">
      <formula>NOT(ISERROR(SEARCH("중단",Q16)))</formula>
    </cfRule>
  </conditionalFormatting>
  <conditionalFormatting sqref="Q16">
    <cfRule type="containsText" dxfId="35" priority="17" operator="containsText" text="진행중">
      <formula>NOT(ISERROR(SEARCH("진행중",Q16)))</formula>
    </cfRule>
  </conditionalFormatting>
  <conditionalFormatting sqref="R16">
    <cfRule type="containsText" dxfId="34" priority="15" operator="containsText" text="완료">
      <formula>NOT(ISERROR(SEARCH("완료",R16)))</formula>
    </cfRule>
    <cfRule type="containsText" dxfId="33" priority="16" operator="containsText" text="중단">
      <formula>NOT(ISERROR(SEARCH("중단",R16)))</formula>
    </cfRule>
  </conditionalFormatting>
  <conditionalFormatting sqref="R16">
    <cfRule type="containsText" dxfId="32" priority="13" operator="containsText" text="완료">
      <formula>NOT(ISERROR(SEARCH("완료",R16)))</formula>
    </cfRule>
    <cfRule type="containsText" dxfId="31" priority="14" operator="containsText" text="중단">
      <formula>NOT(ISERROR(SEARCH("중단",R16)))</formula>
    </cfRule>
  </conditionalFormatting>
  <conditionalFormatting sqref="R16">
    <cfRule type="containsText" dxfId="30" priority="12" operator="containsText" text="진행중">
      <formula>NOT(ISERROR(SEARCH("진행중",R16)))</formula>
    </cfRule>
  </conditionalFormatting>
  <conditionalFormatting sqref="S16">
    <cfRule type="containsText" dxfId="29" priority="10" operator="containsText" text="완료">
      <formula>NOT(ISERROR(SEARCH("완료",S16)))</formula>
    </cfRule>
    <cfRule type="containsText" dxfId="28" priority="11" operator="containsText" text="중단">
      <formula>NOT(ISERROR(SEARCH("중단",S16)))</formula>
    </cfRule>
  </conditionalFormatting>
  <conditionalFormatting sqref="S16">
    <cfRule type="containsText" dxfId="27" priority="8" operator="containsText" text="완료">
      <formula>NOT(ISERROR(SEARCH("완료",S16)))</formula>
    </cfRule>
    <cfRule type="containsText" dxfId="26" priority="9" operator="containsText" text="중단">
      <formula>NOT(ISERROR(SEARCH("중단",S16)))</formula>
    </cfRule>
  </conditionalFormatting>
  <conditionalFormatting sqref="S16">
    <cfRule type="containsText" dxfId="25" priority="7" operator="containsText" text="진행중">
      <formula>NOT(ISERROR(SEARCH("진행중",S16)))</formula>
    </cfRule>
  </conditionalFormatting>
  <conditionalFormatting sqref="T16">
    <cfRule type="containsText" dxfId="24" priority="5" operator="containsText" text="완료">
      <formula>NOT(ISERROR(SEARCH("완료",T16)))</formula>
    </cfRule>
    <cfRule type="containsText" dxfId="23" priority="6" operator="containsText" text="중단">
      <formula>NOT(ISERROR(SEARCH("중단",T16)))</formula>
    </cfRule>
  </conditionalFormatting>
  <conditionalFormatting sqref="T16">
    <cfRule type="containsText" dxfId="22" priority="3" operator="containsText" text="완료">
      <formula>NOT(ISERROR(SEARCH("완료",T16)))</formula>
    </cfRule>
    <cfRule type="containsText" dxfId="21" priority="4" operator="containsText" text="중단">
      <formula>NOT(ISERROR(SEARCH("중단",T16)))</formula>
    </cfRule>
  </conditionalFormatting>
  <conditionalFormatting sqref="T16">
    <cfRule type="containsText" dxfId="20" priority="2" operator="containsText" text="진행중">
      <formula>NOT(ISERROR(SEARCH("진행중",T16)))</formula>
    </cfRule>
  </conditionalFormatting>
  <conditionalFormatting sqref="E22:E28">
    <cfRule type="containsText" dxfId="12" priority="1" operator="containsText" text="누락">
      <formula>NOT(ISERROR(SEARCH("누락",E22)))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7ECAD-04AF-49A6-A664-FE5E3EFF57FF}">
  <sheetPr>
    <tabColor theme="0" tint="-0.14999847407452621"/>
  </sheetPr>
  <dimension ref="A1:AP29"/>
  <sheetViews>
    <sheetView zoomScale="55" zoomScaleNormal="55" workbookViewId="0">
      <selection activeCell="H16" sqref="H16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72" t="s">
        <v>18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</row>
    <row r="2" spans="1:42" x14ac:dyDescent="0.45">
      <c r="A2" s="60" t="s">
        <v>10</v>
      </c>
      <c r="B2" s="61" t="s">
        <v>90</v>
      </c>
      <c r="C2" s="62"/>
      <c r="D2" s="62"/>
      <c r="E2" s="62"/>
      <c r="F2" s="60" t="s">
        <v>109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18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92</v>
      </c>
      <c r="L5" s="65"/>
      <c r="M5" s="65"/>
      <c r="N5" s="66"/>
      <c r="O5" s="42" t="s">
        <v>91</v>
      </c>
      <c r="P5" s="17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71" t="s">
        <v>120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19" t="s">
        <v>25</v>
      </c>
      <c r="Q6" s="19" t="s">
        <v>4</v>
      </c>
      <c r="R6" s="19" t="s">
        <v>12</v>
      </c>
      <c r="S6" s="19" t="s">
        <v>13</v>
      </c>
      <c r="T6" s="19" t="s">
        <v>5</v>
      </c>
      <c r="U6" s="19" t="s">
        <v>4</v>
      </c>
      <c r="V6" s="19" t="s">
        <v>12</v>
      </c>
      <c r="W6" s="19" t="s">
        <v>13</v>
      </c>
      <c r="X6" s="19" t="s">
        <v>5</v>
      </c>
      <c r="Y6" s="19" t="s">
        <v>4</v>
      </c>
      <c r="Z6" s="19" t="s">
        <v>12</v>
      </c>
      <c r="AA6" s="19" t="s">
        <v>13</v>
      </c>
      <c r="AB6" s="19" t="s">
        <v>5</v>
      </c>
      <c r="AC6" s="19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16" si="0">IF(B7="","",
  IF(MOD($B7,1)=0,
    "Dimensions: L W H",
    "-"
  )
)</f>
        <v>Dimensions: L W H</v>
      </c>
      <c r="D7" s="6" t="str">
        <f t="shared" ref="D7:D18" si="1">IF(E7="","",
  IF(MOD($B7,1)=0,
    "완료",
    "-"
  )
)</f>
        <v>완료</v>
      </c>
      <c r="E7" s="24">
        <v>19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92" t="str">
        <f>IF(MOD($B7,5)=0, "누락 ","-" )</f>
        <v>-</v>
      </c>
      <c r="R7" s="92" t="str">
        <f>IF(MOD($B7,5)=0, "누락 ","-" )</f>
        <v>-</v>
      </c>
      <c r="S7" s="92" t="str">
        <f>IF(MOD($B7,5)=0, "누락 ","-" )</f>
        <v>-</v>
      </c>
      <c r="T7" s="92" t="str">
        <f>IF(MOD($B7,5)=0, "누락 ","-" )</f>
        <v>-</v>
      </c>
      <c r="U7" s="92" t="str">
        <f>IF(MOD($B7,5)=0, "누락","-" )</f>
        <v>-</v>
      </c>
      <c r="V7" s="92" t="str">
        <f>IF(MOD($B7,5)=0, "누락","-" )</f>
        <v>-</v>
      </c>
      <c r="W7" s="92" t="str">
        <f>IF(MOD($B7,5)=0, "누락","-" )</f>
        <v>-</v>
      </c>
      <c r="X7" s="92" t="str">
        <f>IF(MOD($B7,5)=0, "누락","-" )</f>
        <v>-</v>
      </c>
      <c r="Y7" s="92" t="str">
        <f>IF(MOD($B7,5)=0, "누락","-" )</f>
        <v>-</v>
      </c>
      <c r="Z7" s="92" t="str">
        <f>IF(MOD($B7,5)=0, "누락","-" )</f>
        <v>-</v>
      </c>
      <c r="AA7" s="92" t="str">
        <f>IF(MOD($B7,5)=0, "누락","-" )</f>
        <v>-</v>
      </c>
      <c r="AB7" s="92" t="str">
        <f>IF(MOD($B7,5)=0, "누락","-" )</f>
        <v>-</v>
      </c>
      <c r="AC7" s="92" t="str">
        <f>IF(MOD($B7,5)=0, "누락","-" )</f>
        <v>-</v>
      </c>
      <c r="AD7" s="92" t="str">
        <f t="shared" ref="AD7:AD18" si="2">IF(MOD($B7,40)=0, "필터세척 :"&amp; CHAR(10) &amp; "FLOW   (T1, T4 : / T2, T3 : / T4 : )","-" )</f>
        <v>-</v>
      </c>
      <c r="AE7" s="92" t="str">
        <f>IF($B7="","",
  IF(MOD($B7,160)=0,
    "TENSION (XL : / ZL : / XR : / ZR : / Y : )" &amp; CHAR(10) &amp;
    "필터교체",
    "-"
  )
)</f>
        <v>-</v>
      </c>
      <c r="AF7" s="1" t="s">
        <v>16</v>
      </c>
      <c r="AG7" s="1"/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49" t="s">
        <v>40</v>
      </c>
      <c r="G8" s="49" t="str">
        <f>IF(NOT(LEN($I8)=0),G7,"")</f>
        <v>-</v>
      </c>
      <c r="H8" s="49" t="str">
        <f>IF(NOT(LEN($I8)=0),H7,"")</f>
        <v>-</v>
      </c>
      <c r="I8" s="49" t="s">
        <v>40</v>
      </c>
      <c r="J8" s="1"/>
      <c r="K8" s="50" t="str">
        <f t="shared" ref="K8:K17" si="3">IF(NOT(LEN($I8)=0),K7,"")</f>
        <v>VITA</v>
      </c>
      <c r="L8" s="50" t="str">
        <f t="shared" ref="L8:L17" si="4">IF(NOT(LEN($I8)=0),L7,"")</f>
        <v>MARK II</v>
      </c>
      <c r="M8" s="50">
        <f t="shared" ref="M8" si="5">IF(NOT(LEN($I8)=0),M7,"")</f>
        <v>160</v>
      </c>
      <c r="N8" s="50" t="str">
        <f>IF(NOT(LEN($I8)=0),N7,"")</f>
        <v>-</v>
      </c>
      <c r="O8" s="24">
        <f>IF(LEN(A8)&gt;0, 종합!$C$27, "")</f>
        <v>2.2599999999999998</v>
      </c>
      <c r="P8" s="1" t="s">
        <v>16</v>
      </c>
      <c r="Q8" s="92" t="str">
        <f>IF(MOD($B8,5)=0, "누락 ","-" )</f>
        <v>-</v>
      </c>
      <c r="R8" s="92" t="str">
        <f>IF(MOD($B8,5)=0, "누락 ","-" )</f>
        <v>-</v>
      </c>
      <c r="S8" s="92" t="str">
        <f>IF(MOD($B8,5)=0, "누락 ","-" )</f>
        <v>-</v>
      </c>
      <c r="T8" s="92" t="str">
        <f>IF(MOD($B8,5)=0, "누락 ","-" )</f>
        <v>-</v>
      </c>
      <c r="U8" s="92" t="str">
        <f>IF(MOD($B8,5)=0, "누락","-" )</f>
        <v>-</v>
      </c>
      <c r="V8" s="92" t="str">
        <f>IF(MOD($B8,5)=0, "누락","-" )</f>
        <v>-</v>
      </c>
      <c r="W8" s="92" t="str">
        <f>IF(MOD($B8,5)=0, "누락","-" )</f>
        <v>-</v>
      </c>
      <c r="X8" s="92" t="str">
        <f>IF(MOD($B8,5)=0, "누락","-" )</f>
        <v>-</v>
      </c>
      <c r="Y8" s="92" t="str">
        <f>IF(MOD($B8,5)=0, "누락","-" )</f>
        <v>-</v>
      </c>
      <c r="Z8" s="92" t="str">
        <f>IF(MOD($B8,5)=0, "누락","-" )</f>
        <v>-</v>
      </c>
      <c r="AA8" s="92" t="str">
        <f>IF(MOD($B8,5)=0, "누락","-" )</f>
        <v>-</v>
      </c>
      <c r="AB8" s="92" t="str">
        <f>IF(MOD($B8,5)=0, "누락","-" )</f>
        <v>-</v>
      </c>
      <c r="AC8" s="92" t="str">
        <f>IF(MOD($B8,5)=0, "누락","-" )</f>
        <v>-</v>
      </c>
      <c r="AD8" s="92" t="str">
        <f t="shared" si="2"/>
        <v>-</v>
      </c>
      <c r="AE8" s="92" t="str">
        <f t="shared" ref="AE8:AE15" si="6">IF($B8="","",
  IF(MOD(B8,160)=0,
    "TENSION (XL : / ZL : / XR : / ZR : / Y : )" &amp; CHAR(10) &amp;
    "필터교체",
    "-"
  )
)</f>
        <v>-</v>
      </c>
      <c r="AF8" s="1" t="s">
        <v>16</v>
      </c>
      <c r="AG8" s="2"/>
    </row>
    <row r="9" spans="1:42" x14ac:dyDescent="0.45">
      <c r="A9" s="3">
        <v>45971</v>
      </c>
      <c r="B9" s="24">
        <f t="shared" ref="B9:B21" si="7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49" t="s">
        <v>40</v>
      </c>
      <c r="G9" s="49" t="str">
        <f t="shared" ref="G9:G19" si="8">IF(NOT(LEN($I9)=0),G8,"")</f>
        <v>-</v>
      </c>
      <c r="H9" s="49" t="str">
        <f t="shared" ref="H9:H19" si="9">IF(NOT(LEN($I9)=0),H8,"")</f>
        <v>-</v>
      </c>
      <c r="I9" s="49" t="s">
        <v>40</v>
      </c>
      <c r="J9" s="1"/>
      <c r="K9" s="50" t="str">
        <f t="shared" si="3"/>
        <v>VITA</v>
      </c>
      <c r="L9" s="50" t="str">
        <f t="shared" si="4"/>
        <v>MARK II</v>
      </c>
      <c r="M9" s="50">
        <f t="shared" ref="M9:M18" si="10">IF(NOT(LEN($I9)=0),M8,"")</f>
        <v>160</v>
      </c>
      <c r="N9" s="50" t="str">
        <f t="shared" ref="N9:N18" si="11">IF(NOT(LEN($I9)=0),N8,"")</f>
        <v>-</v>
      </c>
      <c r="O9" s="24">
        <f>IF(LEN(A9)&gt;0, 종합!$C$27, "")</f>
        <v>2.2599999999999998</v>
      </c>
      <c r="P9" s="1" t="s">
        <v>16</v>
      </c>
      <c r="Q9" s="92" t="str">
        <f>IF(MOD($B9,5)=0, "누락 ","-" )</f>
        <v>-</v>
      </c>
      <c r="R9" s="92" t="str">
        <f>IF(MOD($B9,5)=0, "누락 ","-" )</f>
        <v>-</v>
      </c>
      <c r="S9" s="92" t="str">
        <f>IF(MOD($B9,5)=0, "누락 ","-" )</f>
        <v>-</v>
      </c>
      <c r="T9" s="92" t="str">
        <f>IF(MOD($B9,5)=0, "누락 ","-" )</f>
        <v>-</v>
      </c>
      <c r="U9" s="92" t="str">
        <f>IF(MOD($B9,5)=0, "누락","-" )</f>
        <v>-</v>
      </c>
      <c r="V9" s="92" t="str">
        <f>IF(MOD($B9,5)=0, "누락","-" )</f>
        <v>-</v>
      </c>
      <c r="W9" s="92" t="str">
        <f>IF(MOD($B9,5)=0, "누락","-" )</f>
        <v>-</v>
      </c>
      <c r="X9" s="92" t="str">
        <f>IF(MOD($B9,5)=0, "누락","-" )</f>
        <v>-</v>
      </c>
      <c r="Y9" s="92" t="str">
        <f>IF(MOD($B9,5)=0, "누락","-" )</f>
        <v>-</v>
      </c>
      <c r="Z9" s="92" t="str">
        <f>IF(MOD($B9,5)=0, "누락","-" )</f>
        <v>-</v>
      </c>
      <c r="AA9" s="92" t="str">
        <f>IF(MOD($B9,5)=0, "누락","-" )</f>
        <v>-</v>
      </c>
      <c r="AB9" s="92" t="str">
        <f>IF(MOD($B9,5)=0, "누락","-" )</f>
        <v>-</v>
      </c>
      <c r="AC9" s="92" t="str">
        <f>IF(MOD($B9,5)=0, "누락","-" )</f>
        <v>-</v>
      </c>
      <c r="AD9" s="92" t="str">
        <f t="shared" si="2"/>
        <v>-</v>
      </c>
      <c r="AE9" s="92" t="str">
        <f t="shared" si="6"/>
        <v>-</v>
      </c>
      <c r="AF9" s="1" t="s">
        <v>16</v>
      </c>
      <c r="AG9" s="2"/>
    </row>
    <row r="10" spans="1:42" x14ac:dyDescent="0.45">
      <c r="A10" s="3">
        <v>45971</v>
      </c>
      <c r="B10" s="24">
        <f t="shared" si="7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tr">
        <f t="shared" si="8"/>
        <v>-</v>
      </c>
      <c r="H10" s="49" t="str">
        <f t="shared" si="9"/>
        <v>-</v>
      </c>
      <c r="I10" s="49" t="s">
        <v>40</v>
      </c>
      <c r="J10" s="1"/>
      <c r="K10" s="50" t="str">
        <f t="shared" si="3"/>
        <v>VITA</v>
      </c>
      <c r="L10" s="50" t="str">
        <f t="shared" si="4"/>
        <v>MARK II</v>
      </c>
      <c r="M10" s="50">
        <f t="shared" si="10"/>
        <v>160</v>
      </c>
      <c r="N10" s="50" t="str">
        <f t="shared" si="11"/>
        <v>-</v>
      </c>
      <c r="O10" s="24">
        <f>IF(LEN(A10)&gt;0, 종합!$C$27, "")</f>
        <v>2.2599999999999998</v>
      </c>
      <c r="P10" s="1" t="s">
        <v>16</v>
      </c>
      <c r="Q10" s="92" t="str">
        <f>IF(MOD($B10,5)=0, "누락 ","-" )</f>
        <v>-</v>
      </c>
      <c r="R10" s="92" t="str">
        <f>IF(MOD($B10,5)=0, "누락 ","-" )</f>
        <v>-</v>
      </c>
      <c r="S10" s="92" t="str">
        <f>IF(MOD($B10,5)=0, "누락 ","-" )</f>
        <v>-</v>
      </c>
      <c r="T10" s="92" t="str">
        <f>IF(MOD($B10,5)=0, "누락 ","-" )</f>
        <v>-</v>
      </c>
      <c r="U10" s="92" t="str">
        <f>IF(MOD($B10,5)=0, "누락","-" )</f>
        <v>-</v>
      </c>
      <c r="V10" s="92" t="str">
        <f>IF(MOD($B10,5)=0, "누락","-" )</f>
        <v>-</v>
      </c>
      <c r="W10" s="92" t="str">
        <f>IF(MOD($B10,5)=0, "누락","-" )</f>
        <v>-</v>
      </c>
      <c r="X10" s="92" t="str">
        <f>IF(MOD($B10,5)=0, "누락","-" )</f>
        <v>-</v>
      </c>
      <c r="Y10" s="92" t="str">
        <f>IF(MOD($B10,5)=0, "누락","-" )</f>
        <v>-</v>
      </c>
      <c r="Z10" s="92" t="str">
        <f>IF(MOD($B10,5)=0, "누락","-" )</f>
        <v>-</v>
      </c>
      <c r="AA10" s="92" t="str">
        <f>IF(MOD($B10,5)=0, "누락","-" )</f>
        <v>-</v>
      </c>
      <c r="AB10" s="92" t="str">
        <f>IF(MOD($B10,5)=0, "누락","-" )</f>
        <v>-</v>
      </c>
      <c r="AC10" s="92" t="str">
        <f>IF(MOD($B10,5)=0, "누락","-" )</f>
        <v>-</v>
      </c>
      <c r="AD10" s="92" t="str">
        <f t="shared" si="2"/>
        <v>-</v>
      </c>
      <c r="AE10" s="92" t="str">
        <f t="shared" si="6"/>
        <v>-</v>
      </c>
      <c r="AF10" s="1" t="s">
        <v>16</v>
      </c>
      <c r="AG10" s="2"/>
    </row>
    <row r="11" spans="1:42" x14ac:dyDescent="0.45">
      <c r="A11" s="3">
        <v>45971</v>
      </c>
      <c r="B11" s="24">
        <f t="shared" si="7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49" t="s">
        <v>40</v>
      </c>
      <c r="G11" s="49" t="str">
        <f t="shared" si="8"/>
        <v>-</v>
      </c>
      <c r="H11" s="49" t="str">
        <f t="shared" si="9"/>
        <v>-</v>
      </c>
      <c r="I11" s="49" t="s">
        <v>40</v>
      </c>
      <c r="J11" s="1"/>
      <c r="K11" s="50" t="str">
        <f t="shared" si="3"/>
        <v>VITA</v>
      </c>
      <c r="L11" s="50" t="str">
        <f t="shared" si="4"/>
        <v>MARK II</v>
      </c>
      <c r="M11" s="50">
        <f t="shared" si="10"/>
        <v>160</v>
      </c>
      <c r="N11" s="50" t="str">
        <f t="shared" si="11"/>
        <v>-</v>
      </c>
      <c r="O11" s="24">
        <f>IF(LEN(A11)&gt;0, 종합!$C$27, "")</f>
        <v>2.2599999999999998</v>
      </c>
      <c r="P11" s="1" t="s">
        <v>16</v>
      </c>
      <c r="Q11" s="92" t="s">
        <v>122</v>
      </c>
      <c r="R11" s="92" t="s">
        <v>122</v>
      </c>
      <c r="S11" s="92" t="s">
        <v>122</v>
      </c>
      <c r="T11" s="92" t="s">
        <v>122</v>
      </c>
      <c r="U11" s="92" t="s">
        <v>82</v>
      </c>
      <c r="V11" s="92" t="s">
        <v>83</v>
      </c>
      <c r="W11" s="92" t="s">
        <v>84</v>
      </c>
      <c r="X11" s="92" t="s">
        <v>85</v>
      </c>
      <c r="Y11" s="92" t="s">
        <v>86</v>
      </c>
      <c r="Z11" s="92" t="s">
        <v>87</v>
      </c>
      <c r="AA11" s="92" t="s">
        <v>88</v>
      </c>
      <c r="AB11" s="92" t="s">
        <v>89</v>
      </c>
      <c r="AC11" s="92" t="s">
        <v>122</v>
      </c>
      <c r="AD11" s="92" t="str">
        <f t="shared" si="2"/>
        <v>-</v>
      </c>
      <c r="AE11" s="92" t="str">
        <f t="shared" si="6"/>
        <v>-</v>
      </c>
      <c r="AF11" s="1" t="s">
        <v>16</v>
      </c>
      <c r="AG11" s="2"/>
    </row>
    <row r="12" spans="1:42" x14ac:dyDescent="0.45">
      <c r="A12" s="3">
        <v>45971</v>
      </c>
      <c r="B12" s="24">
        <f t="shared" si="7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49" t="s">
        <v>40</v>
      </c>
      <c r="G12" s="49" t="str">
        <f t="shared" si="8"/>
        <v>-</v>
      </c>
      <c r="H12" s="49" t="str">
        <f t="shared" si="9"/>
        <v>-</v>
      </c>
      <c r="I12" s="49" t="s">
        <v>40</v>
      </c>
      <c r="J12" s="1"/>
      <c r="K12" s="50" t="str">
        <f t="shared" si="3"/>
        <v>VITA</v>
      </c>
      <c r="L12" s="50" t="str">
        <f t="shared" si="4"/>
        <v>MARK II</v>
      </c>
      <c r="M12" s="50">
        <f t="shared" si="10"/>
        <v>160</v>
      </c>
      <c r="N12" s="50" t="str">
        <f t="shared" si="11"/>
        <v>-</v>
      </c>
      <c r="O12" s="24">
        <f>IF(LEN(A12)&gt;0, 종합!$C$27, "")</f>
        <v>2.2599999999999998</v>
      </c>
      <c r="P12" s="1" t="s">
        <v>16</v>
      </c>
      <c r="Q12" s="92" t="str">
        <f>IF(MOD($B12,5)=0, "누락 ","-" )</f>
        <v>-</v>
      </c>
      <c r="R12" s="92" t="str">
        <f>IF(MOD($B12,5)=0, "누락 ","-" )</f>
        <v>-</v>
      </c>
      <c r="S12" s="92" t="str">
        <f>IF(MOD($B12,5)=0, "누락 ","-" )</f>
        <v>-</v>
      </c>
      <c r="T12" s="92" t="str">
        <f>IF(MOD($B12,5)=0, "누락 ","-" )</f>
        <v>-</v>
      </c>
      <c r="U12" s="92" t="str">
        <f>IF(MOD($B12,5)=0, "누락","-" )</f>
        <v>-</v>
      </c>
      <c r="V12" s="92" t="str">
        <f>IF(MOD($B12,5)=0, "누락","-" )</f>
        <v>-</v>
      </c>
      <c r="W12" s="92" t="str">
        <f>IF(MOD($B12,5)=0, "누락","-" )</f>
        <v>-</v>
      </c>
      <c r="X12" s="92" t="str">
        <f>IF(MOD($B12,5)=0, "누락","-" )</f>
        <v>-</v>
      </c>
      <c r="Y12" s="92" t="str">
        <f>IF(MOD($B12,5)=0, "누락","-" )</f>
        <v>-</v>
      </c>
      <c r="Z12" s="92" t="str">
        <f>IF(MOD($B12,5)=0, "누락","-" )</f>
        <v>-</v>
      </c>
      <c r="AA12" s="92" t="str">
        <f>IF(MOD($B12,5)=0, "누락","-" )</f>
        <v>-</v>
      </c>
      <c r="AB12" s="92" t="str">
        <f>IF(MOD($B12,5)=0, "누락","-" )</f>
        <v>-</v>
      </c>
      <c r="AC12" s="92" t="str">
        <f>IF(MOD($B12,5)=0, "누락","-" )</f>
        <v>-</v>
      </c>
      <c r="AD12" s="92" t="str">
        <f t="shared" si="2"/>
        <v>-</v>
      </c>
      <c r="AE12" s="92" t="str">
        <f t="shared" si="6"/>
        <v>-</v>
      </c>
      <c r="AF12" s="1" t="s">
        <v>16</v>
      </c>
      <c r="AG12" s="2"/>
    </row>
    <row r="13" spans="1:42" x14ac:dyDescent="0.45">
      <c r="A13" s="3">
        <v>45972</v>
      </c>
      <c r="B13" s="24">
        <f t="shared" si="7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49">
        <v>0</v>
      </c>
      <c r="G13" s="49" t="str">
        <f t="shared" si="8"/>
        <v>-</v>
      </c>
      <c r="H13" s="49" t="str">
        <f t="shared" si="9"/>
        <v>-</v>
      </c>
      <c r="I13" s="49">
        <v>0</v>
      </c>
      <c r="J13" s="1"/>
      <c r="K13" s="50" t="str">
        <f t="shared" si="3"/>
        <v>VITA</v>
      </c>
      <c r="L13" s="50" t="str">
        <f t="shared" si="4"/>
        <v>MARK II</v>
      </c>
      <c r="M13" s="50">
        <f t="shared" si="10"/>
        <v>160</v>
      </c>
      <c r="N13" s="50" t="str">
        <f t="shared" si="11"/>
        <v>-</v>
      </c>
      <c r="O13" s="24">
        <f>IF(LEN(A13)&gt;0, 종합!$C$27, "")</f>
        <v>2.2599999999999998</v>
      </c>
      <c r="P13" s="1" t="s">
        <v>16</v>
      </c>
      <c r="Q13" s="92" t="str">
        <f>IF(MOD($B13,5)=0, "누락 ","-" )</f>
        <v>-</v>
      </c>
      <c r="R13" s="92" t="str">
        <f>IF(MOD($B13,5)=0, "누락 ","-" )</f>
        <v>-</v>
      </c>
      <c r="S13" s="92" t="str">
        <f>IF(MOD($B13,5)=0, "누락 ","-" )</f>
        <v>-</v>
      </c>
      <c r="T13" s="92" t="str">
        <f>IF(MOD($B13,5)=0, "누락 ","-" )</f>
        <v>-</v>
      </c>
      <c r="U13" s="92" t="str">
        <f>IF(MOD($B13,5)=0, "누락","-" )</f>
        <v>-</v>
      </c>
      <c r="V13" s="92" t="str">
        <f>IF(MOD($B13,5)=0, "누락","-" )</f>
        <v>-</v>
      </c>
      <c r="W13" s="92" t="str">
        <f>IF(MOD($B13,5)=0, "누락","-" )</f>
        <v>-</v>
      </c>
      <c r="X13" s="92" t="str">
        <f>IF(MOD($B13,5)=0, "누락","-" )</f>
        <v>-</v>
      </c>
      <c r="Y13" s="92" t="str">
        <f>IF(MOD($B13,5)=0, "누락","-" )</f>
        <v>-</v>
      </c>
      <c r="Z13" s="92" t="str">
        <f>IF(MOD($B13,5)=0, "누락","-" )</f>
        <v>-</v>
      </c>
      <c r="AA13" s="92" t="str">
        <f>IF(MOD($B13,5)=0, "누락","-" )</f>
        <v>-</v>
      </c>
      <c r="AB13" s="92" t="str">
        <f>IF(MOD($B13,5)=0, "누락","-" )</f>
        <v>-</v>
      </c>
      <c r="AC13" s="92" t="str">
        <f>IF(MOD($B13,5)=0, "누락","-" )</f>
        <v>-</v>
      </c>
      <c r="AD13" s="92" t="str">
        <f t="shared" si="2"/>
        <v>-</v>
      </c>
      <c r="AE13" s="92" t="str">
        <f t="shared" si="6"/>
        <v>-</v>
      </c>
      <c r="AF13" s="1" t="s">
        <v>16</v>
      </c>
      <c r="AG13" s="2"/>
    </row>
    <row r="14" spans="1:42" x14ac:dyDescent="0.45">
      <c r="A14" s="3">
        <v>45972</v>
      </c>
      <c r="B14" s="24">
        <f t="shared" si="7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49">
        <f>IF(NOT(LEN($A14)=0),IF(F13+1&gt;15,"버교체요망",F13+1),"")</f>
        <v>1</v>
      </c>
      <c r="G14" s="49" t="str">
        <f t="shared" si="8"/>
        <v>-</v>
      </c>
      <c r="H14" s="49" t="str">
        <f t="shared" si="9"/>
        <v>-</v>
      </c>
      <c r="I14" s="49">
        <f>IF(NOT(LEN($A14)=0),IF(I13+1&gt;15,"버교체요망",I13+1),"")</f>
        <v>1</v>
      </c>
      <c r="J14" s="1"/>
      <c r="K14" s="50" t="str">
        <f t="shared" si="3"/>
        <v>VITA</v>
      </c>
      <c r="L14" s="50" t="str">
        <f t="shared" si="4"/>
        <v>MARK II</v>
      </c>
      <c r="M14" s="50">
        <f t="shared" si="10"/>
        <v>160</v>
      </c>
      <c r="N14" s="50" t="str">
        <f t="shared" si="11"/>
        <v>-</v>
      </c>
      <c r="O14" s="24">
        <f>IF(LEN(A14)&gt;0, 종합!$C$27, "")</f>
        <v>2.2599999999999998</v>
      </c>
      <c r="P14" s="1" t="s">
        <v>16</v>
      </c>
      <c r="Q14" s="92" t="str">
        <f>IF(MOD($B14,5)=0, "누락 ","-" )</f>
        <v>-</v>
      </c>
      <c r="R14" s="92" t="str">
        <f>IF(MOD($B14,5)=0, "누락 ","-" )</f>
        <v>-</v>
      </c>
      <c r="S14" s="92" t="str">
        <f>IF(MOD($B14,5)=0, "누락 ","-" )</f>
        <v>-</v>
      </c>
      <c r="T14" s="92" t="str">
        <f>IF(MOD($B14,5)=0, "누락 ","-" )</f>
        <v>-</v>
      </c>
      <c r="U14" s="92" t="str">
        <f>IF(MOD($B14,5)=0, "누락","-" )</f>
        <v>-</v>
      </c>
      <c r="V14" s="92" t="str">
        <f>IF(MOD($B14,5)=0, "누락","-" )</f>
        <v>-</v>
      </c>
      <c r="W14" s="92" t="str">
        <f>IF(MOD($B14,5)=0, "누락","-" )</f>
        <v>-</v>
      </c>
      <c r="X14" s="92" t="str">
        <f>IF(MOD($B14,5)=0, "누락","-" )</f>
        <v>-</v>
      </c>
      <c r="Y14" s="92" t="str">
        <f>IF(MOD($B14,5)=0, "누락","-" )</f>
        <v>-</v>
      </c>
      <c r="Z14" s="92" t="str">
        <f>IF(MOD($B14,5)=0, "누락","-" )</f>
        <v>-</v>
      </c>
      <c r="AA14" s="92" t="str">
        <f>IF(MOD($B14,5)=0, "누락","-" )</f>
        <v>-</v>
      </c>
      <c r="AB14" s="92" t="str">
        <f>IF(MOD($B14,5)=0, "누락","-" )</f>
        <v>-</v>
      </c>
      <c r="AC14" s="92" t="str">
        <f>IF(MOD($B14,5)=0, "누락","-" )</f>
        <v>-</v>
      </c>
      <c r="AD14" s="92" t="str">
        <f t="shared" si="2"/>
        <v>-</v>
      </c>
      <c r="AE14" s="92" t="str">
        <f t="shared" si="6"/>
        <v>-</v>
      </c>
      <c r="AF14" s="1" t="s">
        <v>16</v>
      </c>
      <c r="AG14" s="2"/>
    </row>
    <row r="15" spans="1:42" x14ac:dyDescent="0.45">
      <c r="A15" s="3">
        <v>45972</v>
      </c>
      <c r="B15" s="24">
        <f t="shared" si="7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49">
        <f t="shared" ref="F15:F21" si="12">IF(NOT(LEN($A15)=0),IF(F14+1&gt;15,"버교체요망",F14+1),"")</f>
        <v>2</v>
      </c>
      <c r="G15" s="49" t="str">
        <f t="shared" si="8"/>
        <v>-</v>
      </c>
      <c r="H15" s="49" t="str">
        <f t="shared" si="9"/>
        <v>-</v>
      </c>
      <c r="I15" s="49">
        <f t="shared" ref="I15:I21" si="13">IF(NOT(LEN($A15)=0),IF(I14+1&gt;15,"버교체요망",I14+1),"")</f>
        <v>2</v>
      </c>
      <c r="J15" s="1"/>
      <c r="K15" s="50" t="str">
        <f t="shared" si="3"/>
        <v>VITA</v>
      </c>
      <c r="L15" s="50" t="str">
        <f t="shared" si="4"/>
        <v>MARK II</v>
      </c>
      <c r="M15" s="50">
        <f t="shared" si="10"/>
        <v>160</v>
      </c>
      <c r="N15" s="50" t="str">
        <f t="shared" si="11"/>
        <v>-</v>
      </c>
      <c r="O15" s="24">
        <f>IF(LEN(A15)&gt;0, 종합!$C$27, "")</f>
        <v>2.2599999999999998</v>
      </c>
      <c r="P15" s="1" t="s">
        <v>16</v>
      </c>
      <c r="Q15" s="92" t="str">
        <f>IF(MOD($B15,5)=0, "누락 ","-" )</f>
        <v>-</v>
      </c>
      <c r="R15" s="92" t="str">
        <f>IF(MOD($B15,5)=0, "누락 ","-" )</f>
        <v>-</v>
      </c>
      <c r="S15" s="92" t="str">
        <f>IF(MOD($B15,5)=0, "누락 ","-" )</f>
        <v>-</v>
      </c>
      <c r="T15" s="92" t="str">
        <f>IF(MOD($B15,5)=0, "누락 ","-" )</f>
        <v>-</v>
      </c>
      <c r="U15" s="92" t="str">
        <f>IF(MOD($B15,5)=0, "누락","-" )</f>
        <v>-</v>
      </c>
      <c r="V15" s="92" t="str">
        <f>IF(MOD($B15,5)=0, "누락","-" )</f>
        <v>-</v>
      </c>
      <c r="W15" s="92" t="str">
        <f>IF(MOD($B15,5)=0, "누락","-" )</f>
        <v>-</v>
      </c>
      <c r="X15" s="92" t="str">
        <f>IF(MOD($B15,5)=0, "누락","-" )</f>
        <v>-</v>
      </c>
      <c r="Y15" s="92" t="str">
        <f>IF(MOD($B15,5)=0, "누락","-" )</f>
        <v>-</v>
      </c>
      <c r="Z15" s="92" t="str">
        <f>IF(MOD($B15,5)=0, "누락","-" )</f>
        <v>-</v>
      </c>
      <c r="AA15" s="92" t="str">
        <f>IF(MOD($B15,5)=0, "누락","-" )</f>
        <v>-</v>
      </c>
      <c r="AB15" s="92" t="str">
        <f>IF(MOD($B15,5)=0, "누락","-" )</f>
        <v>-</v>
      </c>
      <c r="AC15" s="92" t="str">
        <f>IF(MOD($B15,5)=0, "누락","-" )</f>
        <v>-</v>
      </c>
      <c r="AD15" s="92" t="str">
        <f t="shared" si="2"/>
        <v>-</v>
      </c>
      <c r="AE15" s="92" t="str">
        <f t="shared" si="6"/>
        <v>-</v>
      </c>
      <c r="AF15" s="1" t="s">
        <v>16</v>
      </c>
      <c r="AG15" s="2"/>
    </row>
    <row r="16" spans="1:42" x14ac:dyDescent="0.45">
      <c r="A16" s="3">
        <v>45972</v>
      </c>
      <c r="B16" s="24">
        <f t="shared" si="7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49">
        <f t="shared" si="12"/>
        <v>3</v>
      </c>
      <c r="G16" s="49" t="str">
        <f t="shared" si="8"/>
        <v>-</v>
      </c>
      <c r="H16" s="49" t="str">
        <f t="shared" si="9"/>
        <v>-</v>
      </c>
      <c r="I16" s="49">
        <f t="shared" si="13"/>
        <v>3</v>
      </c>
      <c r="J16" s="1"/>
      <c r="K16" s="50" t="str">
        <f t="shared" si="3"/>
        <v>VITA</v>
      </c>
      <c r="L16" s="50" t="str">
        <f t="shared" si="4"/>
        <v>MARK II</v>
      </c>
      <c r="M16" s="50">
        <f t="shared" si="10"/>
        <v>160</v>
      </c>
      <c r="N16" s="50" t="str">
        <f t="shared" si="11"/>
        <v>-</v>
      </c>
      <c r="O16" s="24">
        <f>IF(LEN(A16)&gt;0, 종합!$C$27, "")</f>
        <v>2.2599999999999998</v>
      </c>
      <c r="P16" s="1" t="s">
        <v>16</v>
      </c>
      <c r="Q16" s="92" t="s">
        <v>122</v>
      </c>
      <c r="R16" s="92" t="s">
        <v>122</v>
      </c>
      <c r="S16" s="92" t="s">
        <v>122</v>
      </c>
      <c r="T16" s="92" t="s">
        <v>122</v>
      </c>
      <c r="U16" s="92" t="str">
        <f>IFERROR(IF(MOD($B16,5)=0, "누락 ","-" ),"-")</f>
        <v xml:space="preserve">누락 </v>
      </c>
      <c r="V16" s="92" t="str">
        <f>IFERROR(IF(MOD($B16,5)=0, "누락 ","-" ),"-")</f>
        <v xml:space="preserve">누락 </v>
      </c>
      <c r="W16" s="92" t="str">
        <f>IFERROR(IF(MOD($B16,5)=0, "누락 ","-" ),"-")</f>
        <v xml:space="preserve">누락 </v>
      </c>
      <c r="X16" s="92" t="str">
        <f>IFERROR(IF(MOD($B16,5)=0, "누락 ","-" ),"-")</f>
        <v xml:space="preserve">누락 </v>
      </c>
      <c r="Y16" s="92" t="str">
        <f>IFERROR(IF(MOD($B16,5)=0, "누락 ","-" ),"-")</f>
        <v xml:space="preserve">누락 </v>
      </c>
      <c r="Z16" s="92" t="str">
        <f>IFERROR(IF(MOD($B16,5)=0, "누락 ","-" ),"-")</f>
        <v xml:space="preserve">누락 </v>
      </c>
      <c r="AA16" s="92" t="str">
        <f>IFERROR(IF(MOD($B16,5)=0, "누락 ","-" ),"-")</f>
        <v xml:space="preserve">누락 </v>
      </c>
      <c r="AB16" s="92" t="str">
        <f>IFERROR(IF(MOD($B16,5)=0, "누락 ","-" ),"-")</f>
        <v xml:space="preserve">누락 </v>
      </c>
      <c r="AC16" s="92" t="str">
        <f>IFERROR(IF(MOD($B16,5)=0, "누락 ","-" ),"-")</f>
        <v xml:space="preserve">누락 </v>
      </c>
      <c r="AD16" s="92" t="str">
        <f t="shared" si="2"/>
        <v>-</v>
      </c>
      <c r="AE16" s="92" t="str">
        <f t="shared" ref="AE16:AE18" si="14">IF($B16="","-",
  IFERROR(
    IF(AND($B16&lt;&gt;0, MOD($B16,160)=0),
       "TENSION (XL : / ZL : / XR : / ZR : / Y : )" &amp; CHAR(10) &amp; "필터교체",
       "-"
    ),
    "-"
  )
)</f>
        <v>-</v>
      </c>
      <c r="AF16" s="46" t="s">
        <v>113</v>
      </c>
      <c r="AG16" s="2"/>
    </row>
    <row r="17" spans="1:33" x14ac:dyDescent="0.45">
      <c r="A17" s="3">
        <v>45973</v>
      </c>
      <c r="B17" s="24">
        <f t="shared" si="7"/>
        <v>11</v>
      </c>
      <c r="C17" s="7" t="str">
        <f t="shared" ref="C17:C28" si="15">IF(B17="","",
  IF(MOD($B17,1)=0,
    "Dimensions: L W H",
    "-"
  )
)</f>
        <v>Dimensions: L W H</v>
      </c>
      <c r="D17" s="6" t="str">
        <f t="shared" si="1"/>
        <v>완료</v>
      </c>
      <c r="E17" s="24">
        <v>23</v>
      </c>
      <c r="F17" s="49">
        <f t="shared" si="12"/>
        <v>4</v>
      </c>
      <c r="G17" s="49" t="str">
        <f t="shared" si="8"/>
        <v>-</v>
      </c>
      <c r="H17" s="49" t="str">
        <f t="shared" si="9"/>
        <v>-</v>
      </c>
      <c r="I17" s="49">
        <f t="shared" si="13"/>
        <v>4</v>
      </c>
      <c r="J17" s="1"/>
      <c r="K17" s="50" t="str">
        <f t="shared" si="3"/>
        <v>VITA</v>
      </c>
      <c r="L17" s="50" t="str">
        <f t="shared" si="4"/>
        <v>MARK II</v>
      </c>
      <c r="M17" s="50">
        <f t="shared" si="10"/>
        <v>160</v>
      </c>
      <c r="N17" s="50" t="str">
        <f t="shared" si="11"/>
        <v>-</v>
      </c>
      <c r="O17" s="24">
        <f>IF(LEN(A17)&gt;0, 종합!$C$27, "")</f>
        <v>2.2599999999999998</v>
      </c>
      <c r="P17" s="1" t="s">
        <v>16</v>
      </c>
      <c r="Q17" s="92" t="str">
        <f>IFERROR(IF(MOD($B17,5)=0, "누락 ","-" ),"-")</f>
        <v>-</v>
      </c>
      <c r="R17" s="92" t="str">
        <f>IFERROR(IF(MOD($B17,5)=0, "누락 ","-" ),"-")</f>
        <v>-</v>
      </c>
      <c r="S17" s="92" t="str">
        <f>IFERROR(IF(MOD($B17,5)=0, "누락 ","-" ),"-")</f>
        <v>-</v>
      </c>
      <c r="T17" s="92" t="str">
        <f>IFERROR(IF(MOD($B17,5)=0, "누락 ","-" ),"-")</f>
        <v>-</v>
      </c>
      <c r="U17" s="92" t="str">
        <f>IFERROR(IF(MOD($B17,5)=0, "누락 ","-" ),"-")</f>
        <v>-</v>
      </c>
      <c r="V17" s="92" t="str">
        <f>IFERROR(IF(MOD($B17,5)=0, "누락 ","-" ),"-")</f>
        <v>-</v>
      </c>
      <c r="W17" s="92" t="str">
        <f>IFERROR(IF(MOD($B17,5)=0, "누락 ","-" ),"-")</f>
        <v>-</v>
      </c>
      <c r="X17" s="92" t="str">
        <f>IFERROR(IF(MOD($B17,5)=0, "누락 ","-" ),"-")</f>
        <v>-</v>
      </c>
      <c r="Y17" s="92" t="str">
        <f>IFERROR(IF(MOD($B17,5)=0, "누락 ","-" ),"-")</f>
        <v>-</v>
      </c>
      <c r="Z17" s="92" t="str">
        <f>IFERROR(IF(MOD($B17,5)=0, "누락 ","-" ),"-")</f>
        <v>-</v>
      </c>
      <c r="AA17" s="92" t="str">
        <f>IFERROR(IF(MOD($B17,5)=0, "누락 ","-" ),"-")</f>
        <v>-</v>
      </c>
      <c r="AB17" s="92" t="str">
        <f>IFERROR(IF(MOD($B17,5)=0, "누락 ","-" ),"-")</f>
        <v>-</v>
      </c>
      <c r="AC17" s="92" t="str">
        <f>IFERROR(IF(MOD($B17,5)=0, "누락 ","-" ),"-")</f>
        <v>-</v>
      </c>
      <c r="AD17" s="92" t="str">
        <f t="shared" si="2"/>
        <v>-</v>
      </c>
      <c r="AE17" s="92" t="str">
        <f t="shared" si="14"/>
        <v>-</v>
      </c>
      <c r="AF17" s="47" t="s">
        <v>125</v>
      </c>
      <c r="AG17" s="2"/>
    </row>
    <row r="18" spans="1:33" x14ac:dyDescent="0.45">
      <c r="A18" s="3">
        <v>45973</v>
      </c>
      <c r="B18" s="24">
        <f t="shared" si="7"/>
        <v>12</v>
      </c>
      <c r="C18" s="7" t="str">
        <f t="shared" si="15"/>
        <v>Dimensions: L W H</v>
      </c>
      <c r="D18" s="6" t="str">
        <f t="shared" si="1"/>
        <v>완료</v>
      </c>
      <c r="E18" s="24">
        <v>21</v>
      </c>
      <c r="F18" s="49">
        <f t="shared" si="12"/>
        <v>5</v>
      </c>
      <c r="G18" s="49" t="str">
        <f t="shared" si="8"/>
        <v>-</v>
      </c>
      <c r="H18" s="49" t="str">
        <f t="shared" si="9"/>
        <v>-</v>
      </c>
      <c r="I18" s="49">
        <f t="shared" si="13"/>
        <v>5</v>
      </c>
      <c r="J18" s="1"/>
      <c r="K18" s="50" t="str">
        <f>IF(NOT(LEN($I18)=0),K17,"")</f>
        <v>VITA</v>
      </c>
      <c r="L18" s="50" t="str">
        <f>IF(NOT(LEN($I18)=0),L17,"")</f>
        <v>MARK II</v>
      </c>
      <c r="M18" s="50">
        <f t="shared" si="10"/>
        <v>160</v>
      </c>
      <c r="N18" s="50" t="str">
        <f t="shared" si="11"/>
        <v>-</v>
      </c>
      <c r="O18" s="24">
        <f>IF(LEN(A18)&gt;0, 종합!$C$27, "")</f>
        <v>2.2599999999999998</v>
      </c>
      <c r="P18" s="1"/>
      <c r="Q18" s="92" t="str">
        <f>IF(MOD($B18,5)=0, "누락 ","-" )</f>
        <v>-</v>
      </c>
      <c r="R18" s="92" t="str">
        <f>IF(MOD($B18,5)=0, "누락 ","-" )</f>
        <v>-</v>
      </c>
      <c r="S18" s="92" t="str">
        <f>IF(MOD($B18,5)=0, "누락 ","-" )</f>
        <v>-</v>
      </c>
      <c r="T18" s="92" t="str">
        <f>IF(MOD($B18,5)=0, "누락 ","-" )</f>
        <v>-</v>
      </c>
      <c r="U18" s="92" t="str">
        <f>IF(MOD($B18,5)=0, "누락","-" )</f>
        <v>-</v>
      </c>
      <c r="V18" s="92" t="str">
        <f>IF(MOD($B18,5)=0, "누락","-" )</f>
        <v>-</v>
      </c>
      <c r="W18" s="92" t="str">
        <f>IF(MOD($B18,5)=0, "누락","-" )</f>
        <v>-</v>
      </c>
      <c r="X18" s="92" t="str">
        <f>IF(MOD($B18,5)=0, "누락","-" )</f>
        <v>-</v>
      </c>
      <c r="Y18" s="92" t="str">
        <f>IF(MOD($B18,5)=0, "누락","-" )</f>
        <v>-</v>
      </c>
      <c r="Z18" s="92" t="str">
        <f>IF(MOD($B18,5)=0, "누락","-" )</f>
        <v>-</v>
      </c>
      <c r="AA18" s="92" t="str">
        <f>IF(MOD($B18,5)=0, "누락","-" )</f>
        <v>-</v>
      </c>
      <c r="AB18" s="92" t="str">
        <f>IF(MOD($B18,5)=0, "누락","-" )</f>
        <v>-</v>
      </c>
      <c r="AC18" s="92" t="str">
        <f>IF(MOD($B18,5)=0, "누락","-" )</f>
        <v>-</v>
      </c>
      <c r="AD18" s="92" t="str">
        <f t="shared" si="2"/>
        <v>-</v>
      </c>
      <c r="AE18" s="92" t="str">
        <f t="shared" si="14"/>
        <v>-</v>
      </c>
      <c r="AF18" s="1"/>
      <c r="AG18" s="2"/>
    </row>
    <row r="19" spans="1:33" x14ac:dyDescent="0.45">
      <c r="A19" s="3">
        <v>45973</v>
      </c>
      <c r="B19" s="24">
        <f t="shared" si="7"/>
        <v>13</v>
      </c>
      <c r="C19" s="7" t="str">
        <f t="shared" si="15"/>
        <v>Dimensions: L W H</v>
      </c>
      <c r="D19" s="6" t="s">
        <v>21</v>
      </c>
      <c r="E19" s="49">
        <v>22</v>
      </c>
      <c r="F19" s="49">
        <f t="shared" si="12"/>
        <v>6</v>
      </c>
      <c r="G19" s="49" t="str">
        <f t="shared" si="8"/>
        <v>-</v>
      </c>
      <c r="H19" s="49" t="str">
        <f t="shared" si="9"/>
        <v>-</v>
      </c>
      <c r="I19" s="49">
        <f t="shared" si="13"/>
        <v>6</v>
      </c>
      <c r="J19" s="1"/>
      <c r="K19" s="50" t="str">
        <f t="shared" ref="K19:K21" si="16">IF(NOT(LEN($I19)=0),K18,"")</f>
        <v>VITA</v>
      </c>
      <c r="L19" s="50" t="str">
        <f t="shared" ref="L19:L21" si="17">IF(NOT(LEN($I19)=0),L18,"")</f>
        <v>MARK II</v>
      </c>
      <c r="M19" s="50">
        <f t="shared" ref="M19:M21" si="18">IF(NOT(LEN($I19)=0),M18,"")</f>
        <v>160</v>
      </c>
      <c r="N19" s="50" t="str">
        <f t="shared" ref="N19:N21" si="19">IF(NOT(LEN($I19)=0),N18,"")</f>
        <v>-</v>
      </c>
      <c r="O19" s="24">
        <f>IF(LEN(A19)&gt;0, 종합!$C$27, "")</f>
        <v>2.2599999999999998</v>
      </c>
      <c r="P19" s="1"/>
      <c r="Q19" s="92" t="str">
        <f>IF(MOD($B19,5)=0, "누락 ","-" )</f>
        <v>-</v>
      </c>
      <c r="R19" s="92" t="str">
        <f>IF(MOD($B19,5)=0, "누락 ","-" )</f>
        <v>-</v>
      </c>
      <c r="S19" s="92" t="str">
        <f>IF(MOD($B19,5)=0, "누락 ","-" )</f>
        <v>-</v>
      </c>
      <c r="T19" s="92" t="str">
        <f>IF(MOD($B19,5)=0, "누락 ","-" )</f>
        <v>-</v>
      </c>
      <c r="U19" s="92" t="str">
        <f>IF(MOD($B19,5)=0, "누락","-" )</f>
        <v>-</v>
      </c>
      <c r="V19" s="92" t="str">
        <f>IF(MOD($B19,5)=0, "누락","-" )</f>
        <v>-</v>
      </c>
      <c r="W19" s="92" t="str">
        <f>IF(MOD($B19,5)=0, "누락","-" )</f>
        <v>-</v>
      </c>
      <c r="X19" s="92" t="str">
        <f>IF(MOD($B19,5)=0, "누락","-" )</f>
        <v>-</v>
      </c>
      <c r="Y19" s="92" t="str">
        <f>IF(MOD($B19,5)=0, "누락","-" )</f>
        <v>-</v>
      </c>
      <c r="Z19" s="92" t="str">
        <f>IF(MOD($B19,5)=0, "누락","-" )</f>
        <v>-</v>
      </c>
      <c r="AA19" s="92" t="str">
        <f>IF(MOD($B19,5)=0, "누락","-" )</f>
        <v>-</v>
      </c>
      <c r="AB19" s="92" t="str">
        <f>IF(MOD($B19,5)=0, "누락","-" )</f>
        <v>-</v>
      </c>
      <c r="AC19" s="92" t="str">
        <f>IF(MOD($B19,5)=0, "누락","-" )</f>
        <v>-</v>
      </c>
      <c r="AD19" s="48" t="str">
        <f t="shared" ref="Q19:AE28" si="20">IF(NOT(LEN($A19)=0),"누락","")</f>
        <v>누락</v>
      </c>
      <c r="AE19" s="48" t="str">
        <f t="shared" si="20"/>
        <v>누락</v>
      </c>
      <c r="AF19" s="47" t="s">
        <v>127</v>
      </c>
      <c r="AG19" s="2"/>
    </row>
    <row r="20" spans="1:33" x14ac:dyDescent="0.45">
      <c r="A20" s="23"/>
      <c r="B20" s="24" t="str">
        <f t="shared" si="7"/>
        <v/>
      </c>
      <c r="C20" s="7" t="str">
        <f t="shared" si="15"/>
        <v/>
      </c>
      <c r="D20" s="6" t="str">
        <f t="shared" ref="D20:D28" si="21">IF(NOT(LEN(B20)=0),"진행중","")</f>
        <v/>
      </c>
      <c r="E20" s="24" t="str">
        <f>IF($B20="","", "누락")</f>
        <v/>
      </c>
      <c r="F20" s="49" t="str">
        <f t="shared" si="12"/>
        <v/>
      </c>
      <c r="G20" s="54"/>
      <c r="H20" s="54"/>
      <c r="I20" s="49" t="str">
        <f t="shared" si="13"/>
        <v/>
      </c>
      <c r="J20" s="1"/>
      <c r="K20" s="50" t="str">
        <f t="shared" si="16"/>
        <v/>
      </c>
      <c r="L20" s="50" t="str">
        <f t="shared" si="17"/>
        <v/>
      </c>
      <c r="M20" s="50" t="str">
        <f t="shared" si="18"/>
        <v/>
      </c>
      <c r="N20" s="50" t="str">
        <f t="shared" si="19"/>
        <v/>
      </c>
      <c r="O20" s="24" t="str">
        <f>IF(LEN(A20)&gt;0, 종합!$C$27, "")</f>
        <v/>
      </c>
      <c r="P20" s="1"/>
      <c r="Q20" s="48" t="str">
        <f t="shared" si="20"/>
        <v/>
      </c>
      <c r="R20" s="48" t="str">
        <f t="shared" si="20"/>
        <v/>
      </c>
      <c r="S20" s="48" t="str">
        <f t="shared" si="20"/>
        <v/>
      </c>
      <c r="T20" s="48" t="str">
        <f t="shared" si="20"/>
        <v/>
      </c>
      <c r="U20" s="48" t="str">
        <f t="shared" si="20"/>
        <v/>
      </c>
      <c r="V20" s="48" t="str">
        <f t="shared" si="20"/>
        <v/>
      </c>
      <c r="W20" s="48" t="str">
        <f t="shared" si="20"/>
        <v/>
      </c>
      <c r="X20" s="48" t="str">
        <f t="shared" si="20"/>
        <v/>
      </c>
      <c r="Y20" s="48" t="str">
        <f t="shared" si="20"/>
        <v/>
      </c>
      <c r="Z20" s="48" t="str">
        <f t="shared" si="20"/>
        <v/>
      </c>
      <c r="AA20" s="48" t="str">
        <f t="shared" si="20"/>
        <v/>
      </c>
      <c r="AB20" s="48" t="str">
        <f t="shared" si="20"/>
        <v/>
      </c>
      <c r="AC20" s="48" t="str">
        <f t="shared" si="20"/>
        <v/>
      </c>
      <c r="AD20" s="48" t="str">
        <f t="shared" si="20"/>
        <v/>
      </c>
      <c r="AE20" s="48" t="str">
        <f t="shared" si="20"/>
        <v/>
      </c>
      <c r="AF20" s="1"/>
      <c r="AG20" s="2"/>
    </row>
    <row r="21" spans="1:33" x14ac:dyDescent="0.45">
      <c r="B21" s="24" t="str">
        <f t="shared" si="7"/>
        <v/>
      </c>
      <c r="C21" s="7" t="str">
        <f t="shared" si="15"/>
        <v/>
      </c>
      <c r="D21" s="6" t="str">
        <f t="shared" si="21"/>
        <v/>
      </c>
      <c r="E21" s="24" t="str">
        <f t="shared" ref="E21:E28" si="22">IF($B21="","", "누락")</f>
        <v/>
      </c>
      <c r="F21" s="49" t="str">
        <f t="shared" si="12"/>
        <v/>
      </c>
      <c r="G21" s="53"/>
      <c r="H21" s="53"/>
      <c r="I21" s="49" t="str">
        <f t="shared" si="13"/>
        <v/>
      </c>
      <c r="K21" s="50" t="str">
        <f t="shared" si="16"/>
        <v/>
      </c>
      <c r="L21" s="50" t="str">
        <f t="shared" si="17"/>
        <v/>
      </c>
      <c r="M21" s="50" t="str">
        <f t="shared" si="18"/>
        <v/>
      </c>
      <c r="N21" s="50" t="str">
        <f t="shared" si="19"/>
        <v/>
      </c>
      <c r="O21" s="24" t="str">
        <f>IF(LEN(A21)&gt;0, 종합!$C$27, "")</f>
        <v/>
      </c>
      <c r="Q21" s="48" t="str">
        <f t="shared" si="20"/>
        <v/>
      </c>
      <c r="R21" s="48" t="str">
        <f t="shared" si="20"/>
        <v/>
      </c>
      <c r="S21" s="48" t="str">
        <f t="shared" si="20"/>
        <v/>
      </c>
      <c r="T21" s="48" t="str">
        <f t="shared" si="20"/>
        <v/>
      </c>
      <c r="U21" s="48" t="str">
        <f t="shared" si="20"/>
        <v/>
      </c>
      <c r="V21" s="48" t="str">
        <f t="shared" si="20"/>
        <v/>
      </c>
      <c r="W21" s="48" t="str">
        <f t="shared" si="20"/>
        <v/>
      </c>
      <c r="X21" s="48" t="str">
        <f t="shared" si="20"/>
        <v/>
      </c>
      <c r="Y21" s="48" t="str">
        <f t="shared" si="20"/>
        <v/>
      </c>
      <c r="Z21" s="48" t="str">
        <f t="shared" si="20"/>
        <v/>
      </c>
      <c r="AA21" s="48" t="str">
        <f t="shared" si="20"/>
        <v/>
      </c>
      <c r="AB21" s="48" t="str">
        <f t="shared" si="20"/>
        <v/>
      </c>
      <c r="AC21" s="48" t="str">
        <f t="shared" si="20"/>
        <v/>
      </c>
      <c r="AD21" s="48" t="str">
        <f t="shared" si="20"/>
        <v/>
      </c>
      <c r="AE21" s="48" t="str">
        <f t="shared" si="20"/>
        <v/>
      </c>
      <c r="AF21" s="1"/>
    </row>
    <row r="22" spans="1:33" x14ac:dyDescent="0.45">
      <c r="B22" s="24"/>
      <c r="C22" s="7"/>
      <c r="D22" s="6"/>
      <c r="E22" s="24" t="str">
        <f t="shared" si="22"/>
        <v/>
      </c>
      <c r="F22" s="49"/>
      <c r="G22" s="53"/>
      <c r="H22" s="53"/>
      <c r="I22" s="49"/>
      <c r="K22" s="50"/>
      <c r="L22" s="50"/>
      <c r="M22" s="50"/>
      <c r="N22" s="50"/>
      <c r="O22" s="24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1"/>
    </row>
    <row r="23" spans="1:33" x14ac:dyDescent="0.45">
      <c r="B23" s="24"/>
      <c r="C23" s="7"/>
      <c r="D23" s="6"/>
      <c r="E23" s="24" t="str">
        <f t="shared" si="22"/>
        <v/>
      </c>
      <c r="F23" s="49"/>
      <c r="G23" s="53"/>
      <c r="H23" s="53"/>
      <c r="I23" s="49"/>
      <c r="K23" s="50"/>
      <c r="L23" s="50"/>
      <c r="M23" s="50"/>
      <c r="N23" s="50"/>
      <c r="O23" s="24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1"/>
    </row>
    <row r="24" spans="1:33" x14ac:dyDescent="0.45">
      <c r="B24" s="24"/>
      <c r="C24" s="7"/>
      <c r="D24" s="6"/>
      <c r="E24" s="24" t="str">
        <f t="shared" si="22"/>
        <v/>
      </c>
      <c r="F24" s="49"/>
      <c r="G24" s="53"/>
      <c r="H24" s="53"/>
      <c r="I24" s="49"/>
      <c r="K24" s="50"/>
      <c r="L24" s="50"/>
      <c r="M24" s="50"/>
      <c r="N24" s="50"/>
      <c r="O24" s="24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1"/>
    </row>
    <row r="25" spans="1:33" x14ac:dyDescent="0.45">
      <c r="B25" s="24"/>
      <c r="C25" s="7"/>
      <c r="D25" s="6"/>
      <c r="E25" s="24" t="str">
        <f t="shared" si="22"/>
        <v/>
      </c>
      <c r="F25" s="49"/>
      <c r="G25" s="53"/>
      <c r="H25" s="53"/>
      <c r="I25" s="49"/>
      <c r="K25" s="50"/>
      <c r="L25" s="50"/>
      <c r="M25" s="50"/>
      <c r="N25" s="50"/>
      <c r="O25" s="24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1"/>
    </row>
    <row r="26" spans="1:33" x14ac:dyDescent="0.45">
      <c r="B26" s="24"/>
      <c r="C26" s="7"/>
      <c r="D26" s="6"/>
      <c r="E26" s="24" t="str">
        <f t="shared" si="22"/>
        <v/>
      </c>
      <c r="F26" s="49"/>
      <c r="G26" s="53"/>
      <c r="H26" s="53"/>
      <c r="I26" s="49"/>
      <c r="K26" s="50"/>
      <c r="L26" s="50"/>
      <c r="M26" s="50"/>
      <c r="N26" s="50"/>
      <c r="O26" s="24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1"/>
    </row>
    <row r="27" spans="1:33" x14ac:dyDescent="0.45">
      <c r="B27" s="24"/>
      <c r="C27" s="7"/>
      <c r="D27" s="6"/>
      <c r="E27" s="24" t="str">
        <f t="shared" si="22"/>
        <v/>
      </c>
      <c r="F27" s="49"/>
      <c r="G27" s="53"/>
      <c r="H27" s="53"/>
      <c r="I27" s="49"/>
      <c r="K27" s="50"/>
      <c r="L27" s="50"/>
      <c r="M27" s="50"/>
      <c r="N27" s="50"/>
      <c r="O27" s="24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1"/>
    </row>
    <row r="28" spans="1:33" x14ac:dyDescent="0.45">
      <c r="B28" s="24" t="str">
        <f>IF(NOT(LEN(A28)=0),B21+1,"")</f>
        <v/>
      </c>
      <c r="C28" s="7" t="str">
        <f t="shared" si="15"/>
        <v/>
      </c>
      <c r="D28" s="6" t="str">
        <f t="shared" si="21"/>
        <v/>
      </c>
      <c r="E28" s="24" t="str">
        <f t="shared" si="22"/>
        <v/>
      </c>
      <c r="F28" s="49" t="str">
        <f>IF(NOT(LEN($A28)=0),IF(F21+1&gt;15,"버교체요망",F21+1),"")</f>
        <v/>
      </c>
      <c r="G28" s="53"/>
      <c r="H28" s="53"/>
      <c r="I28" s="49" t="str">
        <f>IF(NOT(LEN($A28)=0),IF(I21+1&gt;15,"버교체요망",I21+1),"")</f>
        <v/>
      </c>
      <c r="K28" s="50" t="str">
        <f>IF(NOT(LEN($I28)=0),K21,"")</f>
        <v/>
      </c>
      <c r="L28" s="50" t="str">
        <f>IF(NOT(LEN($I28)=0),L21,"")</f>
        <v/>
      </c>
      <c r="M28" s="50" t="str">
        <f>IF(NOT(LEN($I28)=0),M21,"")</f>
        <v/>
      </c>
      <c r="N28" s="50" t="str">
        <f>IF(NOT(LEN($I28)=0),N21,"")</f>
        <v/>
      </c>
      <c r="O28" s="24" t="str">
        <f>IF(LEN(A28)&gt;0, 종합!$C$27, "")</f>
        <v/>
      </c>
      <c r="Q28" s="48" t="str">
        <f t="shared" si="20"/>
        <v/>
      </c>
      <c r="R28" s="48" t="str">
        <f t="shared" si="20"/>
        <v/>
      </c>
      <c r="S28" s="48" t="str">
        <f t="shared" si="20"/>
        <v/>
      </c>
      <c r="T28" s="48" t="str">
        <f t="shared" si="20"/>
        <v/>
      </c>
      <c r="U28" s="48" t="str">
        <f t="shared" si="20"/>
        <v/>
      </c>
      <c r="V28" s="48" t="str">
        <f t="shared" si="20"/>
        <v/>
      </c>
      <c r="W28" s="48" t="str">
        <f t="shared" si="20"/>
        <v/>
      </c>
      <c r="X28" s="48" t="str">
        <f t="shared" si="20"/>
        <v/>
      </c>
      <c r="Y28" s="48" t="str">
        <f t="shared" si="20"/>
        <v/>
      </c>
      <c r="Z28" s="48" t="str">
        <f t="shared" si="20"/>
        <v/>
      </c>
      <c r="AA28" s="48" t="str">
        <f t="shared" si="20"/>
        <v/>
      </c>
      <c r="AB28" s="48" t="str">
        <f t="shared" si="20"/>
        <v/>
      </c>
      <c r="AC28" s="48" t="str">
        <f t="shared" si="20"/>
        <v/>
      </c>
      <c r="AD28" s="48" t="str">
        <f t="shared" si="20"/>
        <v/>
      </c>
      <c r="AE28" s="48" t="str">
        <f t="shared" si="20"/>
        <v/>
      </c>
      <c r="AF28" s="1"/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 F7:F9 H20">
    <cfRule type="containsText" dxfId="573" priority="335" operator="containsText" text="신품">
      <formula>NOT(ISERROR(SEARCH("신품",F7)))</formula>
    </cfRule>
    <cfRule type="containsText" dxfId="572" priority="336" operator="containsText" text="중고">
      <formula>NOT(ISERROR(SEARCH("중고",F7)))</formula>
    </cfRule>
  </conditionalFormatting>
  <conditionalFormatting sqref="I7:I9">
    <cfRule type="containsText" dxfId="571" priority="333" operator="containsText" text="신품">
      <formula>NOT(ISERROR(SEARCH("신품",I7)))</formula>
    </cfRule>
    <cfRule type="containsText" dxfId="570" priority="334" operator="containsText" text="중고">
      <formula>NOT(ISERROR(SEARCH("중고",I7)))</formula>
    </cfRule>
  </conditionalFormatting>
  <conditionalFormatting sqref="F10">
    <cfRule type="containsText" dxfId="569" priority="329" operator="containsText" text="신품">
      <formula>NOT(ISERROR(SEARCH("신품",F10)))</formula>
    </cfRule>
    <cfRule type="containsText" dxfId="568" priority="330" operator="containsText" text="중고">
      <formula>NOT(ISERROR(SEARCH("중고",F10)))</formula>
    </cfRule>
  </conditionalFormatting>
  <conditionalFormatting sqref="I10">
    <cfRule type="containsText" dxfId="567" priority="327" operator="containsText" text="신품">
      <formula>NOT(ISERROR(SEARCH("신품",I10)))</formula>
    </cfRule>
    <cfRule type="containsText" dxfId="566" priority="328" operator="containsText" text="중고">
      <formula>NOT(ISERROR(SEARCH("중고",I10)))</formula>
    </cfRule>
  </conditionalFormatting>
  <conditionalFormatting sqref="F11">
    <cfRule type="containsText" dxfId="565" priority="323" operator="containsText" text="신품">
      <formula>NOT(ISERROR(SEARCH("신품",F11)))</formula>
    </cfRule>
    <cfRule type="containsText" dxfId="564" priority="324" operator="containsText" text="중고">
      <formula>NOT(ISERROR(SEARCH("중고",F11)))</formula>
    </cfRule>
  </conditionalFormatting>
  <conditionalFormatting sqref="I11">
    <cfRule type="containsText" dxfId="563" priority="321" operator="containsText" text="신품">
      <formula>NOT(ISERROR(SEARCH("신품",I11)))</formula>
    </cfRule>
    <cfRule type="containsText" dxfId="562" priority="322" operator="containsText" text="중고">
      <formula>NOT(ISERROR(SEARCH("중고",I11)))</formula>
    </cfRule>
  </conditionalFormatting>
  <conditionalFormatting sqref="H20 F12">
    <cfRule type="containsText" dxfId="561" priority="317" operator="containsText" text="신품">
      <formula>NOT(ISERROR(SEARCH("신품",F12)))</formula>
    </cfRule>
    <cfRule type="containsText" dxfId="560" priority="318" operator="containsText" text="중고">
      <formula>NOT(ISERROR(SEARCH("중고",F12)))</formula>
    </cfRule>
  </conditionalFormatting>
  <conditionalFormatting sqref="I12">
    <cfRule type="containsText" dxfId="559" priority="315" operator="containsText" text="신품">
      <formula>NOT(ISERROR(SEARCH("신품",I12)))</formula>
    </cfRule>
    <cfRule type="containsText" dxfId="558" priority="316" operator="containsText" text="중고">
      <formula>NOT(ISERROR(SEARCH("중고",I12)))</formula>
    </cfRule>
  </conditionalFormatting>
  <conditionalFormatting sqref="D7:D28">
    <cfRule type="containsText" dxfId="557" priority="307" operator="containsText" text="완료">
      <formula>NOT(ISERROR(SEARCH("완료",D7)))</formula>
    </cfRule>
    <cfRule type="containsText" dxfId="556" priority="308" operator="containsText" text="중단">
      <formula>NOT(ISERROR(SEARCH("중단",D7)))</formula>
    </cfRule>
  </conditionalFormatting>
  <conditionalFormatting sqref="D11">
    <cfRule type="containsText" dxfId="555" priority="305" operator="containsText" text="완료">
      <formula>NOT(ISERROR(SEARCH("완료",D11)))</formula>
    </cfRule>
    <cfRule type="containsText" dxfId="554" priority="306" operator="containsText" text="중단">
      <formula>NOT(ISERROR(SEARCH("중단",D11)))</formula>
    </cfRule>
  </conditionalFormatting>
  <conditionalFormatting sqref="D8:D28">
    <cfRule type="containsText" dxfId="553" priority="303" operator="containsText" text="완료">
      <formula>NOT(ISERROR(SEARCH("완료",D8)))</formula>
    </cfRule>
    <cfRule type="containsText" dxfId="552" priority="304" operator="containsText" text="중단">
      <formula>NOT(ISERROR(SEARCH("중단",D8)))</formula>
    </cfRule>
  </conditionalFormatting>
  <conditionalFormatting sqref="D8:D28">
    <cfRule type="containsText" dxfId="551" priority="301" operator="containsText" text="완료">
      <formula>NOT(ISERROR(SEARCH("완료",D8)))</formula>
    </cfRule>
    <cfRule type="containsText" dxfId="550" priority="302" operator="containsText" text="중단">
      <formula>NOT(ISERROR(SEARCH("중단",D8)))</formula>
    </cfRule>
  </conditionalFormatting>
  <conditionalFormatting sqref="D7:D29">
    <cfRule type="containsText" dxfId="549" priority="300" operator="containsText" text="진행중">
      <formula>NOT(ISERROR(SEARCH("진행중",D7)))</formula>
    </cfRule>
  </conditionalFormatting>
  <conditionalFormatting sqref="F14:F28">
    <cfRule type="containsText" dxfId="548" priority="291" operator="containsText" text="완료">
      <formula>NOT(ISERROR(SEARCH("완료",F14)))</formula>
    </cfRule>
    <cfRule type="containsText" dxfId="547" priority="292" operator="containsText" text="중단">
      <formula>NOT(ISERROR(SEARCH("중단",F14)))</formula>
    </cfRule>
  </conditionalFormatting>
  <conditionalFormatting sqref="F14:F28">
    <cfRule type="containsText" dxfId="546" priority="289" operator="containsText" text="완료">
      <formula>NOT(ISERROR(SEARCH("완료",F14)))</formula>
    </cfRule>
    <cfRule type="containsText" dxfId="545" priority="290" operator="containsText" text="중단">
      <formula>NOT(ISERROR(SEARCH("중단",F14)))</formula>
    </cfRule>
  </conditionalFormatting>
  <conditionalFormatting sqref="F14:F28">
    <cfRule type="containsText" dxfId="544" priority="287" operator="containsText" text="완료">
      <formula>NOT(ISERROR(SEARCH("완료",F14)))</formula>
    </cfRule>
    <cfRule type="containsText" dxfId="543" priority="288" operator="containsText" text="중단">
      <formula>NOT(ISERROR(SEARCH("중단",F14)))</formula>
    </cfRule>
  </conditionalFormatting>
  <conditionalFormatting sqref="F14:F28">
    <cfRule type="containsText" dxfId="542" priority="286" operator="containsText" text="진행중">
      <formula>NOT(ISERROR(SEARCH("진행중",F14)))</formula>
    </cfRule>
  </conditionalFormatting>
  <conditionalFormatting sqref="N8:N28">
    <cfRule type="containsText" dxfId="541" priority="165" operator="containsText" text="완료">
      <formula>NOT(ISERROR(SEARCH("완료",N8)))</formula>
    </cfRule>
    <cfRule type="containsText" dxfId="540" priority="166" operator="containsText" text="중단">
      <formula>NOT(ISERROR(SEARCH("중단",N8)))</formula>
    </cfRule>
  </conditionalFormatting>
  <conditionalFormatting sqref="N8:N28">
    <cfRule type="containsText" dxfId="539" priority="163" operator="containsText" text="완료">
      <formula>NOT(ISERROR(SEARCH("완료",N8)))</formula>
    </cfRule>
    <cfRule type="containsText" dxfId="538" priority="164" operator="containsText" text="중단">
      <formula>NOT(ISERROR(SEARCH("중단",N8)))</formula>
    </cfRule>
  </conditionalFormatting>
  <conditionalFormatting sqref="K8:K17">
    <cfRule type="containsText" dxfId="537" priority="137" operator="containsText" text="완료">
      <formula>NOT(ISERROR(SEARCH("완료",K8)))</formula>
    </cfRule>
    <cfRule type="containsText" dxfId="536" priority="138" operator="containsText" text="중단">
      <formula>NOT(ISERROR(SEARCH("중단",K8)))</formula>
    </cfRule>
  </conditionalFormatting>
  <conditionalFormatting sqref="K8:K17">
    <cfRule type="containsText" dxfId="535" priority="135" operator="containsText" text="완료">
      <formula>NOT(ISERROR(SEARCH("완료",K8)))</formula>
    </cfRule>
    <cfRule type="containsText" dxfId="534" priority="136" operator="containsText" text="중단">
      <formula>NOT(ISERROR(SEARCH("중단",K8)))</formula>
    </cfRule>
  </conditionalFormatting>
  <conditionalFormatting sqref="L8:L17">
    <cfRule type="containsText" dxfId="533" priority="130" operator="containsText" text="완료">
      <formula>NOT(ISERROR(SEARCH("완료",L8)))</formula>
    </cfRule>
    <cfRule type="containsText" dxfId="532" priority="131" operator="containsText" text="중단">
      <formula>NOT(ISERROR(SEARCH("중단",L8)))</formula>
    </cfRule>
  </conditionalFormatting>
  <conditionalFormatting sqref="L8:L17">
    <cfRule type="containsText" dxfId="531" priority="128" operator="containsText" text="완료">
      <formula>NOT(ISERROR(SEARCH("완료",L8)))</formula>
    </cfRule>
    <cfRule type="containsText" dxfId="530" priority="129" operator="containsText" text="중단">
      <formula>NOT(ISERROR(SEARCH("중단",L8)))</formula>
    </cfRule>
  </conditionalFormatting>
  <conditionalFormatting sqref="M8:M28">
    <cfRule type="containsText" dxfId="529" priority="123" operator="containsText" text="완료">
      <formula>NOT(ISERROR(SEARCH("완료",M8)))</formula>
    </cfRule>
    <cfRule type="containsText" dxfId="528" priority="124" operator="containsText" text="중단">
      <formula>NOT(ISERROR(SEARCH("중단",M8)))</formula>
    </cfRule>
  </conditionalFormatting>
  <conditionalFormatting sqref="M8:M28">
    <cfRule type="containsText" dxfId="527" priority="121" operator="containsText" text="완료">
      <formula>NOT(ISERROR(SEARCH("완료",M8)))</formula>
    </cfRule>
    <cfRule type="containsText" dxfId="526" priority="122" operator="containsText" text="중단">
      <formula>NOT(ISERROR(SEARCH("중단",M8)))</formula>
    </cfRule>
  </conditionalFormatting>
  <conditionalFormatting sqref="I14:I28">
    <cfRule type="containsText" dxfId="525" priority="228" operator="containsText" text="완료">
      <formula>NOT(ISERROR(SEARCH("완료",I14)))</formula>
    </cfRule>
    <cfRule type="containsText" dxfId="524" priority="229" operator="containsText" text="중단">
      <formula>NOT(ISERROR(SEARCH("중단",I14)))</formula>
    </cfRule>
  </conditionalFormatting>
  <conditionalFormatting sqref="I14:I28">
    <cfRule type="containsText" dxfId="523" priority="226" operator="containsText" text="완료">
      <formula>NOT(ISERROR(SEARCH("완료",I14)))</formula>
    </cfRule>
    <cfRule type="containsText" dxfId="522" priority="227" operator="containsText" text="중단">
      <formula>NOT(ISERROR(SEARCH("중단",I14)))</formula>
    </cfRule>
  </conditionalFormatting>
  <conditionalFormatting sqref="I14:I28">
    <cfRule type="containsText" dxfId="521" priority="224" operator="containsText" text="완료">
      <formula>NOT(ISERROR(SEARCH("완료",I14)))</formula>
    </cfRule>
    <cfRule type="containsText" dxfId="520" priority="225" operator="containsText" text="중단">
      <formula>NOT(ISERROR(SEARCH("중단",I14)))</formula>
    </cfRule>
  </conditionalFormatting>
  <conditionalFormatting sqref="I14:I28">
    <cfRule type="containsText" dxfId="519" priority="223" operator="containsText" text="진행중">
      <formula>NOT(ISERROR(SEARCH("진행중",I14)))</formula>
    </cfRule>
  </conditionalFormatting>
  <conditionalFormatting sqref="F13">
    <cfRule type="containsText" dxfId="518" priority="221" operator="containsText" text="완료">
      <formula>NOT(ISERROR(SEARCH("완료",F13)))</formula>
    </cfRule>
    <cfRule type="containsText" dxfId="517" priority="222" operator="containsText" text="중단">
      <formula>NOT(ISERROR(SEARCH("중단",F13)))</formula>
    </cfRule>
  </conditionalFormatting>
  <conditionalFormatting sqref="F13">
    <cfRule type="containsText" dxfId="516" priority="219" operator="containsText" text="완료">
      <formula>NOT(ISERROR(SEARCH("완료",F13)))</formula>
    </cfRule>
    <cfRule type="containsText" dxfId="515" priority="220" operator="containsText" text="중단">
      <formula>NOT(ISERROR(SEARCH("중단",F13)))</formula>
    </cfRule>
  </conditionalFormatting>
  <conditionalFormatting sqref="F13">
    <cfRule type="containsText" dxfId="514" priority="217" operator="containsText" text="완료">
      <formula>NOT(ISERROR(SEARCH("완료",F13)))</formula>
    </cfRule>
    <cfRule type="containsText" dxfId="513" priority="218" operator="containsText" text="중단">
      <formula>NOT(ISERROR(SEARCH("중단",F13)))</formula>
    </cfRule>
  </conditionalFormatting>
  <conditionalFormatting sqref="F13">
    <cfRule type="containsText" dxfId="512" priority="216" operator="containsText" text="진행중">
      <formula>NOT(ISERROR(SEARCH("진행중",F13)))</formula>
    </cfRule>
  </conditionalFormatting>
  <conditionalFormatting sqref="I13">
    <cfRule type="containsText" dxfId="511" priority="214" operator="containsText" text="완료">
      <formula>NOT(ISERROR(SEARCH("완료",I13)))</formula>
    </cfRule>
    <cfRule type="containsText" dxfId="510" priority="215" operator="containsText" text="중단">
      <formula>NOT(ISERROR(SEARCH("중단",I13)))</formula>
    </cfRule>
  </conditionalFormatting>
  <conditionalFormatting sqref="I13">
    <cfRule type="containsText" dxfId="509" priority="212" operator="containsText" text="완료">
      <formula>NOT(ISERROR(SEARCH("완료",I13)))</formula>
    </cfRule>
    <cfRule type="containsText" dxfId="508" priority="213" operator="containsText" text="중단">
      <formula>NOT(ISERROR(SEARCH("중단",I13)))</formula>
    </cfRule>
  </conditionalFormatting>
  <conditionalFormatting sqref="I13">
    <cfRule type="containsText" dxfId="507" priority="210" operator="containsText" text="완료">
      <formula>NOT(ISERROR(SEARCH("완료",I13)))</formula>
    </cfRule>
    <cfRule type="containsText" dxfId="506" priority="211" operator="containsText" text="중단">
      <formula>NOT(ISERROR(SEARCH("중단",I13)))</formula>
    </cfRule>
  </conditionalFormatting>
  <conditionalFormatting sqref="I13">
    <cfRule type="containsText" dxfId="505" priority="209" operator="containsText" text="진행중">
      <formula>NOT(ISERROR(SEARCH("진행중",I13)))</formula>
    </cfRule>
  </conditionalFormatting>
  <conditionalFormatting sqref="E19 E27:E28">
    <cfRule type="containsText" dxfId="504" priority="116" operator="containsText" text="완료">
      <formula>NOT(ISERROR(SEARCH("완료",E19)))</formula>
    </cfRule>
    <cfRule type="containsText" dxfId="503" priority="117" operator="containsText" text="중단">
      <formula>NOT(ISERROR(SEARCH("중단",E19)))</formula>
    </cfRule>
  </conditionalFormatting>
  <conditionalFormatting sqref="E19 E27:E28">
    <cfRule type="containsText" dxfId="502" priority="114" operator="containsText" text="완료">
      <formula>NOT(ISERROR(SEARCH("완료",E19)))</formula>
    </cfRule>
    <cfRule type="containsText" dxfId="501" priority="115" operator="containsText" text="중단">
      <formula>NOT(ISERROR(SEARCH("중단",E19)))</formula>
    </cfRule>
  </conditionalFormatting>
  <conditionalFormatting sqref="E19 E27:E28">
    <cfRule type="containsText" dxfId="500" priority="113" operator="containsText" text="진행중">
      <formula>NOT(ISERROR(SEARCH("진행중",E19)))</formula>
    </cfRule>
  </conditionalFormatting>
  <conditionalFormatting sqref="K18:K28">
    <cfRule type="containsText" dxfId="499" priority="200" operator="containsText" text="완료">
      <formula>NOT(ISERROR(SEARCH("완료",K18)))</formula>
    </cfRule>
    <cfRule type="containsText" dxfId="498" priority="201" operator="containsText" text="중단">
      <formula>NOT(ISERROR(SEARCH("중단",K18)))</formula>
    </cfRule>
  </conditionalFormatting>
  <conditionalFormatting sqref="K18:K28">
    <cfRule type="containsText" dxfId="497" priority="198" operator="containsText" text="완료">
      <formula>NOT(ISERROR(SEARCH("완료",K18)))</formula>
    </cfRule>
    <cfRule type="containsText" dxfId="496" priority="199" operator="containsText" text="중단">
      <formula>NOT(ISERROR(SEARCH("중단",K18)))</formula>
    </cfRule>
  </conditionalFormatting>
  <conditionalFormatting sqref="K18:K28">
    <cfRule type="containsText" dxfId="495" priority="196" operator="containsText" text="완료">
      <formula>NOT(ISERROR(SEARCH("완료",K18)))</formula>
    </cfRule>
    <cfRule type="containsText" dxfId="494" priority="197" operator="containsText" text="중단">
      <formula>NOT(ISERROR(SEARCH("중단",K18)))</formula>
    </cfRule>
  </conditionalFormatting>
  <conditionalFormatting sqref="K18:K28">
    <cfRule type="containsText" dxfId="493" priority="195" operator="containsText" text="진행중">
      <formula>NOT(ISERROR(SEARCH("진행중",K18)))</formula>
    </cfRule>
  </conditionalFormatting>
  <conditionalFormatting sqref="L18:L28">
    <cfRule type="containsText" dxfId="492" priority="186" operator="containsText" text="완료">
      <formula>NOT(ISERROR(SEARCH("완료",L18)))</formula>
    </cfRule>
    <cfRule type="containsText" dxfId="491" priority="187" operator="containsText" text="중단">
      <formula>NOT(ISERROR(SEARCH("중단",L18)))</formula>
    </cfRule>
  </conditionalFormatting>
  <conditionalFormatting sqref="L18:L28">
    <cfRule type="containsText" dxfId="490" priority="184" operator="containsText" text="완료">
      <formula>NOT(ISERROR(SEARCH("완료",L18)))</formula>
    </cfRule>
    <cfRule type="containsText" dxfId="489" priority="185" operator="containsText" text="중단">
      <formula>NOT(ISERROR(SEARCH("중단",L18)))</formula>
    </cfRule>
  </conditionalFormatting>
  <conditionalFormatting sqref="L18:L28">
    <cfRule type="containsText" dxfId="488" priority="182" operator="containsText" text="완료">
      <formula>NOT(ISERROR(SEARCH("완료",L18)))</formula>
    </cfRule>
    <cfRule type="containsText" dxfId="487" priority="183" operator="containsText" text="중단">
      <formula>NOT(ISERROR(SEARCH("중단",L18)))</formula>
    </cfRule>
  </conditionalFormatting>
  <conditionalFormatting sqref="L18:L28">
    <cfRule type="containsText" dxfId="486" priority="181" operator="containsText" text="진행중">
      <formula>NOT(ISERROR(SEARCH("진행중",L18)))</formula>
    </cfRule>
  </conditionalFormatting>
  <conditionalFormatting sqref="N8:N28">
    <cfRule type="containsText" dxfId="485" priority="161" operator="containsText" text="완료">
      <formula>NOT(ISERROR(SEARCH("완료",N8)))</formula>
    </cfRule>
    <cfRule type="containsText" dxfId="484" priority="162" operator="containsText" text="중단">
      <formula>NOT(ISERROR(SEARCH("중단",N8)))</formula>
    </cfRule>
  </conditionalFormatting>
  <conditionalFormatting sqref="N8:N28">
    <cfRule type="containsText" dxfId="483" priority="160" operator="containsText" text="진행중">
      <formula>NOT(ISERROR(SEARCH("진행중",N8)))</formula>
    </cfRule>
  </conditionalFormatting>
  <conditionalFormatting sqref="K8:K17">
    <cfRule type="containsText" dxfId="482" priority="133" operator="containsText" text="완료">
      <formula>NOT(ISERROR(SEARCH("완료",K8)))</formula>
    </cfRule>
    <cfRule type="containsText" dxfId="481" priority="134" operator="containsText" text="중단">
      <formula>NOT(ISERROR(SEARCH("중단",K8)))</formula>
    </cfRule>
  </conditionalFormatting>
  <conditionalFormatting sqref="K8:K17">
    <cfRule type="containsText" dxfId="480" priority="132" operator="containsText" text="진행중">
      <formula>NOT(ISERROR(SEARCH("진행중",K8)))</formula>
    </cfRule>
  </conditionalFormatting>
  <conditionalFormatting sqref="L8:L17">
    <cfRule type="containsText" dxfId="479" priority="126" operator="containsText" text="완료">
      <formula>NOT(ISERROR(SEARCH("완료",L8)))</formula>
    </cfRule>
    <cfRule type="containsText" dxfId="478" priority="127" operator="containsText" text="중단">
      <formula>NOT(ISERROR(SEARCH("중단",L8)))</formula>
    </cfRule>
  </conditionalFormatting>
  <conditionalFormatting sqref="L8:L17">
    <cfRule type="containsText" dxfId="477" priority="125" operator="containsText" text="진행중">
      <formula>NOT(ISERROR(SEARCH("진행중",L8)))</formula>
    </cfRule>
  </conditionalFormatting>
  <conditionalFormatting sqref="M8:M28">
    <cfRule type="containsText" dxfId="476" priority="119" operator="containsText" text="완료">
      <formula>NOT(ISERROR(SEARCH("완료",M8)))</formula>
    </cfRule>
    <cfRule type="containsText" dxfId="475" priority="120" operator="containsText" text="중단">
      <formula>NOT(ISERROR(SEARCH("중단",M8)))</formula>
    </cfRule>
  </conditionalFormatting>
  <conditionalFormatting sqref="M8:M28">
    <cfRule type="containsText" dxfId="474" priority="118" operator="containsText" text="진행중">
      <formula>NOT(ISERROR(SEARCH("진행중",M8)))</formula>
    </cfRule>
  </conditionalFormatting>
  <conditionalFormatting sqref="G8:G19">
    <cfRule type="containsText" dxfId="473" priority="111" operator="containsText" text="완료">
      <formula>NOT(ISERROR(SEARCH("완료",G8)))</formula>
    </cfRule>
    <cfRule type="containsText" dxfId="472" priority="112" operator="containsText" text="중단">
      <formula>NOT(ISERROR(SEARCH("중단",G8)))</formula>
    </cfRule>
  </conditionalFormatting>
  <conditionalFormatting sqref="G8:G19">
    <cfRule type="containsText" dxfId="471" priority="109" operator="containsText" text="완료">
      <formula>NOT(ISERROR(SEARCH("완료",G8)))</formula>
    </cfRule>
    <cfRule type="containsText" dxfId="470" priority="110" operator="containsText" text="중단">
      <formula>NOT(ISERROR(SEARCH("중단",G8)))</formula>
    </cfRule>
  </conditionalFormatting>
  <conditionalFormatting sqref="G8:G19">
    <cfRule type="containsText" dxfId="469" priority="107" operator="containsText" text="완료">
      <formula>NOT(ISERROR(SEARCH("완료",G8)))</formula>
    </cfRule>
    <cfRule type="containsText" dxfId="468" priority="108" operator="containsText" text="중단">
      <formula>NOT(ISERROR(SEARCH("중단",G8)))</formula>
    </cfRule>
  </conditionalFormatting>
  <conditionalFormatting sqref="G8:G19">
    <cfRule type="containsText" dxfId="467" priority="106" operator="containsText" text="진행중">
      <formula>NOT(ISERROR(SEARCH("진행중",G8)))</formula>
    </cfRule>
  </conditionalFormatting>
  <conditionalFormatting sqref="H8:H19">
    <cfRule type="containsText" dxfId="466" priority="104" operator="containsText" text="완료">
      <formula>NOT(ISERROR(SEARCH("완료",H8)))</formula>
    </cfRule>
    <cfRule type="containsText" dxfId="465" priority="105" operator="containsText" text="중단">
      <formula>NOT(ISERROR(SEARCH("중단",H8)))</formula>
    </cfRule>
  </conditionalFormatting>
  <conditionalFormatting sqref="H8:H19">
    <cfRule type="containsText" dxfId="464" priority="102" operator="containsText" text="완료">
      <formula>NOT(ISERROR(SEARCH("완료",H8)))</formula>
    </cfRule>
    <cfRule type="containsText" dxfId="463" priority="103" operator="containsText" text="중단">
      <formula>NOT(ISERROR(SEARCH("중단",H8)))</formula>
    </cfRule>
  </conditionalFormatting>
  <conditionalFormatting sqref="H8:H19">
    <cfRule type="containsText" dxfId="462" priority="100" operator="containsText" text="완료">
      <formula>NOT(ISERROR(SEARCH("완료",H8)))</formula>
    </cfRule>
    <cfRule type="containsText" dxfId="461" priority="101" operator="containsText" text="중단">
      <formula>NOT(ISERROR(SEARCH("중단",H8)))</formula>
    </cfRule>
  </conditionalFormatting>
  <conditionalFormatting sqref="H8:H19">
    <cfRule type="containsText" dxfId="460" priority="99" operator="containsText" text="진행중">
      <formula>NOT(ISERROR(SEARCH("진행중",H8)))</formula>
    </cfRule>
  </conditionalFormatting>
  <conditionalFormatting sqref="Q20:Q28">
    <cfRule type="containsText" dxfId="459" priority="77" operator="containsText" text="완료">
      <formula>NOT(ISERROR(SEARCH("완료",Q20)))</formula>
    </cfRule>
    <cfRule type="containsText" dxfId="458" priority="78" operator="containsText" text="중단">
      <formula>NOT(ISERROR(SEARCH("중단",Q20)))</formula>
    </cfRule>
  </conditionalFormatting>
  <conditionalFormatting sqref="Q20:Q28">
    <cfRule type="containsText" dxfId="457" priority="75" operator="containsText" text="완료">
      <formula>NOT(ISERROR(SEARCH("완료",Q20)))</formula>
    </cfRule>
    <cfRule type="containsText" dxfId="456" priority="76" operator="containsText" text="중단">
      <formula>NOT(ISERROR(SEARCH("중단",Q20)))</formula>
    </cfRule>
  </conditionalFormatting>
  <conditionalFormatting sqref="Q20:Q28">
    <cfRule type="containsText" dxfId="455" priority="74" operator="containsText" text="진행중">
      <formula>NOT(ISERROR(SEARCH("진행중",Q20)))</formula>
    </cfRule>
  </conditionalFormatting>
  <conditionalFormatting sqref="R20:R28">
    <cfRule type="containsText" dxfId="454" priority="72" operator="containsText" text="완료">
      <formula>NOT(ISERROR(SEARCH("완료",R20)))</formula>
    </cfRule>
    <cfRule type="containsText" dxfId="453" priority="73" operator="containsText" text="중단">
      <formula>NOT(ISERROR(SEARCH("중단",R20)))</formula>
    </cfRule>
  </conditionalFormatting>
  <conditionalFormatting sqref="R20:R28">
    <cfRule type="containsText" dxfId="452" priority="70" operator="containsText" text="완료">
      <formula>NOT(ISERROR(SEARCH("완료",R20)))</formula>
    </cfRule>
    <cfRule type="containsText" dxfId="451" priority="71" operator="containsText" text="중단">
      <formula>NOT(ISERROR(SEARCH("중단",R20)))</formula>
    </cfRule>
  </conditionalFormatting>
  <conditionalFormatting sqref="R20:R28">
    <cfRule type="containsText" dxfId="450" priority="69" operator="containsText" text="진행중">
      <formula>NOT(ISERROR(SEARCH("진행중",R20)))</formula>
    </cfRule>
  </conditionalFormatting>
  <conditionalFormatting sqref="S20:S28">
    <cfRule type="containsText" dxfId="449" priority="67" operator="containsText" text="완료">
      <formula>NOT(ISERROR(SEARCH("완료",S20)))</formula>
    </cfRule>
    <cfRule type="containsText" dxfId="448" priority="68" operator="containsText" text="중단">
      <formula>NOT(ISERROR(SEARCH("중단",S20)))</formula>
    </cfRule>
  </conditionalFormatting>
  <conditionalFormatting sqref="S20:S28">
    <cfRule type="containsText" dxfId="447" priority="65" operator="containsText" text="완료">
      <formula>NOT(ISERROR(SEARCH("완료",S20)))</formula>
    </cfRule>
    <cfRule type="containsText" dxfId="446" priority="66" operator="containsText" text="중단">
      <formula>NOT(ISERROR(SEARCH("중단",S20)))</formula>
    </cfRule>
  </conditionalFormatting>
  <conditionalFormatting sqref="S20:S28">
    <cfRule type="containsText" dxfId="445" priority="64" operator="containsText" text="진행중">
      <formula>NOT(ISERROR(SEARCH("진행중",S20)))</formula>
    </cfRule>
  </conditionalFormatting>
  <conditionalFormatting sqref="T20:T28">
    <cfRule type="containsText" dxfId="444" priority="62" operator="containsText" text="완료">
      <formula>NOT(ISERROR(SEARCH("완료",T20)))</formula>
    </cfRule>
    <cfRule type="containsText" dxfId="443" priority="63" operator="containsText" text="중단">
      <formula>NOT(ISERROR(SEARCH("중단",T20)))</formula>
    </cfRule>
  </conditionalFormatting>
  <conditionalFormatting sqref="T20:T28">
    <cfRule type="containsText" dxfId="442" priority="60" operator="containsText" text="완료">
      <formula>NOT(ISERROR(SEARCH("완료",T20)))</formula>
    </cfRule>
    <cfRule type="containsText" dxfId="441" priority="61" operator="containsText" text="중단">
      <formula>NOT(ISERROR(SEARCH("중단",T20)))</formula>
    </cfRule>
  </conditionalFormatting>
  <conditionalFormatting sqref="T20:T28">
    <cfRule type="containsText" dxfId="440" priority="59" operator="containsText" text="진행중">
      <formula>NOT(ISERROR(SEARCH("진행중",T20)))</formula>
    </cfRule>
  </conditionalFormatting>
  <conditionalFormatting sqref="U20:AC28">
    <cfRule type="containsText" dxfId="439" priority="57" operator="containsText" text="완료">
      <formula>NOT(ISERROR(SEARCH("완료",U20)))</formula>
    </cfRule>
    <cfRule type="containsText" dxfId="438" priority="58" operator="containsText" text="중단">
      <formula>NOT(ISERROR(SEARCH("중단",U20)))</formula>
    </cfRule>
  </conditionalFormatting>
  <conditionalFormatting sqref="U20:AC28">
    <cfRule type="containsText" dxfId="437" priority="55" operator="containsText" text="완료">
      <formula>NOT(ISERROR(SEARCH("완료",U20)))</formula>
    </cfRule>
    <cfRule type="containsText" dxfId="436" priority="56" operator="containsText" text="중단">
      <formula>NOT(ISERROR(SEARCH("중단",U20)))</formula>
    </cfRule>
  </conditionalFormatting>
  <conditionalFormatting sqref="U20:AC28">
    <cfRule type="containsText" dxfId="435" priority="54" operator="containsText" text="진행중">
      <formula>NOT(ISERROR(SEARCH("진행중",U20)))</formula>
    </cfRule>
  </conditionalFormatting>
  <conditionalFormatting sqref="AD20:AD28">
    <cfRule type="containsText" dxfId="434" priority="52" operator="containsText" text="완료">
      <formula>NOT(ISERROR(SEARCH("완료",AD20)))</formula>
    </cfRule>
    <cfRule type="containsText" dxfId="433" priority="53" operator="containsText" text="중단">
      <formula>NOT(ISERROR(SEARCH("중단",AD20)))</formula>
    </cfRule>
  </conditionalFormatting>
  <conditionalFormatting sqref="AD20:AD28">
    <cfRule type="containsText" dxfId="432" priority="50" operator="containsText" text="완료">
      <formula>NOT(ISERROR(SEARCH("완료",AD20)))</formula>
    </cfRule>
    <cfRule type="containsText" dxfId="431" priority="51" operator="containsText" text="중단">
      <formula>NOT(ISERROR(SEARCH("중단",AD20)))</formula>
    </cfRule>
  </conditionalFormatting>
  <conditionalFormatting sqref="AD20:AD28">
    <cfRule type="containsText" dxfId="430" priority="49" operator="containsText" text="진행중">
      <formula>NOT(ISERROR(SEARCH("진행중",AD20)))</formula>
    </cfRule>
  </conditionalFormatting>
  <conditionalFormatting sqref="AE20:AE28">
    <cfRule type="containsText" dxfId="429" priority="47" operator="containsText" text="완료">
      <formula>NOT(ISERROR(SEARCH("완료",AE20)))</formula>
    </cfRule>
    <cfRule type="containsText" dxfId="428" priority="48" operator="containsText" text="중단">
      <formula>NOT(ISERROR(SEARCH("중단",AE20)))</formula>
    </cfRule>
  </conditionalFormatting>
  <conditionalFormatting sqref="AE20:AE28">
    <cfRule type="containsText" dxfId="427" priority="45" operator="containsText" text="완료">
      <formula>NOT(ISERROR(SEARCH("완료",AE20)))</formula>
    </cfRule>
    <cfRule type="containsText" dxfId="426" priority="46" operator="containsText" text="중단">
      <formula>NOT(ISERROR(SEARCH("중단",AE20)))</formula>
    </cfRule>
  </conditionalFormatting>
  <conditionalFormatting sqref="AE20:AE28">
    <cfRule type="containsText" dxfId="425" priority="44" operator="containsText" text="진행중">
      <formula>NOT(ISERROR(SEARCH("진행중",AE20)))</formula>
    </cfRule>
  </conditionalFormatting>
  <conditionalFormatting sqref="A1:AG19 A27:AG29 A20:D26 F20:AG26">
    <cfRule type="containsText" dxfId="424" priority="43" operator="containsText" text="누락">
      <formula>NOT(ISERROR(SEARCH("누락",A1)))</formula>
    </cfRule>
  </conditionalFormatting>
  <conditionalFormatting sqref="Q19">
    <cfRule type="containsText" dxfId="423" priority="41" operator="containsText" text="완료">
      <formula>NOT(ISERROR(SEARCH("완료",Q19)))</formula>
    </cfRule>
    <cfRule type="containsText" dxfId="422" priority="42" operator="containsText" text="중단">
      <formula>NOT(ISERROR(SEARCH("중단",Q19)))</formula>
    </cfRule>
  </conditionalFormatting>
  <conditionalFormatting sqref="Q19">
    <cfRule type="containsText" dxfId="421" priority="39" operator="containsText" text="완료">
      <formula>NOT(ISERROR(SEARCH("완료",Q19)))</formula>
    </cfRule>
    <cfRule type="containsText" dxfId="420" priority="40" operator="containsText" text="중단">
      <formula>NOT(ISERROR(SEARCH("중단",Q19)))</formula>
    </cfRule>
  </conditionalFormatting>
  <conditionalFormatting sqref="Q19">
    <cfRule type="containsText" dxfId="419" priority="38" operator="containsText" text="진행중">
      <formula>NOT(ISERROR(SEARCH("진행중",Q19)))</formula>
    </cfRule>
  </conditionalFormatting>
  <conditionalFormatting sqref="R19">
    <cfRule type="containsText" dxfId="418" priority="36" operator="containsText" text="완료">
      <formula>NOT(ISERROR(SEARCH("완료",R19)))</formula>
    </cfRule>
    <cfRule type="containsText" dxfId="417" priority="37" operator="containsText" text="중단">
      <formula>NOT(ISERROR(SEARCH("중단",R19)))</formula>
    </cfRule>
  </conditionalFormatting>
  <conditionalFormatting sqref="R19">
    <cfRule type="containsText" dxfId="416" priority="34" operator="containsText" text="완료">
      <formula>NOT(ISERROR(SEARCH("완료",R19)))</formula>
    </cfRule>
    <cfRule type="containsText" dxfId="415" priority="35" operator="containsText" text="중단">
      <formula>NOT(ISERROR(SEARCH("중단",R19)))</formula>
    </cfRule>
  </conditionalFormatting>
  <conditionalFormatting sqref="R19">
    <cfRule type="containsText" dxfId="414" priority="33" operator="containsText" text="진행중">
      <formula>NOT(ISERROR(SEARCH("진행중",R19)))</formula>
    </cfRule>
  </conditionalFormatting>
  <conditionalFormatting sqref="S19">
    <cfRule type="containsText" dxfId="413" priority="31" operator="containsText" text="완료">
      <formula>NOT(ISERROR(SEARCH("완료",S19)))</formula>
    </cfRule>
    <cfRule type="containsText" dxfId="412" priority="32" operator="containsText" text="중단">
      <formula>NOT(ISERROR(SEARCH("중단",S19)))</formula>
    </cfRule>
  </conditionalFormatting>
  <conditionalFormatting sqref="S19">
    <cfRule type="containsText" dxfId="411" priority="29" operator="containsText" text="완료">
      <formula>NOT(ISERROR(SEARCH("완료",S19)))</formula>
    </cfRule>
    <cfRule type="containsText" dxfId="410" priority="30" operator="containsText" text="중단">
      <formula>NOT(ISERROR(SEARCH("중단",S19)))</formula>
    </cfRule>
  </conditionalFormatting>
  <conditionalFormatting sqref="S19">
    <cfRule type="containsText" dxfId="409" priority="28" operator="containsText" text="진행중">
      <formula>NOT(ISERROR(SEARCH("진행중",S19)))</formula>
    </cfRule>
  </conditionalFormatting>
  <conditionalFormatting sqref="T19">
    <cfRule type="containsText" dxfId="408" priority="26" operator="containsText" text="완료">
      <formula>NOT(ISERROR(SEARCH("완료",T19)))</formula>
    </cfRule>
    <cfRule type="containsText" dxfId="407" priority="27" operator="containsText" text="중단">
      <formula>NOT(ISERROR(SEARCH("중단",T19)))</formula>
    </cfRule>
  </conditionalFormatting>
  <conditionalFormatting sqref="T19">
    <cfRule type="containsText" dxfId="406" priority="24" operator="containsText" text="완료">
      <formula>NOT(ISERROR(SEARCH("완료",T19)))</formula>
    </cfRule>
    <cfRule type="containsText" dxfId="405" priority="25" operator="containsText" text="중단">
      <formula>NOT(ISERROR(SEARCH("중단",T19)))</formula>
    </cfRule>
  </conditionalFormatting>
  <conditionalFormatting sqref="T19">
    <cfRule type="containsText" dxfId="404" priority="23" operator="containsText" text="진행중">
      <formula>NOT(ISERROR(SEARCH("진행중",T19)))</formula>
    </cfRule>
  </conditionalFormatting>
  <conditionalFormatting sqref="U19:AC19">
    <cfRule type="containsText" dxfId="403" priority="21" operator="containsText" text="완료">
      <formula>NOT(ISERROR(SEARCH("완료",U19)))</formula>
    </cfRule>
    <cfRule type="containsText" dxfId="402" priority="22" operator="containsText" text="중단">
      <formula>NOT(ISERROR(SEARCH("중단",U19)))</formula>
    </cfRule>
  </conditionalFormatting>
  <conditionalFormatting sqref="U19:AC19">
    <cfRule type="containsText" dxfId="401" priority="19" operator="containsText" text="완료">
      <formula>NOT(ISERROR(SEARCH("완료",U19)))</formula>
    </cfRule>
    <cfRule type="containsText" dxfId="400" priority="20" operator="containsText" text="중단">
      <formula>NOT(ISERROR(SEARCH("중단",U19)))</formula>
    </cfRule>
  </conditionalFormatting>
  <conditionalFormatting sqref="U19:AC19">
    <cfRule type="containsText" dxfId="399" priority="18" operator="containsText" text="진행중">
      <formula>NOT(ISERROR(SEARCH("진행중",U19)))</formula>
    </cfRule>
  </conditionalFormatting>
  <conditionalFormatting sqref="AD19">
    <cfRule type="containsText" dxfId="398" priority="16" operator="containsText" text="완료">
      <formula>NOT(ISERROR(SEARCH("완료",AD19)))</formula>
    </cfRule>
    <cfRule type="containsText" dxfId="397" priority="17" operator="containsText" text="중단">
      <formula>NOT(ISERROR(SEARCH("중단",AD19)))</formula>
    </cfRule>
  </conditionalFormatting>
  <conditionalFormatting sqref="AD19">
    <cfRule type="containsText" dxfId="396" priority="14" operator="containsText" text="완료">
      <formula>NOT(ISERROR(SEARCH("완료",AD19)))</formula>
    </cfRule>
    <cfRule type="containsText" dxfId="395" priority="15" operator="containsText" text="중단">
      <formula>NOT(ISERROR(SEARCH("중단",AD19)))</formula>
    </cfRule>
  </conditionalFormatting>
  <conditionalFormatting sqref="AD19">
    <cfRule type="containsText" dxfId="394" priority="13" operator="containsText" text="진행중">
      <formula>NOT(ISERROR(SEARCH("진행중",AD19)))</formula>
    </cfRule>
  </conditionalFormatting>
  <conditionalFormatting sqref="AE19">
    <cfRule type="containsText" dxfId="393" priority="11" operator="containsText" text="완료">
      <formula>NOT(ISERROR(SEARCH("완료",AE19)))</formula>
    </cfRule>
    <cfRule type="containsText" dxfId="392" priority="12" operator="containsText" text="중단">
      <formula>NOT(ISERROR(SEARCH("중단",AE19)))</formula>
    </cfRule>
  </conditionalFormatting>
  <conditionalFormatting sqref="AE19">
    <cfRule type="containsText" dxfId="391" priority="9" operator="containsText" text="완료">
      <formula>NOT(ISERROR(SEARCH("완료",AE19)))</formula>
    </cfRule>
    <cfRule type="containsText" dxfId="390" priority="10" operator="containsText" text="중단">
      <formula>NOT(ISERROR(SEARCH("중단",AE19)))</formula>
    </cfRule>
  </conditionalFormatting>
  <conditionalFormatting sqref="AE19">
    <cfRule type="containsText" dxfId="389" priority="8" operator="containsText" text="진행중">
      <formula>NOT(ISERROR(SEARCH("진행중",AE19)))</formula>
    </cfRule>
  </conditionalFormatting>
  <conditionalFormatting sqref="E21:E26">
    <cfRule type="containsText" dxfId="11" priority="6" operator="containsText" text="완료">
      <formula>NOT(ISERROR(SEARCH("완료",E21)))</formula>
    </cfRule>
    <cfRule type="containsText" dxfId="10" priority="7" operator="containsText" text="중단">
      <formula>NOT(ISERROR(SEARCH("중단",E21)))</formula>
    </cfRule>
  </conditionalFormatting>
  <conditionalFormatting sqref="E21:E26">
    <cfRule type="containsText" dxfId="9" priority="4" operator="containsText" text="완료">
      <formula>NOT(ISERROR(SEARCH("완료",E21)))</formula>
    </cfRule>
    <cfRule type="containsText" dxfId="8" priority="5" operator="containsText" text="중단">
      <formula>NOT(ISERROR(SEARCH("중단",E21)))</formula>
    </cfRule>
  </conditionalFormatting>
  <conditionalFormatting sqref="E21:E26">
    <cfRule type="containsText" dxfId="7" priority="3" operator="containsText" text="진행중">
      <formula>NOT(ISERROR(SEARCH("진행중",E21)))</formula>
    </cfRule>
  </conditionalFormatting>
  <conditionalFormatting sqref="E21:E26">
    <cfRule type="containsText" dxfId="6" priority="2" operator="containsText" text="누락">
      <formula>NOT(ISERROR(SEARCH("누락",E21)))</formula>
    </cfRule>
  </conditionalFormatting>
  <conditionalFormatting sqref="E20:E28">
    <cfRule type="containsText" dxfId="5" priority="1" operator="containsText" text="누락">
      <formula>NOT(ISERROR(SEARCH("누락",E20)))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4F5C6-700E-4F01-A83E-39E941B73FA2}">
  <sheetPr>
    <tabColor theme="0" tint="-0.14999847407452621"/>
  </sheetPr>
  <dimension ref="A1:AP29"/>
  <sheetViews>
    <sheetView zoomScale="55" zoomScaleNormal="55" workbookViewId="0">
      <selection activeCell="H16" sqref="H16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72" t="s">
        <v>18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</row>
    <row r="2" spans="1:42" x14ac:dyDescent="0.45">
      <c r="A2" s="60" t="s">
        <v>10</v>
      </c>
      <c r="B2" s="61" t="s">
        <v>90</v>
      </c>
      <c r="C2" s="62"/>
      <c r="D2" s="62"/>
      <c r="E2" s="62"/>
      <c r="F2" s="60" t="s">
        <v>109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18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92</v>
      </c>
      <c r="L5" s="65"/>
      <c r="M5" s="65"/>
      <c r="N5" s="66"/>
      <c r="O5" s="42" t="s">
        <v>91</v>
      </c>
      <c r="P5" s="17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71" t="s">
        <v>120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19" t="s">
        <v>25</v>
      </c>
      <c r="Q6" s="19" t="s">
        <v>4</v>
      </c>
      <c r="R6" s="19" t="s">
        <v>12</v>
      </c>
      <c r="S6" s="19" t="s">
        <v>13</v>
      </c>
      <c r="T6" s="19" t="s">
        <v>5</v>
      </c>
      <c r="U6" s="19" t="s">
        <v>4</v>
      </c>
      <c r="V6" s="19" t="s">
        <v>12</v>
      </c>
      <c r="W6" s="19" t="s">
        <v>13</v>
      </c>
      <c r="X6" s="19" t="s">
        <v>5</v>
      </c>
      <c r="Y6" s="19" t="s">
        <v>4</v>
      </c>
      <c r="Z6" s="19" t="s">
        <v>12</v>
      </c>
      <c r="AA6" s="19" t="s">
        <v>13</v>
      </c>
      <c r="AB6" s="19" t="s">
        <v>5</v>
      </c>
      <c r="AC6" s="19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28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19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92" t="str">
        <f>IFERROR(IF(MOD($B7,5)=0, "누락 ","-" ),"-")</f>
        <v>-</v>
      </c>
      <c r="R7" s="92" t="str">
        <f>IFERROR(IF(MOD($B7,5)=0, "누락 ","-" ),"-")</f>
        <v>-</v>
      </c>
      <c r="S7" s="92" t="str">
        <f>IFERROR(IF(MOD($B7,5)=0, "누락 ","-" ),"-")</f>
        <v>-</v>
      </c>
      <c r="T7" s="92" t="str">
        <f>IFERROR(IF(MOD($B7,5)=0, "누락 ","-" ),"-")</f>
        <v>-</v>
      </c>
      <c r="U7" s="92" t="str">
        <f>IFERROR(IF(MOD($B7,5)=0, "누락 ","-" ),"-")</f>
        <v>-</v>
      </c>
      <c r="V7" s="92" t="str">
        <f>IFERROR(IF(MOD($B7,5)=0, "누락 ","-" ),"-")</f>
        <v>-</v>
      </c>
      <c r="W7" s="92" t="str">
        <f>IFERROR(IF(MOD($B7,5)=0, "누락 ","-" ),"-")</f>
        <v>-</v>
      </c>
      <c r="X7" s="92" t="str">
        <f>IFERROR(IF(MOD($B7,5)=0, "누락 ","-" ),"-")</f>
        <v>-</v>
      </c>
      <c r="Y7" s="92" t="str">
        <f>IFERROR(IF(MOD($B7,5)=0, "누락 ","-" ),"-")</f>
        <v>-</v>
      </c>
      <c r="Z7" s="92" t="str">
        <f>IFERROR(IF(MOD($B7,5)=0, "누락 ","-" ),"-")</f>
        <v>-</v>
      </c>
      <c r="AA7" s="92" t="str">
        <f>IFERROR(IF(MOD($B7,5)=0, "누락 ","-" ),"-")</f>
        <v>-</v>
      </c>
      <c r="AB7" s="92" t="str">
        <f>IFERROR(IF(MOD($B7,5)=0, "누락 ","-" ),"-")</f>
        <v>-</v>
      </c>
      <c r="AC7" s="92" t="str">
        <f>IFERROR(IF(MOD($B7,5)=0, "누락 ","-" ),"-")</f>
        <v>-</v>
      </c>
      <c r="AD7" s="92" t="str">
        <f t="shared" ref="AD7:AD21" si="2">IF(MOD($B7,40)=0, "필터세척 :"&amp; CHAR(10) &amp; "FLOW   (T1, T4 : / T2, T3 : / T4 : )","-" )</f>
        <v>-</v>
      </c>
      <c r="AE7" s="92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49" t="s">
        <v>40</v>
      </c>
      <c r="G8" s="49" t="str">
        <f>IF(NOT(LEN($I8)=0),G7,"")</f>
        <v>-</v>
      </c>
      <c r="H8" s="49" t="str">
        <f>IF(NOT(LEN($I8)=0),H7,"")</f>
        <v>-</v>
      </c>
      <c r="I8" s="49" t="s">
        <v>40</v>
      </c>
      <c r="J8" s="1"/>
      <c r="K8" s="50" t="str">
        <f t="shared" ref="K8:K17" si="3">IF(NOT(LEN($I8)=0),K7,"")</f>
        <v>VITA</v>
      </c>
      <c r="L8" s="50" t="str">
        <f t="shared" ref="L8:L17" si="4">IF(NOT(LEN($I8)=0),L7,"")</f>
        <v>MARK II</v>
      </c>
      <c r="M8" s="50">
        <f t="shared" ref="M8" si="5">IF(NOT(LEN($I8)=0),M7,"")</f>
        <v>160</v>
      </c>
      <c r="N8" s="50" t="str">
        <f>IF(NOT(LEN($I8)=0),N7,"")</f>
        <v>-</v>
      </c>
      <c r="O8" s="24">
        <f>IF(LEN(A8)&gt;0, 종합!$C$27, "")</f>
        <v>2.2599999999999998</v>
      </c>
      <c r="P8" s="1" t="s">
        <v>16</v>
      </c>
      <c r="Q8" s="92" t="str">
        <f>IFERROR(IF(MOD($B8,5)=0, "누락 ","-" ),"-")</f>
        <v>-</v>
      </c>
      <c r="R8" s="92" t="str">
        <f>IFERROR(IF(MOD($B8,5)=0, "누락 ","-" ),"-")</f>
        <v>-</v>
      </c>
      <c r="S8" s="92" t="str">
        <f>IFERROR(IF(MOD($B8,5)=0, "누락 ","-" ),"-")</f>
        <v>-</v>
      </c>
      <c r="T8" s="92" t="str">
        <f>IFERROR(IF(MOD($B8,5)=0, "누락 ","-" ),"-")</f>
        <v>-</v>
      </c>
      <c r="U8" s="92" t="str">
        <f>IFERROR(IF(MOD($B8,5)=0, "누락 ","-" ),"-")</f>
        <v>-</v>
      </c>
      <c r="V8" s="92" t="str">
        <f>IFERROR(IF(MOD($B8,5)=0, "누락 ","-" ),"-")</f>
        <v>-</v>
      </c>
      <c r="W8" s="92" t="str">
        <f>IFERROR(IF(MOD($B8,5)=0, "누락 ","-" ),"-")</f>
        <v>-</v>
      </c>
      <c r="X8" s="92" t="str">
        <f>IFERROR(IF(MOD($B8,5)=0, "누락 ","-" ),"-")</f>
        <v>-</v>
      </c>
      <c r="Y8" s="92" t="str">
        <f>IFERROR(IF(MOD($B8,5)=0, "누락 ","-" ),"-")</f>
        <v>-</v>
      </c>
      <c r="Z8" s="92" t="str">
        <f>IFERROR(IF(MOD($B8,5)=0, "누락 ","-" ),"-")</f>
        <v>-</v>
      </c>
      <c r="AA8" s="92" t="str">
        <f>IFERROR(IF(MOD($B8,5)=0, "누락 ","-" ),"-")</f>
        <v>-</v>
      </c>
      <c r="AB8" s="92" t="str">
        <f>IFERROR(IF(MOD($B8,5)=0, "누락 ","-" ),"-")</f>
        <v>-</v>
      </c>
      <c r="AC8" s="92" t="str">
        <f>IFERROR(IF(MOD($B8,5)=0, "누락 ","-" ),"-")</f>
        <v>-</v>
      </c>
      <c r="AD8" s="92" t="str">
        <f t="shared" si="2"/>
        <v>-</v>
      </c>
      <c r="AE8" s="92" t="str">
        <f t="shared" ref="AE8:AG21" si="6">IF($B8="","",
  IF(MOD($B8,160)=0,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 t="shared" ref="B9:B21" si="7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49" t="s">
        <v>40</v>
      </c>
      <c r="G9" s="49" t="str">
        <f t="shared" ref="G9:G19" si="8">IF(NOT(LEN($I9)=0),G8,"")</f>
        <v>-</v>
      </c>
      <c r="H9" s="49" t="str">
        <f t="shared" ref="H9:H19" si="9">IF(NOT(LEN($I9)=0),H8,"")</f>
        <v>-</v>
      </c>
      <c r="I9" s="49" t="s">
        <v>40</v>
      </c>
      <c r="J9" s="1"/>
      <c r="K9" s="50" t="str">
        <f t="shared" si="3"/>
        <v>VITA</v>
      </c>
      <c r="L9" s="50" t="str">
        <f t="shared" si="4"/>
        <v>MARK II</v>
      </c>
      <c r="M9" s="50">
        <f t="shared" ref="M9:M18" si="10">IF(NOT(LEN($I9)=0),M8,"")</f>
        <v>160</v>
      </c>
      <c r="N9" s="50" t="str">
        <f t="shared" ref="N9:N18" si="11">IF(NOT(LEN($I9)=0),N8,"")</f>
        <v>-</v>
      </c>
      <c r="O9" s="24">
        <f>IF(LEN(A9)&gt;0, 종합!$C$27, "")</f>
        <v>2.2599999999999998</v>
      </c>
      <c r="P9" s="1" t="s">
        <v>16</v>
      </c>
      <c r="Q9" s="92" t="str">
        <f>IFERROR(IF(MOD($B9,5)=0, "누락 ","-" ),"-")</f>
        <v>-</v>
      </c>
      <c r="R9" s="92" t="str">
        <f>IFERROR(IF(MOD($B9,5)=0, "누락 ","-" ),"-")</f>
        <v>-</v>
      </c>
      <c r="S9" s="92" t="str">
        <f>IFERROR(IF(MOD($B9,5)=0, "누락 ","-" ),"-")</f>
        <v>-</v>
      </c>
      <c r="T9" s="92" t="str">
        <f>IFERROR(IF(MOD($B9,5)=0, "누락 ","-" ),"-")</f>
        <v>-</v>
      </c>
      <c r="U9" s="92" t="str">
        <f>IFERROR(IF(MOD($B9,5)=0, "누락 ","-" ),"-")</f>
        <v>-</v>
      </c>
      <c r="V9" s="92" t="str">
        <f>IFERROR(IF(MOD($B9,5)=0, "누락 ","-" ),"-")</f>
        <v>-</v>
      </c>
      <c r="W9" s="92" t="str">
        <f>IFERROR(IF(MOD($B9,5)=0, "누락 ","-" ),"-")</f>
        <v>-</v>
      </c>
      <c r="X9" s="92" t="str">
        <f>IFERROR(IF(MOD($B9,5)=0, "누락 ","-" ),"-")</f>
        <v>-</v>
      </c>
      <c r="Y9" s="92" t="str">
        <f>IFERROR(IF(MOD($B9,5)=0, "누락 ","-" ),"-")</f>
        <v>-</v>
      </c>
      <c r="Z9" s="92" t="str">
        <f>IFERROR(IF(MOD($B9,5)=0, "누락 ","-" ),"-")</f>
        <v>-</v>
      </c>
      <c r="AA9" s="92" t="str">
        <f>IFERROR(IF(MOD($B9,5)=0, "누락 ","-" ),"-")</f>
        <v>-</v>
      </c>
      <c r="AB9" s="92" t="str">
        <f>IFERROR(IF(MOD($B9,5)=0, "누락 ","-" ),"-")</f>
        <v>-</v>
      </c>
      <c r="AC9" s="92" t="str">
        <f>IFERROR(IF(MOD($B9,5)=0, "누락 ","-" ),"-")</f>
        <v>-</v>
      </c>
      <c r="AD9" s="92" t="str">
        <f t="shared" si="2"/>
        <v>-</v>
      </c>
      <c r="AE9" s="92" t="str">
        <f t="shared" si="6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 t="shared" si="7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tr">
        <f t="shared" si="8"/>
        <v>-</v>
      </c>
      <c r="H10" s="49" t="str">
        <f t="shared" si="9"/>
        <v>-</v>
      </c>
      <c r="I10" s="49" t="s">
        <v>40</v>
      </c>
      <c r="J10" s="1"/>
      <c r="K10" s="50" t="str">
        <f t="shared" si="3"/>
        <v>VITA</v>
      </c>
      <c r="L10" s="50" t="str">
        <f t="shared" si="4"/>
        <v>MARK II</v>
      </c>
      <c r="M10" s="50">
        <f t="shared" si="10"/>
        <v>160</v>
      </c>
      <c r="N10" s="50" t="str">
        <f t="shared" si="11"/>
        <v>-</v>
      </c>
      <c r="O10" s="24">
        <f>IF(LEN(A10)&gt;0, 종합!$C$27, "")</f>
        <v>2.2599999999999998</v>
      </c>
      <c r="P10" s="1" t="s">
        <v>16</v>
      </c>
      <c r="Q10" s="92" t="str">
        <f>IFERROR(IF(MOD($B10,5)=0, "누락 ","-" ),"-")</f>
        <v>-</v>
      </c>
      <c r="R10" s="92" t="str">
        <f>IFERROR(IF(MOD($B10,5)=0, "누락 ","-" ),"-")</f>
        <v>-</v>
      </c>
      <c r="S10" s="92" t="str">
        <f>IFERROR(IF(MOD($B10,5)=0, "누락 ","-" ),"-")</f>
        <v>-</v>
      </c>
      <c r="T10" s="92" t="str">
        <f>IFERROR(IF(MOD($B10,5)=0, "누락 ","-" ),"-")</f>
        <v>-</v>
      </c>
      <c r="U10" s="92" t="str">
        <f>IFERROR(IF(MOD($B10,5)=0, "누락 ","-" ),"-")</f>
        <v>-</v>
      </c>
      <c r="V10" s="92" t="str">
        <f>IFERROR(IF(MOD($B10,5)=0, "누락 ","-" ),"-")</f>
        <v>-</v>
      </c>
      <c r="W10" s="92" t="str">
        <f>IFERROR(IF(MOD($B10,5)=0, "누락 ","-" ),"-")</f>
        <v>-</v>
      </c>
      <c r="X10" s="92" t="str">
        <f>IFERROR(IF(MOD($B10,5)=0, "누락 ","-" ),"-")</f>
        <v>-</v>
      </c>
      <c r="Y10" s="92" t="str">
        <f>IFERROR(IF(MOD($B10,5)=0, "누락 ","-" ),"-")</f>
        <v>-</v>
      </c>
      <c r="Z10" s="92" t="str">
        <f>IFERROR(IF(MOD($B10,5)=0, "누락 ","-" ),"-")</f>
        <v>-</v>
      </c>
      <c r="AA10" s="92" t="str">
        <f>IFERROR(IF(MOD($B10,5)=0, "누락 ","-" ),"-")</f>
        <v>-</v>
      </c>
      <c r="AB10" s="92" t="str">
        <f>IFERROR(IF(MOD($B10,5)=0, "누락 ","-" ),"-")</f>
        <v>-</v>
      </c>
      <c r="AC10" s="92" t="str">
        <f>IFERROR(IF(MOD($B10,5)=0, "누락 ","-" ),"-")</f>
        <v>-</v>
      </c>
      <c r="AD10" s="92" t="str">
        <f t="shared" si="2"/>
        <v>-</v>
      </c>
      <c r="AE10" s="92" t="str">
        <f t="shared" si="6"/>
        <v>-</v>
      </c>
      <c r="AF10" s="1" t="s">
        <v>16</v>
      </c>
      <c r="AG10" s="1" t="s">
        <v>16</v>
      </c>
    </row>
    <row r="11" spans="1:42" x14ac:dyDescent="0.45">
      <c r="A11" s="3">
        <v>45971</v>
      </c>
      <c r="B11" s="24">
        <f t="shared" si="7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49" t="s">
        <v>40</v>
      </c>
      <c r="G11" s="49" t="str">
        <f t="shared" si="8"/>
        <v>-</v>
      </c>
      <c r="H11" s="49" t="str">
        <f t="shared" si="9"/>
        <v>-</v>
      </c>
      <c r="I11" s="49" t="s">
        <v>40</v>
      </c>
      <c r="J11" s="1"/>
      <c r="K11" s="50" t="str">
        <f t="shared" si="3"/>
        <v>VITA</v>
      </c>
      <c r="L11" s="50" t="str">
        <f t="shared" si="4"/>
        <v>MARK II</v>
      </c>
      <c r="M11" s="50">
        <f t="shared" si="10"/>
        <v>160</v>
      </c>
      <c r="N11" s="50" t="str">
        <f t="shared" si="11"/>
        <v>-</v>
      </c>
      <c r="O11" s="24">
        <f>IF(LEN(A11)&gt;0, 종합!$C$27, "")</f>
        <v>2.2599999999999998</v>
      </c>
      <c r="P11" s="1" t="s">
        <v>16</v>
      </c>
      <c r="Q11" s="92" t="s">
        <v>122</v>
      </c>
      <c r="R11" s="92" t="s">
        <v>122</v>
      </c>
      <c r="S11" s="92" t="s">
        <v>122</v>
      </c>
      <c r="T11" s="92" t="s">
        <v>122</v>
      </c>
      <c r="U11" s="92" t="s">
        <v>45</v>
      </c>
      <c r="V11" s="92" t="s">
        <v>46</v>
      </c>
      <c r="W11" s="92" t="s">
        <v>47</v>
      </c>
      <c r="X11" s="92" t="s">
        <v>48</v>
      </c>
      <c r="Y11" s="92" t="str">
        <f>IF(MOD($B11,5)=0, "누락","-" )</f>
        <v>누락</v>
      </c>
      <c r="Z11" s="92" t="str">
        <f>IF(MOD($B11,5)=0, "누락","-" )</f>
        <v>누락</v>
      </c>
      <c r="AA11" s="92" t="str">
        <f>IF(MOD($B11,5)=0, "누락","-" )</f>
        <v>누락</v>
      </c>
      <c r="AB11" s="92" t="str">
        <f>IF(MOD($B11,5)=0, "누락","-" )</f>
        <v>누락</v>
      </c>
      <c r="AC11" s="92" t="s">
        <v>122</v>
      </c>
      <c r="AD11" s="92" t="str">
        <f t="shared" si="2"/>
        <v>-</v>
      </c>
      <c r="AE11" s="92" t="str">
        <f t="shared" si="6"/>
        <v>-</v>
      </c>
      <c r="AF11" s="1" t="s">
        <v>16</v>
      </c>
      <c r="AG11" s="1" t="s">
        <v>16</v>
      </c>
    </row>
    <row r="12" spans="1:42" x14ac:dyDescent="0.45">
      <c r="A12" s="3">
        <v>45971</v>
      </c>
      <c r="B12" s="24">
        <f t="shared" si="7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49" t="s">
        <v>40</v>
      </c>
      <c r="G12" s="49" t="str">
        <f t="shared" si="8"/>
        <v>-</v>
      </c>
      <c r="H12" s="49" t="str">
        <f t="shared" si="9"/>
        <v>-</v>
      </c>
      <c r="I12" s="49" t="s">
        <v>40</v>
      </c>
      <c r="J12" s="1"/>
      <c r="K12" s="50" t="str">
        <f t="shared" si="3"/>
        <v>VITA</v>
      </c>
      <c r="L12" s="50" t="str">
        <f t="shared" si="4"/>
        <v>MARK II</v>
      </c>
      <c r="M12" s="50">
        <f t="shared" si="10"/>
        <v>160</v>
      </c>
      <c r="N12" s="50" t="str">
        <f t="shared" si="11"/>
        <v>-</v>
      </c>
      <c r="O12" s="24">
        <f>IF(LEN(A12)&gt;0, 종합!$C$27, "")</f>
        <v>2.2599999999999998</v>
      </c>
      <c r="P12" s="1" t="s">
        <v>16</v>
      </c>
      <c r="Q12" s="92" t="str">
        <f>IFERROR(IF(MOD($B12,5)=0, "누락 ","-" ),"-")</f>
        <v>-</v>
      </c>
      <c r="R12" s="92" t="str">
        <f>IFERROR(IF(MOD($B12,5)=0, "누락 ","-" ),"-")</f>
        <v>-</v>
      </c>
      <c r="S12" s="92" t="str">
        <f>IFERROR(IF(MOD($B12,5)=0, "누락 ","-" ),"-")</f>
        <v>-</v>
      </c>
      <c r="T12" s="92" t="str">
        <f>IFERROR(IF(MOD($B12,5)=0, "누락 ","-" ),"-")</f>
        <v>-</v>
      </c>
      <c r="U12" s="92" t="str">
        <f>IFERROR(IF(MOD($B12,5)=0, "누락 ","-" ),"-")</f>
        <v>-</v>
      </c>
      <c r="V12" s="92" t="str">
        <f>IFERROR(IF(MOD($B12,5)=0, "누락 ","-" ),"-")</f>
        <v>-</v>
      </c>
      <c r="W12" s="92" t="str">
        <f>IFERROR(IF(MOD($B12,5)=0, "누락 ","-" ),"-")</f>
        <v>-</v>
      </c>
      <c r="X12" s="92" t="str">
        <f>IFERROR(IF(MOD($B12,5)=0, "누락 ","-" ),"-")</f>
        <v>-</v>
      </c>
      <c r="Y12" s="92" t="str">
        <f>IFERROR(IF(MOD($B12,5)=0, "누락 ","-" ),"-")</f>
        <v>-</v>
      </c>
      <c r="Z12" s="92" t="str">
        <f>IFERROR(IF(MOD($B12,5)=0, "누락 ","-" ),"-")</f>
        <v>-</v>
      </c>
      <c r="AA12" s="92" t="str">
        <f>IFERROR(IF(MOD($B12,5)=0, "누락 ","-" ),"-")</f>
        <v>-</v>
      </c>
      <c r="AB12" s="92" t="str">
        <f>IFERROR(IF(MOD($B12,5)=0, "누락 ","-" ),"-")</f>
        <v>-</v>
      </c>
      <c r="AC12" s="92" t="str">
        <f>IFERROR(IF(MOD($B12,5)=0, "누락 ","-" ),"-")</f>
        <v>-</v>
      </c>
      <c r="AD12" s="92" t="str">
        <f t="shared" si="2"/>
        <v>-</v>
      </c>
      <c r="AE12" s="92" t="str">
        <f t="shared" si="6"/>
        <v>-</v>
      </c>
      <c r="AF12" s="1" t="s">
        <v>16</v>
      </c>
      <c r="AG12" s="1" t="s">
        <v>16</v>
      </c>
    </row>
    <row r="13" spans="1:42" x14ac:dyDescent="0.45">
      <c r="A13" s="3">
        <v>45972</v>
      </c>
      <c r="B13" s="24">
        <f t="shared" si="7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49">
        <v>0</v>
      </c>
      <c r="G13" s="49" t="str">
        <f t="shared" si="8"/>
        <v>-</v>
      </c>
      <c r="H13" s="49" t="str">
        <f t="shared" si="9"/>
        <v>-</v>
      </c>
      <c r="I13" s="49">
        <v>0</v>
      </c>
      <c r="J13" s="1"/>
      <c r="K13" s="50" t="str">
        <f t="shared" si="3"/>
        <v>VITA</v>
      </c>
      <c r="L13" s="50" t="str">
        <f t="shared" si="4"/>
        <v>MARK II</v>
      </c>
      <c r="M13" s="50">
        <f t="shared" si="10"/>
        <v>160</v>
      </c>
      <c r="N13" s="50" t="str">
        <f t="shared" si="11"/>
        <v>-</v>
      </c>
      <c r="O13" s="24">
        <f>IF(LEN(A13)&gt;0, 종합!$C$27, "")</f>
        <v>2.2599999999999998</v>
      </c>
      <c r="P13" s="1" t="s">
        <v>16</v>
      </c>
      <c r="Q13" s="92" t="str">
        <f>IFERROR(IF(MOD($B13,5)=0, "누락 ","-" ),"-")</f>
        <v>-</v>
      </c>
      <c r="R13" s="92" t="str">
        <f>IFERROR(IF(MOD($B13,5)=0, "누락 ","-" ),"-")</f>
        <v>-</v>
      </c>
      <c r="S13" s="92" t="str">
        <f>IFERROR(IF(MOD($B13,5)=0, "누락 ","-" ),"-")</f>
        <v>-</v>
      </c>
      <c r="T13" s="92" t="str">
        <f>IFERROR(IF(MOD($B13,5)=0, "누락 ","-" ),"-")</f>
        <v>-</v>
      </c>
      <c r="U13" s="92" t="str">
        <f>IFERROR(IF(MOD($B13,5)=0, "누락 ","-" ),"-")</f>
        <v>-</v>
      </c>
      <c r="V13" s="92" t="str">
        <f>IFERROR(IF(MOD($B13,5)=0, "누락 ","-" ),"-")</f>
        <v>-</v>
      </c>
      <c r="W13" s="92" t="str">
        <f>IFERROR(IF(MOD($B13,5)=0, "누락 ","-" ),"-")</f>
        <v>-</v>
      </c>
      <c r="X13" s="92" t="str">
        <f>IFERROR(IF(MOD($B13,5)=0, "누락 ","-" ),"-")</f>
        <v>-</v>
      </c>
      <c r="Y13" s="92" t="str">
        <f>IFERROR(IF(MOD($B13,5)=0, "누락 ","-" ),"-")</f>
        <v>-</v>
      </c>
      <c r="Z13" s="92" t="str">
        <f>IFERROR(IF(MOD($B13,5)=0, "누락 ","-" ),"-")</f>
        <v>-</v>
      </c>
      <c r="AA13" s="92" t="str">
        <f>IFERROR(IF(MOD($B13,5)=0, "누락 ","-" ),"-")</f>
        <v>-</v>
      </c>
      <c r="AB13" s="92" t="str">
        <f>IFERROR(IF(MOD($B13,5)=0, "누락 ","-" ),"-")</f>
        <v>-</v>
      </c>
      <c r="AC13" s="92" t="str">
        <f>IFERROR(IF(MOD($B13,5)=0, "누락 ","-" ),"-")</f>
        <v>-</v>
      </c>
      <c r="AD13" s="92" t="str">
        <f t="shared" si="2"/>
        <v>-</v>
      </c>
      <c r="AE13" s="92" t="str">
        <f t="shared" si="6"/>
        <v>-</v>
      </c>
      <c r="AF13" s="1" t="s">
        <v>16</v>
      </c>
      <c r="AG13" s="1" t="s">
        <v>16</v>
      </c>
    </row>
    <row r="14" spans="1:42" x14ac:dyDescent="0.45">
      <c r="A14" s="3">
        <v>45972</v>
      </c>
      <c r="B14" s="24">
        <f t="shared" si="7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49">
        <f>IF(NOT(LEN($A14)=0),IF(F13+1&gt;15,"버교체요망",F13+1),"")</f>
        <v>1</v>
      </c>
      <c r="G14" s="49" t="str">
        <f t="shared" si="8"/>
        <v>-</v>
      </c>
      <c r="H14" s="49" t="str">
        <f t="shared" si="9"/>
        <v>-</v>
      </c>
      <c r="I14" s="49">
        <f>IF(NOT(LEN($A14)=0),IF(I13+1&gt;15,"버교체요망",I13+1),"")</f>
        <v>1</v>
      </c>
      <c r="J14" s="1"/>
      <c r="K14" s="50" t="str">
        <f t="shared" si="3"/>
        <v>VITA</v>
      </c>
      <c r="L14" s="50" t="str">
        <f t="shared" si="4"/>
        <v>MARK II</v>
      </c>
      <c r="M14" s="50">
        <f t="shared" si="10"/>
        <v>160</v>
      </c>
      <c r="N14" s="50" t="str">
        <f t="shared" si="11"/>
        <v>-</v>
      </c>
      <c r="O14" s="24">
        <f>IF(LEN(A14)&gt;0, 종합!$C$27, "")</f>
        <v>2.2599999999999998</v>
      </c>
      <c r="P14" s="1" t="s">
        <v>16</v>
      </c>
      <c r="Q14" s="92" t="str">
        <f>IFERROR(IF(MOD($B14,5)=0, "누락 ","-" ),"-")</f>
        <v>-</v>
      </c>
      <c r="R14" s="92" t="str">
        <f>IFERROR(IF(MOD($B14,5)=0, "누락 ","-" ),"-")</f>
        <v>-</v>
      </c>
      <c r="S14" s="92" t="str">
        <f>IFERROR(IF(MOD($B14,5)=0, "누락 ","-" ),"-")</f>
        <v>-</v>
      </c>
      <c r="T14" s="92" t="str">
        <f>IFERROR(IF(MOD($B14,5)=0, "누락 ","-" ),"-")</f>
        <v>-</v>
      </c>
      <c r="U14" s="92" t="str">
        <f>IFERROR(IF(MOD($B14,5)=0, "누락 ","-" ),"-")</f>
        <v>-</v>
      </c>
      <c r="V14" s="92" t="str">
        <f>IFERROR(IF(MOD($B14,5)=0, "누락 ","-" ),"-")</f>
        <v>-</v>
      </c>
      <c r="W14" s="92" t="str">
        <f>IFERROR(IF(MOD($B14,5)=0, "누락 ","-" ),"-")</f>
        <v>-</v>
      </c>
      <c r="X14" s="92" t="str">
        <f>IFERROR(IF(MOD($B14,5)=0, "누락 ","-" ),"-")</f>
        <v>-</v>
      </c>
      <c r="Y14" s="92" t="str">
        <f>IFERROR(IF(MOD($B14,5)=0, "누락 ","-" ),"-")</f>
        <v>-</v>
      </c>
      <c r="Z14" s="92" t="str">
        <f>IFERROR(IF(MOD($B14,5)=0, "누락 ","-" ),"-")</f>
        <v>-</v>
      </c>
      <c r="AA14" s="92" t="str">
        <f>IFERROR(IF(MOD($B14,5)=0, "누락 ","-" ),"-")</f>
        <v>-</v>
      </c>
      <c r="AB14" s="92" t="str">
        <f>IFERROR(IF(MOD($B14,5)=0, "누락 ","-" ),"-")</f>
        <v>-</v>
      </c>
      <c r="AC14" s="92" t="str">
        <f>IFERROR(IF(MOD($B14,5)=0, "누락 ","-" ),"-")</f>
        <v>-</v>
      </c>
      <c r="AD14" s="92" t="str">
        <f t="shared" si="2"/>
        <v>-</v>
      </c>
      <c r="AE14" s="92" t="str">
        <f t="shared" si="6"/>
        <v>-</v>
      </c>
      <c r="AF14" s="1" t="s">
        <v>16</v>
      </c>
      <c r="AG14" s="1" t="s">
        <v>16</v>
      </c>
    </row>
    <row r="15" spans="1:42" x14ac:dyDescent="0.45">
      <c r="A15" s="3">
        <v>45972</v>
      </c>
      <c r="B15" s="24">
        <f t="shared" si="7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49">
        <f t="shared" ref="F15:F21" si="12">IF(NOT(LEN($A15)=0),IF(F14+1&gt;15,"버교체요망",F14+1),"")</f>
        <v>2</v>
      </c>
      <c r="G15" s="49" t="str">
        <f t="shared" si="8"/>
        <v>-</v>
      </c>
      <c r="H15" s="49" t="str">
        <f t="shared" si="9"/>
        <v>-</v>
      </c>
      <c r="I15" s="49">
        <f t="shared" ref="I15:I21" si="13">IF(NOT(LEN($A15)=0),IF(I14+1&gt;15,"버교체요망",I14+1),"")</f>
        <v>2</v>
      </c>
      <c r="J15" s="1"/>
      <c r="K15" s="50" t="str">
        <f t="shared" si="3"/>
        <v>VITA</v>
      </c>
      <c r="L15" s="50" t="str">
        <f t="shared" si="4"/>
        <v>MARK II</v>
      </c>
      <c r="M15" s="50">
        <f t="shared" si="10"/>
        <v>160</v>
      </c>
      <c r="N15" s="50" t="str">
        <f t="shared" si="11"/>
        <v>-</v>
      </c>
      <c r="O15" s="24">
        <f>IF(LEN(A15)&gt;0, 종합!$C$27, "")</f>
        <v>2.2599999999999998</v>
      </c>
      <c r="P15" s="1" t="s">
        <v>16</v>
      </c>
      <c r="Q15" s="92" t="str">
        <f>IFERROR(IF(MOD($B15,5)=0, "누락 ","-" ),"-")</f>
        <v>-</v>
      </c>
      <c r="R15" s="92" t="str">
        <f>IFERROR(IF(MOD($B15,5)=0, "누락 ","-" ),"-")</f>
        <v>-</v>
      </c>
      <c r="S15" s="92" t="str">
        <f>IFERROR(IF(MOD($B15,5)=0, "누락 ","-" ),"-")</f>
        <v>-</v>
      </c>
      <c r="T15" s="92" t="str">
        <f>IFERROR(IF(MOD($B15,5)=0, "누락 ","-" ),"-")</f>
        <v>-</v>
      </c>
      <c r="U15" s="92" t="str">
        <f>IFERROR(IF(MOD($B15,5)=0, "누락 ","-" ),"-")</f>
        <v>-</v>
      </c>
      <c r="V15" s="92" t="str">
        <f>IFERROR(IF(MOD($B15,5)=0, "누락 ","-" ),"-")</f>
        <v>-</v>
      </c>
      <c r="W15" s="92" t="str">
        <f>IFERROR(IF(MOD($B15,5)=0, "누락 ","-" ),"-")</f>
        <v>-</v>
      </c>
      <c r="X15" s="92" t="str">
        <f>IFERROR(IF(MOD($B15,5)=0, "누락 ","-" ),"-")</f>
        <v>-</v>
      </c>
      <c r="Y15" s="92" t="str">
        <f>IFERROR(IF(MOD($B15,5)=0, "누락 ","-" ),"-")</f>
        <v>-</v>
      </c>
      <c r="Z15" s="92" t="str">
        <f>IFERROR(IF(MOD($B15,5)=0, "누락 ","-" ),"-")</f>
        <v>-</v>
      </c>
      <c r="AA15" s="92" t="str">
        <f>IFERROR(IF(MOD($B15,5)=0, "누락 ","-" ),"-")</f>
        <v>-</v>
      </c>
      <c r="AB15" s="92" t="str">
        <f>IFERROR(IF(MOD($B15,5)=0, "누락 ","-" ),"-")</f>
        <v>-</v>
      </c>
      <c r="AC15" s="92" t="str">
        <f>IFERROR(IF(MOD($B15,5)=0, "누락 ","-" ),"-")</f>
        <v>-</v>
      </c>
      <c r="AD15" s="92" t="str">
        <f t="shared" si="2"/>
        <v>-</v>
      </c>
      <c r="AE15" s="92" t="str">
        <f t="shared" si="6"/>
        <v>-</v>
      </c>
      <c r="AF15" s="1" t="s">
        <v>16</v>
      </c>
      <c r="AG15" s="1" t="s">
        <v>16</v>
      </c>
    </row>
    <row r="16" spans="1:42" x14ac:dyDescent="0.45">
      <c r="A16" s="3">
        <v>45972</v>
      </c>
      <c r="B16" s="24">
        <f t="shared" si="7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49">
        <f t="shared" si="12"/>
        <v>3</v>
      </c>
      <c r="G16" s="49" t="str">
        <f t="shared" si="8"/>
        <v>-</v>
      </c>
      <c r="H16" s="49" t="str">
        <f t="shared" si="9"/>
        <v>-</v>
      </c>
      <c r="I16" s="49">
        <f t="shared" si="13"/>
        <v>3</v>
      </c>
      <c r="J16" s="1"/>
      <c r="K16" s="50" t="str">
        <f t="shared" si="3"/>
        <v>VITA</v>
      </c>
      <c r="L16" s="50" t="str">
        <f t="shared" si="4"/>
        <v>MARK II</v>
      </c>
      <c r="M16" s="50">
        <f t="shared" si="10"/>
        <v>160</v>
      </c>
      <c r="N16" s="50" t="str">
        <f t="shared" si="11"/>
        <v>-</v>
      </c>
      <c r="O16" s="24">
        <f>IF(LEN(A16)&gt;0, 종합!$C$27, "")</f>
        <v>2.2599999999999998</v>
      </c>
      <c r="P16" s="1" t="s">
        <v>16</v>
      </c>
      <c r="Q16" s="92" t="s">
        <v>122</v>
      </c>
      <c r="R16" s="92" t="s">
        <v>122</v>
      </c>
      <c r="S16" s="92" t="s">
        <v>122</v>
      </c>
      <c r="T16" s="92" t="s">
        <v>122</v>
      </c>
      <c r="U16" s="92" t="str">
        <f>IFERROR(IF(MOD($B16,5)=0, "누락 ","-" ),"-")</f>
        <v xml:space="preserve">누락 </v>
      </c>
      <c r="V16" s="92" t="str">
        <f>IFERROR(IF(MOD($B16,5)=0, "누락 ","-" ),"-")</f>
        <v xml:space="preserve">누락 </v>
      </c>
      <c r="W16" s="92" t="str">
        <f>IFERROR(IF(MOD($B16,5)=0, "누락 ","-" ),"-")</f>
        <v xml:space="preserve">누락 </v>
      </c>
      <c r="X16" s="92" t="str">
        <f>IFERROR(IF(MOD($B16,5)=0, "누락 ","-" ),"-")</f>
        <v xml:space="preserve">누락 </v>
      </c>
      <c r="Y16" s="92" t="str">
        <f>IFERROR(IF(MOD($B16,5)=0, "누락 ","-" ),"-")</f>
        <v xml:space="preserve">누락 </v>
      </c>
      <c r="Z16" s="92" t="str">
        <f>IFERROR(IF(MOD($B16,5)=0, "누락 ","-" ),"-")</f>
        <v xml:space="preserve">누락 </v>
      </c>
      <c r="AA16" s="92" t="str">
        <f>IFERROR(IF(MOD($B16,5)=0, "누락 ","-" ),"-")</f>
        <v xml:space="preserve">누락 </v>
      </c>
      <c r="AB16" s="92" t="str">
        <f>IFERROR(IF(MOD($B16,5)=0, "누락 ","-" ),"-")</f>
        <v xml:space="preserve">누락 </v>
      </c>
      <c r="AC16" s="92" t="str">
        <f>IFERROR(IF(MOD($B16,5)=0, "누락 ","-" ),"-")</f>
        <v xml:space="preserve">누락 </v>
      </c>
      <c r="AD16" s="92" t="str">
        <f t="shared" si="2"/>
        <v>-</v>
      </c>
      <c r="AE16" s="92" t="str">
        <f t="shared" si="6"/>
        <v>-</v>
      </c>
      <c r="AF16" s="1" t="s">
        <v>16</v>
      </c>
      <c r="AG16" s="1" t="s">
        <v>16</v>
      </c>
    </row>
    <row r="17" spans="1:33" x14ac:dyDescent="0.45">
      <c r="A17" s="3">
        <v>45973</v>
      </c>
      <c r="B17" s="24">
        <f t="shared" si="7"/>
        <v>11</v>
      </c>
      <c r="C17" s="7" t="str">
        <f t="shared" si="0"/>
        <v>Dimensions: L W H</v>
      </c>
      <c r="D17" s="6" t="str">
        <f t="shared" si="1"/>
        <v>완료</v>
      </c>
      <c r="E17" s="24">
        <v>21</v>
      </c>
      <c r="F17" s="49">
        <f t="shared" si="12"/>
        <v>4</v>
      </c>
      <c r="G17" s="49" t="str">
        <f t="shared" si="8"/>
        <v>-</v>
      </c>
      <c r="H17" s="49" t="str">
        <f t="shared" si="9"/>
        <v>-</v>
      </c>
      <c r="I17" s="49">
        <f t="shared" si="13"/>
        <v>4</v>
      </c>
      <c r="J17" s="1"/>
      <c r="K17" s="50" t="str">
        <f t="shared" si="3"/>
        <v>VITA</v>
      </c>
      <c r="L17" s="50" t="str">
        <f t="shared" si="4"/>
        <v>MARK II</v>
      </c>
      <c r="M17" s="50">
        <f t="shared" si="10"/>
        <v>160</v>
      </c>
      <c r="N17" s="50" t="str">
        <f t="shared" si="11"/>
        <v>-</v>
      </c>
      <c r="O17" s="24">
        <f>IF(LEN(A17)&gt;0, 종합!$C$27, "")</f>
        <v>2.2599999999999998</v>
      </c>
      <c r="P17" s="1" t="s">
        <v>16</v>
      </c>
      <c r="Q17" s="92" t="str">
        <f>IFERROR(IF(MOD($B17,5)=0, "누락 ","-" ),"-")</f>
        <v>-</v>
      </c>
      <c r="R17" s="92" t="str">
        <f>IFERROR(IF(MOD($B17,5)=0, "누락 ","-" ),"-")</f>
        <v>-</v>
      </c>
      <c r="S17" s="92" t="str">
        <f>IFERROR(IF(MOD($B17,5)=0, "누락 ","-" ),"-")</f>
        <v>-</v>
      </c>
      <c r="T17" s="92" t="str">
        <f>IFERROR(IF(MOD($B17,5)=0, "누락 ","-" ),"-")</f>
        <v>-</v>
      </c>
      <c r="U17" s="92" t="str">
        <f>IFERROR(IF(MOD($B17,5)=0, "누락 ","-" ),"-")</f>
        <v>-</v>
      </c>
      <c r="V17" s="92" t="str">
        <f>IFERROR(IF(MOD($B17,5)=0, "누락 ","-" ),"-")</f>
        <v>-</v>
      </c>
      <c r="W17" s="92" t="str">
        <f>IFERROR(IF(MOD($B17,5)=0, "누락 ","-" ),"-")</f>
        <v>-</v>
      </c>
      <c r="X17" s="92" t="str">
        <f>IFERROR(IF(MOD($B17,5)=0, "누락 ","-" ),"-")</f>
        <v>-</v>
      </c>
      <c r="Y17" s="92" t="str">
        <f>IFERROR(IF(MOD($B17,5)=0, "누락 ","-" ),"-")</f>
        <v>-</v>
      </c>
      <c r="Z17" s="92" t="str">
        <f>IFERROR(IF(MOD($B17,5)=0, "누락 ","-" ),"-")</f>
        <v>-</v>
      </c>
      <c r="AA17" s="92" t="str">
        <f>IFERROR(IF(MOD($B17,5)=0, "누락 ","-" ),"-")</f>
        <v>-</v>
      </c>
      <c r="AB17" s="92" t="str">
        <f>IFERROR(IF(MOD($B17,5)=0, "누락 ","-" ),"-")</f>
        <v>-</v>
      </c>
      <c r="AC17" s="92" t="str">
        <f>IFERROR(IF(MOD($B17,5)=0, "누락 ","-" ),"-")</f>
        <v>-</v>
      </c>
      <c r="AD17" s="92" t="str">
        <f t="shared" si="2"/>
        <v>-</v>
      </c>
      <c r="AE17" s="92" t="str">
        <f t="shared" si="6"/>
        <v>-</v>
      </c>
      <c r="AF17" s="1" t="s">
        <v>16</v>
      </c>
      <c r="AG17" s="1" t="s">
        <v>16</v>
      </c>
    </row>
    <row r="18" spans="1:33" x14ac:dyDescent="0.45">
      <c r="A18" s="3">
        <v>45973</v>
      </c>
      <c r="B18" s="24">
        <f t="shared" si="7"/>
        <v>12</v>
      </c>
      <c r="C18" s="7" t="str">
        <f t="shared" si="0"/>
        <v>Dimensions: L W H</v>
      </c>
      <c r="D18" s="6" t="str">
        <f t="shared" si="1"/>
        <v>완료</v>
      </c>
      <c r="E18" s="24">
        <v>23</v>
      </c>
      <c r="F18" s="49">
        <f t="shared" si="12"/>
        <v>5</v>
      </c>
      <c r="G18" s="49" t="str">
        <f t="shared" si="8"/>
        <v>-</v>
      </c>
      <c r="H18" s="49" t="str">
        <f t="shared" si="9"/>
        <v>-</v>
      </c>
      <c r="I18" s="49">
        <f t="shared" si="13"/>
        <v>5</v>
      </c>
      <c r="J18" s="1"/>
      <c r="K18" s="50" t="str">
        <f>IF(NOT(LEN($I18)=0),K17,"")</f>
        <v>VITA</v>
      </c>
      <c r="L18" s="50" t="str">
        <f>IF(NOT(LEN($I18)=0),L17,"")</f>
        <v>MARK II</v>
      </c>
      <c r="M18" s="50">
        <f t="shared" si="10"/>
        <v>160</v>
      </c>
      <c r="N18" s="50" t="str">
        <f t="shared" si="11"/>
        <v>-</v>
      </c>
      <c r="O18" s="24">
        <f>IF(LEN(A18)&gt;0, 종합!$C$27, "")</f>
        <v>2.2599999999999998</v>
      </c>
      <c r="P18" s="1"/>
      <c r="Q18" s="92" t="str">
        <f>IF(MOD($B18,5)=0, "누락 ","-" )</f>
        <v>-</v>
      </c>
      <c r="R18" s="92" t="str">
        <f>IF(MOD($B18,5)=0, "누락 ","-" )</f>
        <v>-</v>
      </c>
      <c r="S18" s="92" t="str">
        <f>IF(MOD($B18,5)=0, "누락 ","-" )</f>
        <v>-</v>
      </c>
      <c r="T18" s="92" t="str">
        <f>IF(MOD($B18,5)=0, "누락 ","-" )</f>
        <v>-</v>
      </c>
      <c r="U18" s="92" t="str">
        <f>IF(MOD($B18,5)=0, "누락","-" )</f>
        <v>-</v>
      </c>
      <c r="V18" s="92" t="str">
        <f>IF(MOD($B18,5)=0, "누락","-" )</f>
        <v>-</v>
      </c>
      <c r="W18" s="92" t="str">
        <f>IF(MOD($B18,5)=0, "누락","-" )</f>
        <v>-</v>
      </c>
      <c r="X18" s="92" t="str">
        <f>IF(MOD($B18,5)=0, "누락","-" )</f>
        <v>-</v>
      </c>
      <c r="Y18" s="92" t="str">
        <f>IF(MOD($B18,5)=0, "누락","-" )</f>
        <v>-</v>
      </c>
      <c r="Z18" s="92" t="str">
        <f>IF(MOD($B18,5)=0, "누락","-" )</f>
        <v>-</v>
      </c>
      <c r="AA18" s="92" t="str">
        <f>IF(MOD($B18,5)=0, "누락","-" )</f>
        <v>-</v>
      </c>
      <c r="AB18" s="92" t="str">
        <f>IF(MOD($B18,5)=0, "누락","-" )</f>
        <v>-</v>
      </c>
      <c r="AC18" s="92" t="str">
        <f>IF(MOD($B18,5)=0, "누락","-" )</f>
        <v>-</v>
      </c>
      <c r="AD18" s="92" t="str">
        <f t="shared" si="2"/>
        <v>-</v>
      </c>
      <c r="AE18" s="92" t="str">
        <f t="shared" si="6"/>
        <v>-</v>
      </c>
      <c r="AF18" s="1" t="s">
        <v>16</v>
      </c>
      <c r="AG18" s="1" t="s">
        <v>16</v>
      </c>
    </row>
    <row r="19" spans="1:33" x14ac:dyDescent="0.45">
      <c r="A19" s="3">
        <v>45973</v>
      </c>
      <c r="B19" s="24">
        <f t="shared" si="7"/>
        <v>13</v>
      </c>
      <c r="C19" s="7" t="str">
        <f t="shared" si="0"/>
        <v>Dimensions: L W H</v>
      </c>
      <c r="D19" s="6" t="str">
        <f t="shared" si="1"/>
        <v>완료</v>
      </c>
      <c r="E19" s="49">
        <v>21</v>
      </c>
      <c r="F19" s="49">
        <f t="shared" si="12"/>
        <v>6</v>
      </c>
      <c r="G19" s="49" t="str">
        <f t="shared" si="8"/>
        <v>-</v>
      </c>
      <c r="H19" s="49" t="str">
        <f t="shared" si="9"/>
        <v>-</v>
      </c>
      <c r="I19" s="49">
        <f t="shared" si="13"/>
        <v>6</v>
      </c>
      <c r="J19" s="1"/>
      <c r="K19" s="50" t="str">
        <f t="shared" ref="K19:K21" si="14">IF(NOT(LEN($I19)=0),K18,"")</f>
        <v>VITA</v>
      </c>
      <c r="L19" s="50" t="str">
        <f t="shared" ref="L19:L21" si="15">IF(NOT(LEN($I19)=0),L18,"")</f>
        <v>MARK II</v>
      </c>
      <c r="M19" s="50">
        <f t="shared" ref="M19:M21" si="16">IF(NOT(LEN($I19)=0),M18,"")</f>
        <v>160</v>
      </c>
      <c r="N19" s="50" t="str">
        <f t="shared" ref="N19:N21" si="17">IF(NOT(LEN($I19)=0),N18,"")</f>
        <v>-</v>
      </c>
      <c r="O19" s="24">
        <f>IF(LEN(A19)&gt;0, 종합!$C$27, "")</f>
        <v>2.2599999999999998</v>
      </c>
      <c r="P19" s="1"/>
      <c r="Q19" s="92" t="str">
        <f>IF(MOD($B19,5)=0, "누락 ","-" )</f>
        <v>-</v>
      </c>
      <c r="R19" s="92" t="str">
        <f>IF(MOD($B19,5)=0, "누락 ","-" )</f>
        <v>-</v>
      </c>
      <c r="S19" s="92" t="str">
        <f>IF(MOD($B19,5)=0, "누락 ","-" )</f>
        <v>-</v>
      </c>
      <c r="T19" s="92" t="str">
        <f>IF(MOD($B19,5)=0, "누락 ","-" )</f>
        <v>-</v>
      </c>
      <c r="U19" s="92" t="str">
        <f>IF(MOD($B19,5)=0, "누락","-" )</f>
        <v>-</v>
      </c>
      <c r="V19" s="92" t="str">
        <f>IF(MOD($B19,5)=0, "누락","-" )</f>
        <v>-</v>
      </c>
      <c r="W19" s="92" t="str">
        <f>IF(MOD($B19,5)=0, "누락","-" )</f>
        <v>-</v>
      </c>
      <c r="X19" s="92" t="str">
        <f>IF(MOD($B19,5)=0, "누락","-" )</f>
        <v>-</v>
      </c>
      <c r="Y19" s="92" t="str">
        <f>IF(MOD($B19,5)=0, "누락","-" )</f>
        <v>-</v>
      </c>
      <c r="Z19" s="92" t="str">
        <f>IF(MOD($B19,5)=0, "누락","-" )</f>
        <v>-</v>
      </c>
      <c r="AA19" s="92" t="str">
        <f>IF(MOD($B19,5)=0, "누락","-" )</f>
        <v>-</v>
      </c>
      <c r="AB19" s="92" t="str">
        <f>IF(MOD($B19,5)=0, "누락","-" )</f>
        <v>-</v>
      </c>
      <c r="AC19" s="92" t="str">
        <f>IF(MOD($B19,5)=0, "누락","-" )</f>
        <v>-</v>
      </c>
      <c r="AD19" s="92" t="str">
        <f t="shared" si="2"/>
        <v>-</v>
      </c>
      <c r="AE19" s="92" t="str">
        <f t="shared" si="6"/>
        <v>-</v>
      </c>
      <c r="AF19" s="1" t="s">
        <v>16</v>
      </c>
      <c r="AG19" s="1" t="s">
        <v>16</v>
      </c>
    </row>
    <row r="20" spans="1:33" x14ac:dyDescent="0.45">
      <c r="A20" s="3">
        <v>45973</v>
      </c>
      <c r="B20" s="24">
        <f t="shared" si="7"/>
        <v>14</v>
      </c>
      <c r="C20" s="7" t="str">
        <f t="shared" si="0"/>
        <v>Dimensions: L W H</v>
      </c>
      <c r="D20" s="6" t="str">
        <f t="shared" si="1"/>
        <v>완료</v>
      </c>
      <c r="E20" s="49">
        <v>21</v>
      </c>
      <c r="F20" s="49">
        <f t="shared" si="12"/>
        <v>7</v>
      </c>
      <c r="G20" s="49" t="str">
        <f t="shared" ref="G20" si="18">IF(NOT(LEN($I20)=0),G19,"")</f>
        <v>-</v>
      </c>
      <c r="H20" s="49" t="str">
        <f t="shared" ref="H20" si="19">IF(NOT(LEN($I20)=0),H19,"")</f>
        <v>-</v>
      </c>
      <c r="I20" s="49">
        <f t="shared" si="13"/>
        <v>7</v>
      </c>
      <c r="J20" s="1"/>
      <c r="K20" s="50" t="str">
        <f t="shared" si="14"/>
        <v>VITA</v>
      </c>
      <c r="L20" s="50" t="str">
        <f t="shared" si="15"/>
        <v>MARK II</v>
      </c>
      <c r="M20" s="50">
        <f t="shared" si="16"/>
        <v>160</v>
      </c>
      <c r="N20" s="50" t="str">
        <f t="shared" si="17"/>
        <v>-</v>
      </c>
      <c r="O20" s="24">
        <f>IF(LEN(A20)&gt;0, 종합!$C$27, "")</f>
        <v>2.2599999999999998</v>
      </c>
      <c r="P20" s="1"/>
      <c r="Q20" s="92" t="str">
        <f>IF(MOD($B20,5)=0, "누락 ","-" )</f>
        <v>-</v>
      </c>
      <c r="R20" s="92" t="str">
        <f>IF(MOD($B20,5)=0, "누락 ","-" )</f>
        <v>-</v>
      </c>
      <c r="S20" s="92" t="str">
        <f>IF(MOD($B20,5)=0, "누락 ","-" )</f>
        <v>-</v>
      </c>
      <c r="T20" s="92" t="str">
        <f>IF(MOD($B20,5)=0, "누락 ","-" )</f>
        <v>-</v>
      </c>
      <c r="U20" s="92" t="str">
        <f>IF(MOD($B20,5)=0, "누락","-" )</f>
        <v>-</v>
      </c>
      <c r="V20" s="92" t="str">
        <f>IF(MOD($B20,5)=0, "누락","-" )</f>
        <v>-</v>
      </c>
      <c r="W20" s="92" t="str">
        <f>IF(MOD($B20,5)=0, "누락","-" )</f>
        <v>-</v>
      </c>
      <c r="X20" s="92" t="str">
        <f>IF(MOD($B20,5)=0, "누락","-" )</f>
        <v>-</v>
      </c>
      <c r="Y20" s="92" t="str">
        <f>IF(MOD($B20,5)=0, "누락","-" )</f>
        <v>-</v>
      </c>
      <c r="Z20" s="92" t="str">
        <f>IF(MOD($B20,5)=0, "누락","-" )</f>
        <v>-</v>
      </c>
      <c r="AA20" s="92" t="str">
        <f>IF(MOD($B20,5)=0, "누락","-" )</f>
        <v>-</v>
      </c>
      <c r="AB20" s="92" t="str">
        <f>IF(MOD($B20,5)=0, "누락","-" )</f>
        <v>-</v>
      </c>
      <c r="AC20" s="92" t="str">
        <f>IF(MOD($B20,5)=0, "누락","-" )</f>
        <v>-</v>
      </c>
      <c r="AD20" s="92" t="str">
        <f t="shared" si="2"/>
        <v>-</v>
      </c>
      <c r="AE20" s="92" t="str">
        <f t="shared" si="6"/>
        <v>-</v>
      </c>
      <c r="AF20" s="1" t="s">
        <v>16</v>
      </c>
      <c r="AG20" s="1" t="s">
        <v>16</v>
      </c>
    </row>
    <row r="21" spans="1:33" x14ac:dyDescent="0.45">
      <c r="A21" s="3">
        <v>45973</v>
      </c>
      <c r="B21" s="24">
        <f t="shared" si="7"/>
        <v>15</v>
      </c>
      <c r="C21" s="7" t="str">
        <f t="shared" si="0"/>
        <v>Dimensions: L W H</v>
      </c>
      <c r="D21" s="6" t="s">
        <v>132</v>
      </c>
      <c r="E21" s="49">
        <v>23</v>
      </c>
      <c r="F21" s="49">
        <f t="shared" si="12"/>
        <v>8</v>
      </c>
      <c r="G21" s="53"/>
      <c r="H21" s="53"/>
      <c r="I21" s="49">
        <f t="shared" si="13"/>
        <v>8</v>
      </c>
      <c r="K21" s="50" t="str">
        <f t="shared" si="14"/>
        <v>VITA</v>
      </c>
      <c r="L21" s="50" t="str">
        <f t="shared" si="15"/>
        <v>MARK II</v>
      </c>
      <c r="M21" s="50">
        <f t="shared" si="16"/>
        <v>160</v>
      </c>
      <c r="N21" s="50" t="str">
        <f t="shared" si="17"/>
        <v>-</v>
      </c>
      <c r="O21" s="24">
        <f>IF(LEN(A21)&gt;0, 종합!$C$27, "")</f>
        <v>2.2599999999999998</v>
      </c>
      <c r="Q21" s="92" t="s">
        <v>122</v>
      </c>
      <c r="R21" s="92" t="s">
        <v>122</v>
      </c>
      <c r="S21" s="92" t="s">
        <v>122</v>
      </c>
      <c r="T21" s="92" t="s">
        <v>122</v>
      </c>
      <c r="U21" s="92" t="str">
        <f>IF(MOD($B21,5)=0, "누락","-" )</f>
        <v>누락</v>
      </c>
      <c r="V21" s="92" t="str">
        <f>IF(MOD($B21,5)=0, "누락","-" )</f>
        <v>누락</v>
      </c>
      <c r="W21" s="92" t="str">
        <f>IF(MOD($B21,5)=0, "누락","-" )</f>
        <v>누락</v>
      </c>
      <c r="X21" s="92" t="str">
        <f>IF(MOD($B21,5)=0, "누락","-" )</f>
        <v>누락</v>
      </c>
      <c r="Y21" s="92" t="str">
        <f>IF(MOD($B21,5)=0, "누락","-" )</f>
        <v>누락</v>
      </c>
      <c r="Z21" s="92" t="str">
        <f>IF(MOD($B21,5)=0, "누락","-" )</f>
        <v>누락</v>
      </c>
      <c r="AA21" s="92" t="str">
        <f>IF(MOD($B21,5)=0, "누락","-" )</f>
        <v>누락</v>
      </c>
      <c r="AB21" s="92" t="str">
        <f>IF(MOD($B21,5)=0, "누락","-" )</f>
        <v>누락</v>
      </c>
      <c r="AC21" s="92" t="str">
        <f>IF(MOD($B21,5)=0, "누락","-" )</f>
        <v>누락</v>
      </c>
      <c r="AD21" s="92" t="str">
        <f t="shared" si="2"/>
        <v>-</v>
      </c>
      <c r="AE21" s="92" t="str">
        <f t="shared" si="6"/>
        <v>-</v>
      </c>
      <c r="AF21" s="7" t="str">
        <f t="shared" si="6"/>
        <v>-</v>
      </c>
      <c r="AG21" s="7" t="str">
        <f t="shared" si="6"/>
        <v>-</v>
      </c>
    </row>
    <row r="22" spans="1:33" x14ac:dyDescent="0.45">
      <c r="A22" s="23"/>
      <c r="B22" s="24"/>
      <c r="C22" s="7"/>
      <c r="D22" s="6"/>
      <c r="E22" s="24" t="str">
        <f>IF($B22="","", "누락")</f>
        <v/>
      </c>
      <c r="F22" s="49"/>
      <c r="G22" s="53"/>
      <c r="H22" s="53"/>
      <c r="I22" s="49"/>
      <c r="K22" s="50"/>
      <c r="L22" s="50"/>
      <c r="M22" s="50"/>
      <c r="N22" s="50"/>
      <c r="O22" s="24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7"/>
      <c r="AG22" s="7"/>
    </row>
    <row r="23" spans="1:33" x14ac:dyDescent="0.45">
      <c r="A23" s="23"/>
      <c r="B23" s="24"/>
      <c r="C23" s="7"/>
      <c r="D23" s="6"/>
      <c r="E23" s="24" t="str">
        <f t="shared" ref="E23:E28" si="20">IF($B23="","", "누락")</f>
        <v/>
      </c>
      <c r="F23" s="49"/>
      <c r="G23" s="53"/>
      <c r="H23" s="53"/>
      <c r="I23" s="49"/>
      <c r="K23" s="50"/>
      <c r="L23" s="50"/>
      <c r="M23" s="50"/>
      <c r="N23" s="50"/>
      <c r="O23" s="24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7"/>
      <c r="AG23" s="7"/>
    </row>
    <row r="24" spans="1:33" x14ac:dyDescent="0.45">
      <c r="A24" s="23"/>
      <c r="B24" s="24"/>
      <c r="C24" s="7"/>
      <c r="D24" s="6"/>
      <c r="E24" s="24" t="str">
        <f t="shared" si="20"/>
        <v/>
      </c>
      <c r="F24" s="49"/>
      <c r="G24" s="53"/>
      <c r="H24" s="53"/>
      <c r="I24" s="49"/>
      <c r="K24" s="50"/>
      <c r="L24" s="50"/>
      <c r="M24" s="50"/>
      <c r="N24" s="50"/>
      <c r="O24" s="24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7"/>
      <c r="AG24" s="7"/>
    </row>
    <row r="25" spans="1:33" x14ac:dyDescent="0.45">
      <c r="A25" s="23"/>
      <c r="B25" s="24"/>
      <c r="C25" s="7"/>
      <c r="D25" s="6"/>
      <c r="E25" s="24" t="str">
        <f t="shared" si="20"/>
        <v/>
      </c>
      <c r="F25" s="49"/>
      <c r="G25" s="53"/>
      <c r="H25" s="53"/>
      <c r="I25" s="49"/>
      <c r="K25" s="50"/>
      <c r="L25" s="50"/>
      <c r="M25" s="50"/>
      <c r="N25" s="50"/>
      <c r="O25" s="24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7"/>
      <c r="AG25" s="7"/>
    </row>
    <row r="26" spans="1:33" x14ac:dyDescent="0.45">
      <c r="A26" s="23"/>
      <c r="B26" s="24"/>
      <c r="C26" s="7"/>
      <c r="D26" s="6"/>
      <c r="E26" s="24" t="str">
        <f t="shared" si="20"/>
        <v/>
      </c>
      <c r="F26" s="49"/>
      <c r="G26" s="53"/>
      <c r="H26" s="53"/>
      <c r="I26" s="49"/>
      <c r="K26" s="50"/>
      <c r="L26" s="50"/>
      <c r="M26" s="50"/>
      <c r="N26" s="50"/>
      <c r="O26" s="24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7"/>
      <c r="AG26" s="7"/>
    </row>
    <row r="27" spans="1:33" x14ac:dyDescent="0.45">
      <c r="A27" s="23"/>
      <c r="B27" s="24"/>
      <c r="C27" s="7"/>
      <c r="D27" s="6"/>
      <c r="E27" s="24" t="str">
        <f t="shared" si="20"/>
        <v/>
      </c>
      <c r="F27" s="49"/>
      <c r="G27" s="53"/>
      <c r="H27" s="53"/>
      <c r="I27" s="49"/>
      <c r="K27" s="50"/>
      <c r="L27" s="50"/>
      <c r="M27" s="50"/>
      <c r="N27" s="50"/>
      <c r="O27" s="24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7"/>
      <c r="AG27" s="7"/>
    </row>
    <row r="28" spans="1:33" x14ac:dyDescent="0.45">
      <c r="B28" s="24" t="str">
        <f>IF(NOT(LEN(A28)=0),B21+1,"")</f>
        <v/>
      </c>
      <c r="C28" s="7" t="str">
        <f t="shared" si="0"/>
        <v/>
      </c>
      <c r="D28" s="6" t="str">
        <f t="shared" si="1"/>
        <v/>
      </c>
      <c r="E28" s="24" t="str">
        <f t="shared" si="20"/>
        <v/>
      </c>
      <c r="F28" s="49" t="str">
        <f>IF(NOT(LEN($A28)=0),IF(F21+1&gt;15,"버교체요망",F21+1),"")</f>
        <v/>
      </c>
      <c r="G28" s="53"/>
      <c r="H28" s="53"/>
      <c r="I28" s="49" t="str">
        <f>IF(NOT(LEN($A28)=0),IF(I21+1&gt;15,"버교체요망",I21+1),"")</f>
        <v/>
      </c>
      <c r="K28" s="50" t="str">
        <f>IF(NOT(LEN($I28)=0),K21,"")</f>
        <v/>
      </c>
      <c r="L28" s="50" t="str">
        <f>IF(NOT(LEN($I28)=0),L21,"")</f>
        <v/>
      </c>
      <c r="M28" s="50" t="str">
        <f>IF(NOT(LEN($I28)=0),M21,"")</f>
        <v/>
      </c>
      <c r="N28" s="50" t="str">
        <f>IF(NOT(LEN($I28)=0),N21,"")</f>
        <v/>
      </c>
      <c r="O28" s="24" t="str">
        <f>IF(LEN(A28)&gt;0, 종합!$C$27, "")</f>
        <v/>
      </c>
      <c r="Q28" s="48" t="str">
        <f t="shared" ref="Q28:AF28" si="21">IF(NOT(LEN($A28)=0),"누락","")</f>
        <v/>
      </c>
      <c r="R28" s="48" t="str">
        <f t="shared" si="21"/>
        <v/>
      </c>
      <c r="S28" s="48" t="str">
        <f t="shared" si="21"/>
        <v/>
      </c>
      <c r="T28" s="48" t="str">
        <f t="shared" si="21"/>
        <v/>
      </c>
      <c r="U28" s="48" t="str">
        <f t="shared" si="21"/>
        <v/>
      </c>
      <c r="V28" s="48" t="str">
        <f t="shared" si="21"/>
        <v/>
      </c>
      <c r="W28" s="48" t="str">
        <f t="shared" si="21"/>
        <v/>
      </c>
      <c r="X28" s="48" t="str">
        <f t="shared" si="21"/>
        <v/>
      </c>
      <c r="Y28" s="48" t="str">
        <f t="shared" si="21"/>
        <v/>
      </c>
      <c r="Z28" s="48" t="str">
        <f t="shared" si="21"/>
        <v/>
      </c>
      <c r="AA28" s="48" t="str">
        <f t="shared" si="21"/>
        <v/>
      </c>
      <c r="AB28" s="48" t="str">
        <f t="shared" si="21"/>
        <v/>
      </c>
      <c r="AC28" s="48" t="str">
        <f t="shared" si="21"/>
        <v/>
      </c>
      <c r="AD28" s="48" t="str">
        <f t="shared" si="21"/>
        <v/>
      </c>
      <c r="AE28" s="48" t="str">
        <f t="shared" si="21"/>
        <v/>
      </c>
      <c r="AF28" s="48" t="str">
        <f t="shared" si="21"/>
        <v/>
      </c>
      <c r="AG28" s="48" t="str">
        <f t="shared" ref="AG28" si="22">IF(NOT(LEN($A28)=0),"누락","")</f>
        <v/>
      </c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 F7:F9">
    <cfRule type="containsText" dxfId="388" priority="300" operator="containsText" text="신품">
      <formula>NOT(ISERROR(SEARCH("신품",F7)))</formula>
    </cfRule>
    <cfRule type="containsText" dxfId="387" priority="301" operator="containsText" text="중고">
      <formula>NOT(ISERROR(SEARCH("중고",F7)))</formula>
    </cfRule>
  </conditionalFormatting>
  <conditionalFormatting sqref="I7:I9">
    <cfRule type="containsText" dxfId="386" priority="298" operator="containsText" text="신품">
      <formula>NOT(ISERROR(SEARCH("신품",I7)))</formula>
    </cfRule>
    <cfRule type="containsText" dxfId="385" priority="299" operator="containsText" text="중고">
      <formula>NOT(ISERROR(SEARCH("중고",I7)))</formula>
    </cfRule>
  </conditionalFormatting>
  <conditionalFormatting sqref="F10">
    <cfRule type="containsText" dxfId="384" priority="294" operator="containsText" text="신품">
      <formula>NOT(ISERROR(SEARCH("신품",F10)))</formula>
    </cfRule>
    <cfRule type="containsText" dxfId="383" priority="295" operator="containsText" text="중고">
      <formula>NOT(ISERROR(SEARCH("중고",F10)))</formula>
    </cfRule>
  </conditionalFormatting>
  <conditionalFormatting sqref="I10">
    <cfRule type="containsText" dxfId="382" priority="292" operator="containsText" text="신품">
      <formula>NOT(ISERROR(SEARCH("신품",I10)))</formula>
    </cfRule>
    <cfRule type="containsText" dxfId="381" priority="293" operator="containsText" text="중고">
      <formula>NOT(ISERROR(SEARCH("중고",I10)))</formula>
    </cfRule>
  </conditionalFormatting>
  <conditionalFormatting sqref="F11">
    <cfRule type="containsText" dxfId="380" priority="288" operator="containsText" text="신품">
      <formula>NOT(ISERROR(SEARCH("신품",F11)))</formula>
    </cfRule>
    <cfRule type="containsText" dxfId="379" priority="289" operator="containsText" text="중고">
      <formula>NOT(ISERROR(SEARCH("중고",F11)))</formula>
    </cfRule>
  </conditionalFormatting>
  <conditionalFormatting sqref="I11">
    <cfRule type="containsText" dxfId="378" priority="286" operator="containsText" text="신품">
      <formula>NOT(ISERROR(SEARCH("신품",I11)))</formula>
    </cfRule>
    <cfRule type="containsText" dxfId="377" priority="287" operator="containsText" text="중고">
      <formula>NOT(ISERROR(SEARCH("중고",I11)))</formula>
    </cfRule>
  </conditionalFormatting>
  <conditionalFormatting sqref="F12">
    <cfRule type="containsText" dxfId="376" priority="282" operator="containsText" text="신품">
      <formula>NOT(ISERROR(SEARCH("신품",F12)))</formula>
    </cfRule>
    <cfRule type="containsText" dxfId="375" priority="283" operator="containsText" text="중고">
      <formula>NOT(ISERROR(SEARCH("중고",F12)))</formula>
    </cfRule>
  </conditionalFormatting>
  <conditionalFormatting sqref="I12">
    <cfRule type="containsText" dxfId="374" priority="280" operator="containsText" text="신품">
      <formula>NOT(ISERROR(SEARCH("신품",I12)))</formula>
    </cfRule>
    <cfRule type="containsText" dxfId="373" priority="281" operator="containsText" text="중고">
      <formula>NOT(ISERROR(SEARCH("중고",I12)))</formula>
    </cfRule>
  </conditionalFormatting>
  <conditionalFormatting sqref="D29">
    <cfRule type="containsText" dxfId="372" priority="265" operator="containsText" text="진행중">
      <formula>NOT(ISERROR(SEARCH("진행중",D29)))</formula>
    </cfRule>
  </conditionalFormatting>
  <conditionalFormatting sqref="N8:N28">
    <cfRule type="containsText" dxfId="371" priority="168" operator="containsText" text="완료">
      <formula>NOT(ISERROR(SEARCH("완료",N8)))</formula>
    </cfRule>
    <cfRule type="containsText" dxfId="370" priority="169" operator="containsText" text="중단">
      <formula>NOT(ISERROR(SEARCH("중단",N8)))</formula>
    </cfRule>
  </conditionalFormatting>
  <conditionalFormatting sqref="N8:N28">
    <cfRule type="containsText" dxfId="369" priority="166" operator="containsText" text="완료">
      <formula>NOT(ISERROR(SEARCH("완료",N8)))</formula>
    </cfRule>
    <cfRule type="containsText" dxfId="368" priority="167" operator="containsText" text="중단">
      <formula>NOT(ISERROR(SEARCH("중단",N8)))</formula>
    </cfRule>
  </conditionalFormatting>
  <conditionalFormatting sqref="N8:N28">
    <cfRule type="containsText" dxfId="367" priority="165" operator="containsText" text="진행중">
      <formula>NOT(ISERROR(SEARCH("진행중",N8)))</formula>
    </cfRule>
  </conditionalFormatting>
  <conditionalFormatting sqref="F14:F28">
    <cfRule type="containsText" dxfId="366" priority="258" operator="containsText" text="완료">
      <formula>NOT(ISERROR(SEARCH("완료",F14)))</formula>
    </cfRule>
    <cfRule type="containsText" dxfId="365" priority="259" operator="containsText" text="중단">
      <formula>NOT(ISERROR(SEARCH("중단",F14)))</formula>
    </cfRule>
  </conditionalFormatting>
  <conditionalFormatting sqref="F14:F28">
    <cfRule type="containsText" dxfId="364" priority="256" operator="containsText" text="완료">
      <formula>NOT(ISERROR(SEARCH("완료",F14)))</formula>
    </cfRule>
    <cfRule type="containsText" dxfId="363" priority="257" operator="containsText" text="중단">
      <formula>NOT(ISERROR(SEARCH("중단",F14)))</formula>
    </cfRule>
  </conditionalFormatting>
  <conditionalFormatting sqref="F14:F28">
    <cfRule type="containsText" dxfId="362" priority="255" operator="containsText" text="진행중">
      <formula>NOT(ISERROR(SEARCH("진행중",F14)))</formula>
    </cfRule>
  </conditionalFormatting>
  <conditionalFormatting sqref="K8:K17">
    <cfRule type="containsText" dxfId="361" priority="148" operator="containsText" text="완료">
      <formula>NOT(ISERROR(SEARCH("완료",K8)))</formula>
    </cfRule>
    <cfRule type="containsText" dxfId="360" priority="149" operator="containsText" text="중단">
      <formula>NOT(ISERROR(SEARCH("중단",K8)))</formula>
    </cfRule>
  </conditionalFormatting>
  <conditionalFormatting sqref="K8:K17">
    <cfRule type="containsText" dxfId="359" priority="146" operator="containsText" text="완료">
      <formula>NOT(ISERROR(SEARCH("완료",K8)))</formula>
    </cfRule>
    <cfRule type="containsText" dxfId="358" priority="147" operator="containsText" text="중단">
      <formula>NOT(ISERROR(SEARCH("중단",K8)))</formula>
    </cfRule>
  </conditionalFormatting>
  <conditionalFormatting sqref="K8:K17">
    <cfRule type="containsText" dxfId="357" priority="145" operator="containsText" text="진행중">
      <formula>NOT(ISERROR(SEARCH("진행중",K8)))</formula>
    </cfRule>
  </conditionalFormatting>
  <conditionalFormatting sqref="L8:L17">
    <cfRule type="containsText" dxfId="356" priority="143" operator="containsText" text="완료">
      <formula>NOT(ISERROR(SEARCH("완료",L8)))</formula>
    </cfRule>
    <cfRule type="containsText" dxfId="355" priority="144" operator="containsText" text="중단">
      <formula>NOT(ISERROR(SEARCH("중단",L8)))</formula>
    </cfRule>
  </conditionalFormatting>
  <conditionalFormatting sqref="L8:L17">
    <cfRule type="containsText" dxfId="354" priority="141" operator="containsText" text="완료">
      <formula>NOT(ISERROR(SEARCH("완료",L8)))</formula>
    </cfRule>
    <cfRule type="containsText" dxfId="353" priority="142" operator="containsText" text="중단">
      <formula>NOT(ISERROR(SEARCH("중단",L8)))</formula>
    </cfRule>
  </conditionalFormatting>
  <conditionalFormatting sqref="L8:L17">
    <cfRule type="containsText" dxfId="352" priority="140" operator="containsText" text="진행중">
      <formula>NOT(ISERROR(SEARCH("진행중",L8)))</formula>
    </cfRule>
  </conditionalFormatting>
  <conditionalFormatting sqref="M8:M28">
    <cfRule type="containsText" dxfId="351" priority="138" operator="containsText" text="완료">
      <formula>NOT(ISERROR(SEARCH("완료",M8)))</formula>
    </cfRule>
    <cfRule type="containsText" dxfId="350" priority="139" operator="containsText" text="중단">
      <formula>NOT(ISERROR(SEARCH("중단",M8)))</formula>
    </cfRule>
  </conditionalFormatting>
  <conditionalFormatting sqref="M8:M28">
    <cfRule type="containsText" dxfId="349" priority="136" operator="containsText" text="완료">
      <formula>NOT(ISERROR(SEARCH("완료",M8)))</formula>
    </cfRule>
    <cfRule type="containsText" dxfId="348" priority="137" operator="containsText" text="중단">
      <formula>NOT(ISERROR(SEARCH("중단",M8)))</formula>
    </cfRule>
  </conditionalFormatting>
  <conditionalFormatting sqref="M8:M28">
    <cfRule type="containsText" dxfId="347" priority="135" operator="containsText" text="진행중">
      <formula>NOT(ISERROR(SEARCH("진행중",M8)))</formula>
    </cfRule>
  </conditionalFormatting>
  <conditionalFormatting sqref="I14:I28">
    <cfRule type="containsText" dxfId="346" priority="213" operator="containsText" text="완료">
      <formula>NOT(ISERROR(SEARCH("완료",I14)))</formula>
    </cfRule>
    <cfRule type="containsText" dxfId="345" priority="214" operator="containsText" text="중단">
      <formula>NOT(ISERROR(SEARCH("중단",I14)))</formula>
    </cfRule>
  </conditionalFormatting>
  <conditionalFormatting sqref="I14:I28">
    <cfRule type="containsText" dxfId="344" priority="211" operator="containsText" text="완료">
      <formula>NOT(ISERROR(SEARCH("완료",I14)))</formula>
    </cfRule>
    <cfRule type="containsText" dxfId="343" priority="212" operator="containsText" text="중단">
      <formula>NOT(ISERROR(SEARCH("중단",I14)))</formula>
    </cfRule>
  </conditionalFormatting>
  <conditionalFormatting sqref="I14:I28">
    <cfRule type="containsText" dxfId="342" priority="210" operator="containsText" text="진행중">
      <formula>NOT(ISERROR(SEARCH("진행중",I14)))</formula>
    </cfRule>
  </conditionalFormatting>
  <conditionalFormatting sqref="F13">
    <cfRule type="containsText" dxfId="341" priority="208" operator="containsText" text="완료">
      <formula>NOT(ISERROR(SEARCH("완료",F13)))</formula>
    </cfRule>
    <cfRule type="containsText" dxfId="340" priority="209" operator="containsText" text="중단">
      <formula>NOT(ISERROR(SEARCH("중단",F13)))</formula>
    </cfRule>
  </conditionalFormatting>
  <conditionalFormatting sqref="F13">
    <cfRule type="containsText" dxfId="339" priority="206" operator="containsText" text="완료">
      <formula>NOT(ISERROR(SEARCH("완료",F13)))</formula>
    </cfRule>
    <cfRule type="containsText" dxfId="338" priority="207" operator="containsText" text="중단">
      <formula>NOT(ISERROR(SEARCH("중단",F13)))</formula>
    </cfRule>
  </conditionalFormatting>
  <conditionalFormatting sqref="F13">
    <cfRule type="containsText" dxfId="337" priority="205" operator="containsText" text="진행중">
      <formula>NOT(ISERROR(SEARCH("진행중",F13)))</formula>
    </cfRule>
  </conditionalFormatting>
  <conditionalFormatting sqref="I13">
    <cfRule type="containsText" dxfId="336" priority="203" operator="containsText" text="완료">
      <formula>NOT(ISERROR(SEARCH("완료",I13)))</formula>
    </cfRule>
    <cfRule type="containsText" dxfId="335" priority="204" operator="containsText" text="중단">
      <formula>NOT(ISERROR(SEARCH("중단",I13)))</formula>
    </cfRule>
  </conditionalFormatting>
  <conditionalFormatting sqref="I13">
    <cfRule type="containsText" dxfId="334" priority="201" operator="containsText" text="완료">
      <formula>NOT(ISERROR(SEARCH("완료",I13)))</formula>
    </cfRule>
    <cfRule type="containsText" dxfId="333" priority="202" operator="containsText" text="중단">
      <formula>NOT(ISERROR(SEARCH("중단",I13)))</formula>
    </cfRule>
  </conditionalFormatting>
  <conditionalFormatting sqref="I13">
    <cfRule type="containsText" dxfId="332" priority="200" operator="containsText" text="진행중">
      <formula>NOT(ISERROR(SEARCH("진행중",I13)))</formula>
    </cfRule>
  </conditionalFormatting>
  <conditionalFormatting sqref="E20:E21">
    <cfRule type="containsText" dxfId="331" priority="123" operator="containsText" text="완료">
      <formula>NOT(ISERROR(SEARCH("완료",E20)))</formula>
    </cfRule>
    <cfRule type="containsText" dxfId="330" priority="124" operator="containsText" text="중단">
      <formula>NOT(ISERROR(SEARCH("중단",E20)))</formula>
    </cfRule>
  </conditionalFormatting>
  <conditionalFormatting sqref="E20:E21">
    <cfRule type="containsText" dxfId="329" priority="121" operator="containsText" text="완료">
      <formula>NOT(ISERROR(SEARCH("완료",E20)))</formula>
    </cfRule>
    <cfRule type="containsText" dxfId="328" priority="122" operator="containsText" text="중단">
      <formula>NOT(ISERROR(SEARCH("중단",E20)))</formula>
    </cfRule>
  </conditionalFormatting>
  <conditionalFormatting sqref="E20:E21">
    <cfRule type="containsText" dxfId="327" priority="120" operator="containsText" text="진행중">
      <formula>NOT(ISERROR(SEARCH("진행중",E20)))</formula>
    </cfRule>
  </conditionalFormatting>
  <conditionalFormatting sqref="K18:K28">
    <cfRule type="containsText" dxfId="326" priority="193" operator="containsText" text="완료">
      <formula>NOT(ISERROR(SEARCH("완료",K18)))</formula>
    </cfRule>
    <cfRule type="containsText" dxfId="325" priority="194" operator="containsText" text="중단">
      <formula>NOT(ISERROR(SEARCH("중단",K18)))</formula>
    </cfRule>
  </conditionalFormatting>
  <conditionalFormatting sqref="K18:K28">
    <cfRule type="containsText" dxfId="324" priority="191" operator="containsText" text="완료">
      <formula>NOT(ISERROR(SEARCH("완료",K18)))</formula>
    </cfRule>
    <cfRule type="containsText" dxfId="323" priority="192" operator="containsText" text="중단">
      <formula>NOT(ISERROR(SEARCH("중단",K18)))</formula>
    </cfRule>
  </conditionalFormatting>
  <conditionalFormatting sqref="K18:K28">
    <cfRule type="containsText" dxfId="322" priority="190" operator="containsText" text="진행중">
      <formula>NOT(ISERROR(SEARCH("진행중",K18)))</formula>
    </cfRule>
  </conditionalFormatting>
  <conditionalFormatting sqref="L18:L28">
    <cfRule type="containsText" dxfId="321" priority="183" operator="containsText" text="완료">
      <formula>NOT(ISERROR(SEARCH("완료",L18)))</formula>
    </cfRule>
    <cfRule type="containsText" dxfId="320" priority="184" operator="containsText" text="중단">
      <formula>NOT(ISERROR(SEARCH("중단",L18)))</formula>
    </cfRule>
  </conditionalFormatting>
  <conditionalFormatting sqref="L18:L28">
    <cfRule type="containsText" dxfId="319" priority="181" operator="containsText" text="완료">
      <formula>NOT(ISERROR(SEARCH("완료",L18)))</formula>
    </cfRule>
    <cfRule type="containsText" dxfId="318" priority="182" operator="containsText" text="중단">
      <formula>NOT(ISERROR(SEARCH("중단",L18)))</formula>
    </cfRule>
  </conditionalFormatting>
  <conditionalFormatting sqref="L18:L28">
    <cfRule type="containsText" dxfId="317" priority="180" operator="containsText" text="진행중">
      <formula>NOT(ISERROR(SEARCH("진행중",L18)))</formula>
    </cfRule>
  </conditionalFormatting>
  <conditionalFormatting sqref="E19">
    <cfRule type="containsText" dxfId="316" priority="118" operator="containsText" text="완료">
      <formula>NOT(ISERROR(SEARCH("완료",E19)))</formula>
    </cfRule>
    <cfRule type="containsText" dxfId="315" priority="119" operator="containsText" text="중단">
      <formula>NOT(ISERROR(SEARCH("중단",E19)))</formula>
    </cfRule>
  </conditionalFormatting>
  <conditionalFormatting sqref="E19">
    <cfRule type="containsText" dxfId="314" priority="116" operator="containsText" text="완료">
      <formula>NOT(ISERROR(SEARCH("완료",E19)))</formula>
    </cfRule>
    <cfRule type="containsText" dxfId="313" priority="117" operator="containsText" text="중단">
      <formula>NOT(ISERROR(SEARCH("중단",E19)))</formula>
    </cfRule>
  </conditionalFormatting>
  <conditionalFormatting sqref="E19">
    <cfRule type="containsText" dxfId="312" priority="115" operator="containsText" text="진행중">
      <formula>NOT(ISERROR(SEARCH("진행중",E19)))</formula>
    </cfRule>
  </conditionalFormatting>
  <conditionalFormatting sqref="G8:G20">
    <cfRule type="containsText" dxfId="311" priority="113" operator="containsText" text="완료">
      <formula>NOT(ISERROR(SEARCH("완료",G8)))</formula>
    </cfRule>
    <cfRule type="containsText" dxfId="310" priority="114" operator="containsText" text="중단">
      <formula>NOT(ISERROR(SEARCH("중단",G8)))</formula>
    </cfRule>
  </conditionalFormatting>
  <conditionalFormatting sqref="G8:G20">
    <cfRule type="containsText" dxfId="309" priority="111" operator="containsText" text="완료">
      <formula>NOT(ISERROR(SEARCH("완료",G8)))</formula>
    </cfRule>
    <cfRule type="containsText" dxfId="308" priority="112" operator="containsText" text="중단">
      <formula>NOT(ISERROR(SEARCH("중단",G8)))</formula>
    </cfRule>
  </conditionalFormatting>
  <conditionalFormatting sqref="G8:G20">
    <cfRule type="containsText" dxfId="307" priority="110" operator="containsText" text="진행중">
      <formula>NOT(ISERROR(SEARCH("진행중",G8)))</formula>
    </cfRule>
  </conditionalFormatting>
  <conditionalFormatting sqref="H8:H20">
    <cfRule type="containsText" dxfId="306" priority="108" operator="containsText" text="완료">
      <formula>NOT(ISERROR(SEARCH("완료",H8)))</formula>
    </cfRule>
    <cfRule type="containsText" dxfId="305" priority="109" operator="containsText" text="중단">
      <formula>NOT(ISERROR(SEARCH("중단",H8)))</formula>
    </cfRule>
  </conditionalFormatting>
  <conditionalFormatting sqref="H8:H20">
    <cfRule type="containsText" dxfId="304" priority="106" operator="containsText" text="완료">
      <formula>NOT(ISERROR(SEARCH("완료",H8)))</formula>
    </cfRule>
    <cfRule type="containsText" dxfId="303" priority="107" operator="containsText" text="중단">
      <formula>NOT(ISERROR(SEARCH("중단",H8)))</formula>
    </cfRule>
  </conditionalFormatting>
  <conditionalFormatting sqref="H8:H20">
    <cfRule type="containsText" dxfId="302" priority="105" operator="containsText" text="진행중">
      <formula>NOT(ISERROR(SEARCH("진행중",H8)))</formula>
    </cfRule>
  </conditionalFormatting>
  <conditionalFormatting sqref="Q20 Q22:Q28">
    <cfRule type="containsText" dxfId="301" priority="83" operator="containsText" text="완료">
      <formula>NOT(ISERROR(SEARCH("완료",Q20)))</formula>
    </cfRule>
    <cfRule type="containsText" dxfId="300" priority="84" operator="containsText" text="중단">
      <formula>NOT(ISERROR(SEARCH("중단",Q20)))</formula>
    </cfRule>
  </conditionalFormatting>
  <conditionalFormatting sqref="Q20 Q22:Q28">
    <cfRule type="containsText" dxfId="299" priority="81" operator="containsText" text="완료">
      <formula>NOT(ISERROR(SEARCH("완료",Q20)))</formula>
    </cfRule>
    <cfRule type="containsText" dxfId="298" priority="82" operator="containsText" text="중단">
      <formula>NOT(ISERROR(SEARCH("중단",Q20)))</formula>
    </cfRule>
  </conditionalFormatting>
  <conditionalFormatting sqref="Q20 Q22:Q28">
    <cfRule type="containsText" dxfId="297" priority="80" operator="containsText" text="진행중">
      <formula>NOT(ISERROR(SEARCH("진행중",Q20)))</formula>
    </cfRule>
  </conditionalFormatting>
  <conditionalFormatting sqref="R20 R22:R28">
    <cfRule type="containsText" dxfId="296" priority="78" operator="containsText" text="완료">
      <formula>NOT(ISERROR(SEARCH("완료",R20)))</formula>
    </cfRule>
    <cfRule type="containsText" dxfId="295" priority="79" operator="containsText" text="중단">
      <formula>NOT(ISERROR(SEARCH("중단",R20)))</formula>
    </cfRule>
  </conditionalFormatting>
  <conditionalFormatting sqref="R20 R22:R28">
    <cfRule type="containsText" dxfId="294" priority="76" operator="containsText" text="완료">
      <formula>NOT(ISERROR(SEARCH("완료",R20)))</formula>
    </cfRule>
    <cfRule type="containsText" dxfId="293" priority="77" operator="containsText" text="중단">
      <formula>NOT(ISERROR(SEARCH("중단",R20)))</formula>
    </cfRule>
  </conditionalFormatting>
  <conditionalFormatting sqref="R20 R22:R28">
    <cfRule type="containsText" dxfId="292" priority="75" operator="containsText" text="진행중">
      <formula>NOT(ISERROR(SEARCH("진행중",R20)))</formula>
    </cfRule>
  </conditionalFormatting>
  <conditionalFormatting sqref="S20 S22:S28">
    <cfRule type="containsText" dxfId="291" priority="73" operator="containsText" text="완료">
      <formula>NOT(ISERROR(SEARCH("완료",S20)))</formula>
    </cfRule>
    <cfRule type="containsText" dxfId="290" priority="74" operator="containsText" text="중단">
      <formula>NOT(ISERROR(SEARCH("중단",S20)))</formula>
    </cfRule>
  </conditionalFormatting>
  <conditionalFormatting sqref="S20 S22:S28">
    <cfRule type="containsText" dxfId="289" priority="71" operator="containsText" text="완료">
      <formula>NOT(ISERROR(SEARCH("완료",S20)))</formula>
    </cfRule>
    <cfRule type="containsText" dxfId="288" priority="72" operator="containsText" text="중단">
      <formula>NOT(ISERROR(SEARCH("중단",S20)))</formula>
    </cfRule>
  </conditionalFormatting>
  <conditionalFormatting sqref="S20 S22:S28">
    <cfRule type="containsText" dxfId="287" priority="70" operator="containsText" text="진행중">
      <formula>NOT(ISERROR(SEARCH("진행중",S20)))</formula>
    </cfRule>
  </conditionalFormatting>
  <conditionalFormatting sqref="T20 T22:T28">
    <cfRule type="containsText" dxfId="286" priority="68" operator="containsText" text="완료">
      <formula>NOT(ISERROR(SEARCH("완료",T20)))</formula>
    </cfRule>
    <cfRule type="containsText" dxfId="285" priority="69" operator="containsText" text="중단">
      <formula>NOT(ISERROR(SEARCH("중단",T20)))</formula>
    </cfRule>
  </conditionalFormatting>
  <conditionalFormatting sqref="T20 T22:T28">
    <cfRule type="containsText" dxfId="284" priority="66" operator="containsText" text="완료">
      <formula>NOT(ISERROR(SEARCH("완료",T20)))</formula>
    </cfRule>
    <cfRule type="containsText" dxfId="283" priority="67" operator="containsText" text="중단">
      <formula>NOT(ISERROR(SEARCH("중단",T20)))</formula>
    </cfRule>
  </conditionalFormatting>
  <conditionalFormatting sqref="T20 T22:T28">
    <cfRule type="containsText" dxfId="282" priority="65" operator="containsText" text="진행중">
      <formula>NOT(ISERROR(SEARCH("진행중",T20)))</formula>
    </cfRule>
  </conditionalFormatting>
  <conditionalFormatting sqref="U20:AC28">
    <cfRule type="containsText" dxfId="281" priority="63" operator="containsText" text="완료">
      <formula>NOT(ISERROR(SEARCH("완료",U20)))</formula>
    </cfRule>
    <cfRule type="containsText" dxfId="280" priority="64" operator="containsText" text="중단">
      <formula>NOT(ISERROR(SEARCH("중단",U20)))</formula>
    </cfRule>
  </conditionalFormatting>
  <conditionalFormatting sqref="U20:AC28">
    <cfRule type="containsText" dxfId="279" priority="61" operator="containsText" text="완료">
      <formula>NOT(ISERROR(SEARCH("완료",U20)))</formula>
    </cfRule>
    <cfRule type="containsText" dxfId="278" priority="62" operator="containsText" text="중단">
      <formula>NOT(ISERROR(SEARCH("중단",U20)))</formula>
    </cfRule>
  </conditionalFormatting>
  <conditionalFormatting sqref="U20:AC28">
    <cfRule type="containsText" dxfId="277" priority="60" operator="containsText" text="진행중">
      <formula>NOT(ISERROR(SEARCH("진행중",U20)))</formula>
    </cfRule>
  </conditionalFormatting>
  <conditionalFormatting sqref="AD20:AD28">
    <cfRule type="containsText" dxfId="276" priority="58" operator="containsText" text="완료">
      <formula>NOT(ISERROR(SEARCH("완료",AD20)))</formula>
    </cfRule>
    <cfRule type="containsText" dxfId="275" priority="59" operator="containsText" text="중단">
      <formula>NOT(ISERROR(SEARCH("중단",AD20)))</formula>
    </cfRule>
  </conditionalFormatting>
  <conditionalFormatting sqref="AD20:AD28">
    <cfRule type="containsText" dxfId="274" priority="56" operator="containsText" text="완료">
      <formula>NOT(ISERROR(SEARCH("완료",AD20)))</formula>
    </cfRule>
    <cfRule type="containsText" dxfId="273" priority="57" operator="containsText" text="중단">
      <formula>NOT(ISERROR(SEARCH("중단",AD20)))</formula>
    </cfRule>
  </conditionalFormatting>
  <conditionalFormatting sqref="AD20:AD28">
    <cfRule type="containsText" dxfId="272" priority="55" operator="containsText" text="진행중">
      <formula>NOT(ISERROR(SEARCH("진행중",AD20)))</formula>
    </cfRule>
  </conditionalFormatting>
  <conditionalFormatting sqref="AE20:AE28">
    <cfRule type="containsText" dxfId="271" priority="53" operator="containsText" text="완료">
      <formula>NOT(ISERROR(SEARCH("완료",AE20)))</formula>
    </cfRule>
    <cfRule type="containsText" dxfId="270" priority="54" operator="containsText" text="중단">
      <formula>NOT(ISERROR(SEARCH("중단",AE20)))</formula>
    </cfRule>
  </conditionalFormatting>
  <conditionalFormatting sqref="AE20:AE28">
    <cfRule type="containsText" dxfId="269" priority="51" operator="containsText" text="완료">
      <formula>NOT(ISERROR(SEARCH("완료",AE20)))</formula>
    </cfRule>
    <cfRule type="containsText" dxfId="268" priority="52" operator="containsText" text="중단">
      <formula>NOT(ISERROR(SEARCH("중단",AE20)))</formula>
    </cfRule>
  </conditionalFormatting>
  <conditionalFormatting sqref="AE20:AE28">
    <cfRule type="containsText" dxfId="267" priority="50" operator="containsText" text="진행중">
      <formula>NOT(ISERROR(SEARCH("진행중",AE20)))</formula>
    </cfRule>
  </conditionalFormatting>
  <conditionalFormatting sqref="D8:D19">
    <cfRule type="containsText" dxfId="266" priority="48" operator="containsText" text="완료">
      <formula>NOT(ISERROR(SEARCH("완료",D8)))</formula>
    </cfRule>
    <cfRule type="containsText" dxfId="265" priority="49" operator="containsText" text="중단">
      <formula>NOT(ISERROR(SEARCH("중단",D8)))</formula>
    </cfRule>
  </conditionalFormatting>
  <conditionalFormatting sqref="D11">
    <cfRule type="containsText" dxfId="264" priority="46" operator="containsText" text="완료">
      <formula>NOT(ISERROR(SEARCH("완료",D11)))</formula>
    </cfRule>
    <cfRule type="containsText" dxfId="263" priority="47" operator="containsText" text="중단">
      <formula>NOT(ISERROR(SEARCH("중단",D11)))</formula>
    </cfRule>
  </conditionalFormatting>
  <conditionalFormatting sqref="D12:D19">
    <cfRule type="containsText" dxfId="262" priority="44" operator="containsText" text="완료">
      <formula>NOT(ISERROR(SEARCH("완료",D12)))</formula>
    </cfRule>
    <cfRule type="containsText" dxfId="261" priority="45" operator="containsText" text="중단">
      <formula>NOT(ISERROR(SEARCH("중단",D12)))</formula>
    </cfRule>
  </conditionalFormatting>
  <conditionalFormatting sqref="D13:D19">
    <cfRule type="containsText" dxfId="260" priority="42" operator="containsText" text="완료">
      <formula>NOT(ISERROR(SEARCH("완료",D13)))</formula>
    </cfRule>
    <cfRule type="containsText" dxfId="259" priority="43" operator="containsText" text="중단">
      <formula>NOT(ISERROR(SEARCH("중단",D13)))</formula>
    </cfRule>
  </conditionalFormatting>
  <conditionalFormatting sqref="D8:D19">
    <cfRule type="containsText" dxfId="258" priority="41" operator="containsText" text="진행중">
      <formula>NOT(ISERROR(SEARCH("진행중",D8)))</formula>
    </cfRule>
  </conditionalFormatting>
  <conditionalFormatting sqref="D8:D28">
    <cfRule type="containsText" dxfId="257" priority="39" operator="containsText" text="완료">
      <formula>NOT(ISERROR(SEARCH("완료",D8)))</formula>
    </cfRule>
    <cfRule type="containsText" dxfId="256" priority="40" operator="containsText" text="중단">
      <formula>NOT(ISERROR(SEARCH("중단",D8)))</formula>
    </cfRule>
  </conditionalFormatting>
  <conditionalFormatting sqref="D8:D28">
    <cfRule type="containsText" dxfId="255" priority="37" operator="containsText" text="완료">
      <formula>NOT(ISERROR(SEARCH("완료",D8)))</formula>
    </cfRule>
    <cfRule type="containsText" dxfId="254" priority="38" operator="containsText" text="중단">
      <formula>NOT(ISERROR(SEARCH("중단",D8)))</formula>
    </cfRule>
  </conditionalFormatting>
  <conditionalFormatting sqref="D8:D28">
    <cfRule type="containsText" dxfId="253" priority="36" operator="containsText" text="진행중">
      <formula>NOT(ISERROR(SEARCH("진행중",D8)))</formula>
    </cfRule>
  </conditionalFormatting>
  <conditionalFormatting sqref="D7">
    <cfRule type="containsText" dxfId="252" priority="34" operator="containsText" text="완료">
      <formula>NOT(ISERROR(SEARCH("완료",D7)))</formula>
    </cfRule>
    <cfRule type="containsText" dxfId="251" priority="35" operator="containsText" text="중단">
      <formula>NOT(ISERROR(SEARCH("중단",D7)))</formula>
    </cfRule>
  </conditionalFormatting>
  <conditionalFormatting sqref="D7">
    <cfRule type="containsText" dxfId="250" priority="32" operator="containsText" text="완료">
      <formula>NOT(ISERROR(SEARCH("완료",D7)))</formula>
    </cfRule>
    <cfRule type="containsText" dxfId="249" priority="33" operator="containsText" text="중단">
      <formula>NOT(ISERROR(SEARCH("중단",D7)))</formula>
    </cfRule>
  </conditionalFormatting>
  <conditionalFormatting sqref="D7">
    <cfRule type="containsText" dxfId="248" priority="31" operator="containsText" text="진행중">
      <formula>NOT(ISERROR(SEARCH("진행중",D7)))</formula>
    </cfRule>
  </conditionalFormatting>
  <conditionalFormatting sqref="A29:AG29 A1:AG15 A21:P21 U21:AG21 A17:AG20 A16:P16 U16:AG16 A22:D28 F22:AG27 F28:AE28">
    <cfRule type="containsText" dxfId="247" priority="30" operator="containsText" text="누락">
      <formula>NOT(ISERROR(SEARCH("누락",A1)))</formula>
    </cfRule>
  </conditionalFormatting>
  <conditionalFormatting sqref="AF21:AF27">
    <cfRule type="containsText" dxfId="246" priority="28" operator="containsText" text="완료">
      <formula>NOT(ISERROR(SEARCH("완료",AF21)))</formula>
    </cfRule>
    <cfRule type="containsText" dxfId="245" priority="29" operator="containsText" text="중단">
      <formula>NOT(ISERROR(SEARCH("중단",AF21)))</formula>
    </cfRule>
  </conditionalFormatting>
  <conditionalFormatting sqref="AF21:AF27">
    <cfRule type="containsText" dxfId="244" priority="26" operator="containsText" text="완료">
      <formula>NOT(ISERROR(SEARCH("완료",AF21)))</formula>
    </cfRule>
    <cfRule type="containsText" dxfId="243" priority="27" operator="containsText" text="중단">
      <formula>NOT(ISERROR(SEARCH("중단",AF21)))</formula>
    </cfRule>
  </conditionalFormatting>
  <conditionalFormatting sqref="AF21:AF27">
    <cfRule type="containsText" dxfId="242" priority="25" operator="containsText" text="진행중">
      <formula>NOT(ISERROR(SEARCH("진행중",AF21)))</formula>
    </cfRule>
  </conditionalFormatting>
  <conditionalFormatting sqref="AG21:AG27">
    <cfRule type="containsText" dxfId="241" priority="23" operator="containsText" text="완료">
      <formula>NOT(ISERROR(SEARCH("완료",AG21)))</formula>
    </cfRule>
    <cfRule type="containsText" dxfId="240" priority="24" operator="containsText" text="중단">
      <formula>NOT(ISERROR(SEARCH("중단",AG21)))</formula>
    </cfRule>
  </conditionalFormatting>
  <conditionalFormatting sqref="AG21:AG27">
    <cfRule type="containsText" dxfId="239" priority="21" operator="containsText" text="완료">
      <formula>NOT(ISERROR(SEARCH("완료",AG21)))</formula>
    </cfRule>
    <cfRule type="containsText" dxfId="238" priority="22" operator="containsText" text="중단">
      <formula>NOT(ISERROR(SEARCH("중단",AG21)))</formula>
    </cfRule>
  </conditionalFormatting>
  <conditionalFormatting sqref="AG21:AG27">
    <cfRule type="containsText" dxfId="237" priority="20" operator="containsText" text="진행중">
      <formula>NOT(ISERROR(SEARCH("진행중",AG21)))</formula>
    </cfRule>
  </conditionalFormatting>
  <conditionalFormatting sqref="AG21:AG27">
    <cfRule type="containsText" dxfId="236" priority="18" operator="containsText" text="완료">
      <formula>NOT(ISERROR(SEARCH("완료",AG21)))</formula>
    </cfRule>
    <cfRule type="containsText" dxfId="235" priority="19" operator="containsText" text="중단">
      <formula>NOT(ISERROR(SEARCH("중단",AG21)))</formula>
    </cfRule>
  </conditionalFormatting>
  <conditionalFormatting sqref="AG21:AG27">
    <cfRule type="containsText" dxfId="234" priority="16" operator="containsText" text="완료">
      <formula>NOT(ISERROR(SEARCH("완료",AG21)))</formula>
    </cfRule>
    <cfRule type="containsText" dxfId="233" priority="17" operator="containsText" text="중단">
      <formula>NOT(ISERROR(SEARCH("중단",AG21)))</formula>
    </cfRule>
  </conditionalFormatting>
  <conditionalFormatting sqref="AG21:AG27">
    <cfRule type="containsText" dxfId="232" priority="15" operator="containsText" text="진행중">
      <formula>NOT(ISERROR(SEARCH("진행중",AG21)))</formula>
    </cfRule>
  </conditionalFormatting>
  <conditionalFormatting sqref="AF28:AG28">
    <cfRule type="containsText" dxfId="231" priority="14" operator="containsText" text="누락">
      <formula>NOT(ISERROR(SEARCH("누락",AF28)))</formula>
    </cfRule>
  </conditionalFormatting>
  <conditionalFormatting sqref="AF28">
    <cfRule type="containsText" dxfId="230" priority="12" operator="containsText" text="완료">
      <formula>NOT(ISERROR(SEARCH("완료",AF28)))</formula>
    </cfRule>
    <cfRule type="containsText" dxfId="229" priority="13" operator="containsText" text="중단">
      <formula>NOT(ISERROR(SEARCH("중단",AF28)))</formula>
    </cfRule>
  </conditionalFormatting>
  <conditionalFormatting sqref="AF28">
    <cfRule type="containsText" dxfId="228" priority="10" operator="containsText" text="완료">
      <formula>NOT(ISERROR(SEARCH("완료",AF28)))</formula>
    </cfRule>
    <cfRule type="containsText" dxfId="227" priority="11" operator="containsText" text="중단">
      <formula>NOT(ISERROR(SEARCH("중단",AF28)))</formula>
    </cfRule>
  </conditionalFormatting>
  <conditionalFormatting sqref="AF28">
    <cfRule type="containsText" dxfId="226" priority="9" operator="containsText" text="진행중">
      <formula>NOT(ISERROR(SEARCH("진행중",AF28)))</formula>
    </cfRule>
  </conditionalFormatting>
  <conditionalFormatting sqref="AG28">
    <cfRule type="containsText" dxfId="225" priority="7" operator="containsText" text="완료">
      <formula>NOT(ISERROR(SEARCH("완료",AG28)))</formula>
    </cfRule>
    <cfRule type="containsText" dxfId="224" priority="8" operator="containsText" text="중단">
      <formula>NOT(ISERROR(SEARCH("중단",AG28)))</formula>
    </cfRule>
  </conditionalFormatting>
  <conditionalFormatting sqref="AG28">
    <cfRule type="containsText" dxfId="223" priority="5" operator="containsText" text="완료">
      <formula>NOT(ISERROR(SEARCH("완료",AG28)))</formula>
    </cfRule>
    <cfRule type="containsText" dxfId="222" priority="6" operator="containsText" text="중단">
      <formula>NOT(ISERROR(SEARCH("중단",AG28)))</formula>
    </cfRule>
  </conditionalFormatting>
  <conditionalFormatting sqref="AG28">
    <cfRule type="containsText" dxfId="221" priority="4" operator="containsText" text="진행중">
      <formula>NOT(ISERROR(SEARCH("진행중",AG28)))</formula>
    </cfRule>
  </conditionalFormatting>
  <conditionalFormatting sqref="Q21:T21">
    <cfRule type="containsText" dxfId="43" priority="3" operator="containsText" text="누락">
      <formula>NOT(ISERROR(SEARCH("누락",Q21)))</formula>
    </cfRule>
  </conditionalFormatting>
  <conditionalFormatting sqref="Q16:T16">
    <cfRule type="containsText" dxfId="41" priority="2" operator="containsText" text="누락">
      <formula>NOT(ISERROR(SEARCH("누락",Q16)))</formula>
    </cfRule>
  </conditionalFormatting>
  <conditionalFormatting sqref="E22:E28">
    <cfRule type="containsText" dxfId="4" priority="1" operator="containsText" text="누락">
      <formula>NOT(ISERROR(SEARCH("누락",E22)))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AAB5F-D95C-4413-B5EF-9636041F79C9}">
  <sheetPr>
    <tabColor theme="0" tint="-0.14999847407452621"/>
  </sheetPr>
  <dimension ref="A1:AP29"/>
  <sheetViews>
    <sheetView zoomScale="55" zoomScaleNormal="55" workbookViewId="0">
      <selection activeCell="H16" sqref="H16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72" t="s">
        <v>18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</row>
    <row r="2" spans="1:42" x14ac:dyDescent="0.45">
      <c r="A2" s="60" t="s">
        <v>10</v>
      </c>
      <c r="B2" s="61" t="s">
        <v>90</v>
      </c>
      <c r="C2" s="62"/>
      <c r="D2" s="62"/>
      <c r="E2" s="62"/>
      <c r="F2" s="60" t="s">
        <v>109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18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92</v>
      </c>
      <c r="L5" s="65"/>
      <c r="M5" s="65"/>
      <c r="N5" s="66"/>
      <c r="O5" s="42" t="s">
        <v>91</v>
      </c>
      <c r="P5" s="17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71" t="s">
        <v>120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19" t="s">
        <v>25</v>
      </c>
      <c r="Q6" s="19" t="s">
        <v>4</v>
      </c>
      <c r="R6" s="19" t="s">
        <v>12</v>
      </c>
      <c r="S6" s="19" t="s">
        <v>13</v>
      </c>
      <c r="T6" s="19" t="s">
        <v>5</v>
      </c>
      <c r="U6" s="19" t="s">
        <v>4</v>
      </c>
      <c r="V6" s="19" t="s">
        <v>12</v>
      </c>
      <c r="W6" s="19" t="s">
        <v>13</v>
      </c>
      <c r="X6" s="19" t="s">
        <v>5</v>
      </c>
      <c r="Y6" s="19" t="s">
        <v>4</v>
      </c>
      <c r="Z6" s="19" t="s">
        <v>12</v>
      </c>
      <c r="AA6" s="19" t="s">
        <v>13</v>
      </c>
      <c r="AB6" s="19" t="s">
        <v>5</v>
      </c>
      <c r="AC6" s="19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28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19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92" t="str">
        <f>IFERROR(IF(MOD($B7,5)=0, "누락 ","-" ),"-")</f>
        <v>-</v>
      </c>
      <c r="R7" s="92" t="str">
        <f>IFERROR(IF(MOD($B7,5)=0, "누락 ","-" ),"-")</f>
        <v>-</v>
      </c>
      <c r="S7" s="92" t="str">
        <f>IFERROR(IF(MOD($B7,5)=0, "누락 ","-" ),"-")</f>
        <v>-</v>
      </c>
      <c r="T7" s="92" t="str">
        <f>IFERROR(IF(MOD($B7,5)=0, "누락 ","-" ),"-")</f>
        <v>-</v>
      </c>
      <c r="U7" s="92" t="str">
        <f>IFERROR(IF(MOD($B7,5)=0, "누락 ","-" ),"-")</f>
        <v>-</v>
      </c>
      <c r="V7" s="92" t="str">
        <f>IFERROR(IF(MOD($B7,5)=0, "누락 ","-" ),"-")</f>
        <v>-</v>
      </c>
      <c r="W7" s="92" t="str">
        <f>IFERROR(IF(MOD($B7,5)=0, "누락 ","-" ),"-")</f>
        <v>-</v>
      </c>
      <c r="X7" s="92" t="str">
        <f>IFERROR(IF(MOD($B7,5)=0, "누락 ","-" ),"-")</f>
        <v>-</v>
      </c>
      <c r="Y7" s="92" t="str">
        <f>IFERROR(IF(MOD($B7,5)=0, "누락 ","-" ),"-")</f>
        <v>-</v>
      </c>
      <c r="Z7" s="92" t="str">
        <f>IFERROR(IF(MOD($B7,5)=0, "누락 ","-" ),"-")</f>
        <v>-</v>
      </c>
      <c r="AA7" s="92" t="str">
        <f>IFERROR(IF(MOD($B7,5)=0, "누락 ","-" ),"-")</f>
        <v>-</v>
      </c>
      <c r="AB7" s="92" t="str">
        <f>IFERROR(IF(MOD($B7,5)=0, "누락 ","-" ),"-")</f>
        <v>-</v>
      </c>
      <c r="AC7" s="92" t="str">
        <f>IFERROR(IF(MOD($B7,5)=0, "누락 ","-" ),"-")</f>
        <v>-</v>
      </c>
      <c r="AD7" s="92" t="str">
        <f t="shared" ref="AD7:AD21" si="2">IF(MOD($B7,40)=0, "필터세척 :"&amp; CHAR(10) &amp; "FLOW   (T1, T4 : / T2, T3 : / T4 : )","-" )</f>
        <v>-</v>
      </c>
      <c r="AE7" s="92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49" t="s">
        <v>40</v>
      </c>
      <c r="G8" s="49" t="str">
        <f>IF(NOT(LEN($I8)=0),G7,"")</f>
        <v>-</v>
      </c>
      <c r="H8" s="49" t="str">
        <f>IF(NOT(LEN($I8)=0),H7,"")</f>
        <v>-</v>
      </c>
      <c r="I8" s="49" t="s">
        <v>40</v>
      </c>
      <c r="J8" s="1"/>
      <c r="K8" s="50" t="str">
        <f t="shared" ref="K8:K17" si="3">IF(NOT(LEN($I8)=0),K7,"")</f>
        <v>VITA</v>
      </c>
      <c r="L8" s="50" t="str">
        <f t="shared" ref="L8:L17" si="4">IF(NOT(LEN($I8)=0),L7,"")</f>
        <v>MARK II</v>
      </c>
      <c r="M8" s="50">
        <f t="shared" ref="M8" si="5">IF(NOT(LEN($I8)=0),M7,"")</f>
        <v>160</v>
      </c>
      <c r="N8" s="50" t="str">
        <f>IF(NOT(LEN($I8)=0),N7,"")</f>
        <v>-</v>
      </c>
      <c r="O8" s="24">
        <f>IF(LEN(A8)&gt;0, 종합!$C$27, "")</f>
        <v>2.2599999999999998</v>
      </c>
      <c r="P8" s="1" t="s">
        <v>16</v>
      </c>
      <c r="Q8" s="92" t="str">
        <f>IFERROR(IF(MOD($B8,5)=0, "누락 ","-" ),"-")</f>
        <v>-</v>
      </c>
      <c r="R8" s="92" t="str">
        <f>IFERROR(IF(MOD($B8,5)=0, "누락 ","-" ),"-")</f>
        <v>-</v>
      </c>
      <c r="S8" s="92" t="str">
        <f>IFERROR(IF(MOD($B8,5)=0, "누락 ","-" ),"-")</f>
        <v>-</v>
      </c>
      <c r="T8" s="92" t="str">
        <f>IFERROR(IF(MOD($B8,5)=0, "누락 ","-" ),"-")</f>
        <v>-</v>
      </c>
      <c r="U8" s="92" t="str">
        <f>IFERROR(IF(MOD($B8,5)=0, "누락 ","-" ),"-")</f>
        <v>-</v>
      </c>
      <c r="V8" s="92" t="str">
        <f>IFERROR(IF(MOD($B8,5)=0, "누락 ","-" ),"-")</f>
        <v>-</v>
      </c>
      <c r="W8" s="92" t="str">
        <f>IFERROR(IF(MOD($B8,5)=0, "누락 ","-" ),"-")</f>
        <v>-</v>
      </c>
      <c r="X8" s="92" t="str">
        <f>IFERROR(IF(MOD($B8,5)=0, "누락 ","-" ),"-")</f>
        <v>-</v>
      </c>
      <c r="Y8" s="92" t="str">
        <f>IFERROR(IF(MOD($B8,5)=0, "누락 ","-" ),"-")</f>
        <v>-</v>
      </c>
      <c r="Z8" s="92" t="str">
        <f>IFERROR(IF(MOD($B8,5)=0, "누락 ","-" ),"-")</f>
        <v>-</v>
      </c>
      <c r="AA8" s="92" t="str">
        <f>IFERROR(IF(MOD($B8,5)=0, "누락 ","-" ),"-")</f>
        <v>-</v>
      </c>
      <c r="AB8" s="92" t="str">
        <f>IFERROR(IF(MOD($B8,5)=0, "누락 ","-" ),"-")</f>
        <v>-</v>
      </c>
      <c r="AC8" s="92" t="str">
        <f>IFERROR(IF(MOD($B8,5)=0, "누락 ","-" ),"-")</f>
        <v>-</v>
      </c>
      <c r="AD8" s="92" t="str">
        <f t="shared" si="2"/>
        <v>-</v>
      </c>
      <c r="AE8" s="92" t="str">
        <f t="shared" ref="AE8:AG21" si="6">IF($B8="","",
  IF(MOD($B8,160)=0,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 t="shared" ref="B9:B21" si="7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49" t="s">
        <v>40</v>
      </c>
      <c r="G9" s="49" t="str">
        <f t="shared" ref="G9:G19" si="8">IF(NOT(LEN($I9)=0),G8,"")</f>
        <v>-</v>
      </c>
      <c r="H9" s="49" t="str">
        <f t="shared" ref="H9:H19" si="9">IF(NOT(LEN($I9)=0),H8,"")</f>
        <v>-</v>
      </c>
      <c r="I9" s="49" t="s">
        <v>40</v>
      </c>
      <c r="J9" s="1"/>
      <c r="K9" s="50" t="str">
        <f t="shared" si="3"/>
        <v>VITA</v>
      </c>
      <c r="L9" s="50" t="str">
        <f t="shared" si="4"/>
        <v>MARK II</v>
      </c>
      <c r="M9" s="50">
        <f t="shared" ref="M9:M18" si="10">IF(NOT(LEN($I9)=0),M8,"")</f>
        <v>160</v>
      </c>
      <c r="N9" s="50" t="str">
        <f t="shared" ref="N9:N18" si="11">IF(NOT(LEN($I9)=0),N8,"")</f>
        <v>-</v>
      </c>
      <c r="O9" s="24">
        <f>IF(LEN(A9)&gt;0, 종합!$C$27, "")</f>
        <v>2.2599999999999998</v>
      </c>
      <c r="P9" s="1" t="s">
        <v>16</v>
      </c>
      <c r="Q9" s="92" t="str">
        <f>IFERROR(IF(MOD($B9,5)=0, "누락 ","-" ),"-")</f>
        <v>-</v>
      </c>
      <c r="R9" s="92" t="str">
        <f>IFERROR(IF(MOD($B9,5)=0, "누락 ","-" ),"-")</f>
        <v>-</v>
      </c>
      <c r="S9" s="92" t="str">
        <f>IFERROR(IF(MOD($B9,5)=0, "누락 ","-" ),"-")</f>
        <v>-</v>
      </c>
      <c r="T9" s="92" t="str">
        <f>IFERROR(IF(MOD($B9,5)=0, "누락 ","-" ),"-")</f>
        <v>-</v>
      </c>
      <c r="U9" s="92" t="str">
        <f>IFERROR(IF(MOD($B9,5)=0, "누락 ","-" ),"-")</f>
        <v>-</v>
      </c>
      <c r="V9" s="92" t="str">
        <f>IFERROR(IF(MOD($B9,5)=0, "누락 ","-" ),"-")</f>
        <v>-</v>
      </c>
      <c r="W9" s="92" t="str">
        <f>IFERROR(IF(MOD($B9,5)=0, "누락 ","-" ),"-")</f>
        <v>-</v>
      </c>
      <c r="X9" s="92" t="str">
        <f>IFERROR(IF(MOD($B9,5)=0, "누락 ","-" ),"-")</f>
        <v>-</v>
      </c>
      <c r="Y9" s="92" t="str">
        <f>IFERROR(IF(MOD($B9,5)=0, "누락 ","-" ),"-")</f>
        <v>-</v>
      </c>
      <c r="Z9" s="92" t="str">
        <f>IFERROR(IF(MOD($B9,5)=0, "누락 ","-" ),"-")</f>
        <v>-</v>
      </c>
      <c r="AA9" s="92" t="str">
        <f>IFERROR(IF(MOD($B9,5)=0, "누락 ","-" ),"-")</f>
        <v>-</v>
      </c>
      <c r="AB9" s="92" t="str">
        <f>IFERROR(IF(MOD($B9,5)=0, "누락 ","-" ),"-")</f>
        <v>-</v>
      </c>
      <c r="AC9" s="92" t="str">
        <f>IFERROR(IF(MOD($B9,5)=0, "누락 ","-" ),"-")</f>
        <v>-</v>
      </c>
      <c r="AD9" s="92" t="str">
        <f t="shared" si="2"/>
        <v>-</v>
      </c>
      <c r="AE9" s="92" t="str">
        <f t="shared" si="6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 t="shared" si="7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tr">
        <f t="shared" si="8"/>
        <v>-</v>
      </c>
      <c r="H10" s="49" t="str">
        <f t="shared" si="9"/>
        <v>-</v>
      </c>
      <c r="I10" s="49" t="s">
        <v>40</v>
      </c>
      <c r="J10" s="1"/>
      <c r="K10" s="50" t="str">
        <f t="shared" si="3"/>
        <v>VITA</v>
      </c>
      <c r="L10" s="50" t="str">
        <f t="shared" si="4"/>
        <v>MARK II</v>
      </c>
      <c r="M10" s="50">
        <f t="shared" si="10"/>
        <v>160</v>
      </c>
      <c r="N10" s="50" t="str">
        <f t="shared" si="11"/>
        <v>-</v>
      </c>
      <c r="O10" s="24">
        <f>IF(LEN(A10)&gt;0, 종합!$C$27, "")</f>
        <v>2.2599999999999998</v>
      </c>
      <c r="P10" s="1" t="s">
        <v>16</v>
      </c>
      <c r="Q10" s="92" t="str">
        <f>IFERROR(IF(MOD($B10,5)=0, "누락 ","-" ),"-")</f>
        <v>-</v>
      </c>
      <c r="R10" s="92" t="str">
        <f>IFERROR(IF(MOD($B10,5)=0, "누락 ","-" ),"-")</f>
        <v>-</v>
      </c>
      <c r="S10" s="92" t="str">
        <f>IFERROR(IF(MOD($B10,5)=0, "누락 ","-" ),"-")</f>
        <v>-</v>
      </c>
      <c r="T10" s="92" t="str">
        <f>IFERROR(IF(MOD($B10,5)=0, "누락 ","-" ),"-")</f>
        <v>-</v>
      </c>
      <c r="U10" s="92" t="str">
        <f>IFERROR(IF(MOD($B10,5)=0, "누락 ","-" ),"-")</f>
        <v>-</v>
      </c>
      <c r="V10" s="92" t="str">
        <f>IFERROR(IF(MOD($B10,5)=0, "누락 ","-" ),"-")</f>
        <v>-</v>
      </c>
      <c r="W10" s="92" t="str">
        <f>IFERROR(IF(MOD($B10,5)=0, "누락 ","-" ),"-")</f>
        <v>-</v>
      </c>
      <c r="X10" s="92" t="str">
        <f>IFERROR(IF(MOD($B10,5)=0, "누락 ","-" ),"-")</f>
        <v>-</v>
      </c>
      <c r="Y10" s="92" t="str">
        <f>IFERROR(IF(MOD($B10,5)=0, "누락 ","-" ),"-")</f>
        <v>-</v>
      </c>
      <c r="Z10" s="92" t="str">
        <f>IFERROR(IF(MOD($B10,5)=0, "누락 ","-" ),"-")</f>
        <v>-</v>
      </c>
      <c r="AA10" s="92" t="str">
        <f>IFERROR(IF(MOD($B10,5)=0, "누락 ","-" ),"-")</f>
        <v>-</v>
      </c>
      <c r="AB10" s="92" t="str">
        <f>IFERROR(IF(MOD($B10,5)=0, "누락 ","-" ),"-")</f>
        <v>-</v>
      </c>
      <c r="AC10" s="92" t="str">
        <f>IFERROR(IF(MOD($B10,5)=0, "누락 ","-" ),"-")</f>
        <v>-</v>
      </c>
      <c r="AD10" s="92" t="str">
        <f t="shared" si="2"/>
        <v>-</v>
      </c>
      <c r="AE10" s="92" t="str">
        <f t="shared" si="6"/>
        <v>-</v>
      </c>
      <c r="AF10" s="1" t="s">
        <v>16</v>
      </c>
      <c r="AG10" s="1" t="s">
        <v>16</v>
      </c>
    </row>
    <row r="11" spans="1:42" x14ac:dyDescent="0.45">
      <c r="A11" s="3">
        <v>45971</v>
      </c>
      <c r="B11" s="24">
        <f t="shared" si="7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49" t="s">
        <v>40</v>
      </c>
      <c r="G11" s="49" t="str">
        <f t="shared" si="8"/>
        <v>-</v>
      </c>
      <c r="H11" s="49" t="str">
        <f t="shared" si="9"/>
        <v>-</v>
      </c>
      <c r="I11" s="49" t="s">
        <v>40</v>
      </c>
      <c r="J11" s="1"/>
      <c r="K11" s="50" t="str">
        <f t="shared" si="3"/>
        <v>VITA</v>
      </c>
      <c r="L11" s="50" t="str">
        <f t="shared" si="4"/>
        <v>MARK II</v>
      </c>
      <c r="M11" s="50">
        <f t="shared" si="10"/>
        <v>160</v>
      </c>
      <c r="N11" s="50" t="str">
        <f t="shared" si="11"/>
        <v>-</v>
      </c>
      <c r="O11" s="24">
        <f>IF(LEN(A11)&gt;0, 종합!$C$27, "")</f>
        <v>2.2599999999999998</v>
      </c>
      <c r="P11" s="1" t="s">
        <v>16</v>
      </c>
      <c r="Q11" s="92" t="s">
        <v>122</v>
      </c>
      <c r="R11" s="92" t="s">
        <v>122</v>
      </c>
      <c r="S11" s="92" t="s">
        <v>122</v>
      </c>
      <c r="T11" s="92" t="s">
        <v>122</v>
      </c>
      <c r="U11" s="92" t="s">
        <v>45</v>
      </c>
      <c r="V11" s="92" t="s">
        <v>46</v>
      </c>
      <c r="W11" s="92" t="s">
        <v>47</v>
      </c>
      <c r="X11" s="92" t="s">
        <v>48</v>
      </c>
      <c r="Y11" s="92" t="str">
        <f>IF(MOD($B11,5)=0, "누락","-" )</f>
        <v>누락</v>
      </c>
      <c r="Z11" s="92" t="str">
        <f>IF(MOD($B11,5)=0, "누락","-" )</f>
        <v>누락</v>
      </c>
      <c r="AA11" s="92" t="str">
        <f>IF(MOD($B11,5)=0, "누락","-" )</f>
        <v>누락</v>
      </c>
      <c r="AB11" s="92" t="str">
        <f>IF(MOD($B11,5)=0, "누락","-" )</f>
        <v>누락</v>
      </c>
      <c r="AC11" s="92" t="s">
        <v>122</v>
      </c>
      <c r="AD11" s="92" t="str">
        <f t="shared" si="2"/>
        <v>-</v>
      </c>
      <c r="AE11" s="92" t="str">
        <f t="shared" si="6"/>
        <v>-</v>
      </c>
      <c r="AF11" s="1" t="s">
        <v>16</v>
      </c>
      <c r="AG11" s="1" t="s">
        <v>16</v>
      </c>
    </row>
    <row r="12" spans="1:42" x14ac:dyDescent="0.45">
      <c r="A12" s="3">
        <v>45971</v>
      </c>
      <c r="B12" s="24">
        <f t="shared" si="7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49" t="s">
        <v>40</v>
      </c>
      <c r="G12" s="49" t="str">
        <f t="shared" si="8"/>
        <v>-</v>
      </c>
      <c r="H12" s="49" t="str">
        <f t="shared" si="9"/>
        <v>-</v>
      </c>
      <c r="I12" s="49" t="s">
        <v>40</v>
      </c>
      <c r="J12" s="1"/>
      <c r="K12" s="50" t="str">
        <f t="shared" si="3"/>
        <v>VITA</v>
      </c>
      <c r="L12" s="50" t="str">
        <f t="shared" si="4"/>
        <v>MARK II</v>
      </c>
      <c r="M12" s="50">
        <f t="shared" si="10"/>
        <v>160</v>
      </c>
      <c r="N12" s="50" t="str">
        <f t="shared" si="11"/>
        <v>-</v>
      </c>
      <c r="O12" s="24">
        <f>IF(LEN(A12)&gt;0, 종합!$C$27, "")</f>
        <v>2.2599999999999998</v>
      </c>
      <c r="P12" s="1" t="s">
        <v>16</v>
      </c>
      <c r="Q12" s="92" t="str">
        <f>IFERROR(IF(MOD($B12,5)=0, "누락 ","-" ),"-")</f>
        <v>-</v>
      </c>
      <c r="R12" s="92" t="str">
        <f>IFERROR(IF(MOD($B12,5)=0, "누락 ","-" ),"-")</f>
        <v>-</v>
      </c>
      <c r="S12" s="92" t="str">
        <f>IFERROR(IF(MOD($B12,5)=0, "누락 ","-" ),"-")</f>
        <v>-</v>
      </c>
      <c r="T12" s="92" t="str">
        <f>IFERROR(IF(MOD($B12,5)=0, "누락 ","-" ),"-")</f>
        <v>-</v>
      </c>
      <c r="U12" s="92" t="str">
        <f>IFERROR(IF(MOD($B12,5)=0, "누락 ","-" ),"-")</f>
        <v>-</v>
      </c>
      <c r="V12" s="92" t="str">
        <f>IFERROR(IF(MOD($B12,5)=0, "누락 ","-" ),"-")</f>
        <v>-</v>
      </c>
      <c r="W12" s="92" t="str">
        <f>IFERROR(IF(MOD($B12,5)=0, "누락 ","-" ),"-")</f>
        <v>-</v>
      </c>
      <c r="X12" s="92" t="str">
        <f>IFERROR(IF(MOD($B12,5)=0, "누락 ","-" ),"-")</f>
        <v>-</v>
      </c>
      <c r="Y12" s="92" t="str">
        <f>IFERROR(IF(MOD($B12,5)=0, "누락 ","-" ),"-")</f>
        <v>-</v>
      </c>
      <c r="Z12" s="92" t="str">
        <f>IFERROR(IF(MOD($B12,5)=0, "누락 ","-" ),"-")</f>
        <v>-</v>
      </c>
      <c r="AA12" s="92" t="str">
        <f>IFERROR(IF(MOD($B12,5)=0, "누락 ","-" ),"-")</f>
        <v>-</v>
      </c>
      <c r="AB12" s="92" t="str">
        <f>IFERROR(IF(MOD($B12,5)=0, "누락 ","-" ),"-")</f>
        <v>-</v>
      </c>
      <c r="AC12" s="92" t="str">
        <f>IFERROR(IF(MOD($B12,5)=0, "누락 ","-" ),"-")</f>
        <v>-</v>
      </c>
      <c r="AD12" s="92" t="str">
        <f t="shared" si="2"/>
        <v>-</v>
      </c>
      <c r="AE12" s="92" t="str">
        <f t="shared" si="6"/>
        <v>-</v>
      </c>
      <c r="AF12" s="1" t="s">
        <v>16</v>
      </c>
      <c r="AG12" s="1" t="s">
        <v>16</v>
      </c>
    </row>
    <row r="13" spans="1:42" x14ac:dyDescent="0.45">
      <c r="A13" s="3">
        <v>45972</v>
      </c>
      <c r="B13" s="24">
        <f t="shared" si="7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49">
        <v>0</v>
      </c>
      <c r="G13" s="49" t="str">
        <f t="shared" si="8"/>
        <v>-</v>
      </c>
      <c r="H13" s="49" t="str">
        <f t="shared" si="9"/>
        <v>-</v>
      </c>
      <c r="I13" s="49">
        <v>0</v>
      </c>
      <c r="J13" s="1"/>
      <c r="K13" s="50" t="str">
        <f t="shared" si="3"/>
        <v>VITA</v>
      </c>
      <c r="L13" s="50" t="str">
        <f t="shared" si="4"/>
        <v>MARK II</v>
      </c>
      <c r="M13" s="50">
        <f t="shared" si="10"/>
        <v>160</v>
      </c>
      <c r="N13" s="50" t="str">
        <f t="shared" si="11"/>
        <v>-</v>
      </c>
      <c r="O13" s="24">
        <f>IF(LEN(A13)&gt;0, 종합!$C$27, "")</f>
        <v>2.2599999999999998</v>
      </c>
      <c r="P13" s="1" t="s">
        <v>16</v>
      </c>
      <c r="Q13" s="92" t="str">
        <f>IFERROR(IF(MOD($B13,5)=0, "누락 ","-" ),"-")</f>
        <v>-</v>
      </c>
      <c r="R13" s="92" t="str">
        <f>IFERROR(IF(MOD($B13,5)=0, "누락 ","-" ),"-")</f>
        <v>-</v>
      </c>
      <c r="S13" s="92" t="str">
        <f>IFERROR(IF(MOD($B13,5)=0, "누락 ","-" ),"-")</f>
        <v>-</v>
      </c>
      <c r="T13" s="92" t="str">
        <f>IFERROR(IF(MOD($B13,5)=0, "누락 ","-" ),"-")</f>
        <v>-</v>
      </c>
      <c r="U13" s="92" t="str">
        <f>IFERROR(IF(MOD($B13,5)=0, "누락 ","-" ),"-")</f>
        <v>-</v>
      </c>
      <c r="V13" s="92" t="str">
        <f>IFERROR(IF(MOD($B13,5)=0, "누락 ","-" ),"-")</f>
        <v>-</v>
      </c>
      <c r="W13" s="92" t="str">
        <f>IFERROR(IF(MOD($B13,5)=0, "누락 ","-" ),"-")</f>
        <v>-</v>
      </c>
      <c r="X13" s="92" t="str">
        <f>IFERROR(IF(MOD($B13,5)=0, "누락 ","-" ),"-")</f>
        <v>-</v>
      </c>
      <c r="Y13" s="92" t="str">
        <f>IFERROR(IF(MOD($B13,5)=0, "누락 ","-" ),"-")</f>
        <v>-</v>
      </c>
      <c r="Z13" s="92" t="str">
        <f>IFERROR(IF(MOD($B13,5)=0, "누락 ","-" ),"-")</f>
        <v>-</v>
      </c>
      <c r="AA13" s="92" t="str">
        <f>IFERROR(IF(MOD($B13,5)=0, "누락 ","-" ),"-")</f>
        <v>-</v>
      </c>
      <c r="AB13" s="92" t="str">
        <f>IFERROR(IF(MOD($B13,5)=0, "누락 ","-" ),"-")</f>
        <v>-</v>
      </c>
      <c r="AC13" s="92" t="str">
        <f>IFERROR(IF(MOD($B13,5)=0, "누락 ","-" ),"-")</f>
        <v>-</v>
      </c>
      <c r="AD13" s="92" t="str">
        <f t="shared" si="2"/>
        <v>-</v>
      </c>
      <c r="AE13" s="92" t="str">
        <f t="shared" si="6"/>
        <v>-</v>
      </c>
      <c r="AF13" s="1" t="s">
        <v>16</v>
      </c>
      <c r="AG13" s="1" t="s">
        <v>16</v>
      </c>
    </row>
    <row r="14" spans="1:42" x14ac:dyDescent="0.45">
      <c r="A14" s="3">
        <v>45972</v>
      </c>
      <c r="B14" s="24">
        <f t="shared" si="7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49">
        <f>IF(NOT(LEN($A14)=0),IF(F13+1&gt;15,"버교체요망",F13+1),"")</f>
        <v>1</v>
      </c>
      <c r="G14" s="49" t="str">
        <f t="shared" si="8"/>
        <v>-</v>
      </c>
      <c r="H14" s="49" t="str">
        <f t="shared" si="9"/>
        <v>-</v>
      </c>
      <c r="I14" s="49">
        <f>IF(NOT(LEN($A14)=0),IF(I13+1&gt;15,"버교체요망",I13+1),"")</f>
        <v>1</v>
      </c>
      <c r="J14" s="1"/>
      <c r="K14" s="50" t="str">
        <f t="shared" si="3"/>
        <v>VITA</v>
      </c>
      <c r="L14" s="50" t="str">
        <f t="shared" si="4"/>
        <v>MARK II</v>
      </c>
      <c r="M14" s="50">
        <f t="shared" si="10"/>
        <v>160</v>
      </c>
      <c r="N14" s="50" t="str">
        <f t="shared" si="11"/>
        <v>-</v>
      </c>
      <c r="O14" s="24">
        <f>IF(LEN(A14)&gt;0, 종합!$C$27, "")</f>
        <v>2.2599999999999998</v>
      </c>
      <c r="P14" s="1" t="s">
        <v>16</v>
      </c>
      <c r="Q14" s="92" t="str">
        <f>IFERROR(IF(MOD($B14,5)=0, "누락 ","-" ),"-")</f>
        <v>-</v>
      </c>
      <c r="R14" s="92" t="str">
        <f>IFERROR(IF(MOD($B14,5)=0, "누락 ","-" ),"-")</f>
        <v>-</v>
      </c>
      <c r="S14" s="92" t="str">
        <f>IFERROR(IF(MOD($B14,5)=0, "누락 ","-" ),"-")</f>
        <v>-</v>
      </c>
      <c r="T14" s="92" t="str">
        <f>IFERROR(IF(MOD($B14,5)=0, "누락 ","-" ),"-")</f>
        <v>-</v>
      </c>
      <c r="U14" s="92" t="str">
        <f>IFERROR(IF(MOD($B14,5)=0, "누락 ","-" ),"-")</f>
        <v>-</v>
      </c>
      <c r="V14" s="92" t="str">
        <f>IFERROR(IF(MOD($B14,5)=0, "누락 ","-" ),"-")</f>
        <v>-</v>
      </c>
      <c r="W14" s="92" t="str">
        <f>IFERROR(IF(MOD($B14,5)=0, "누락 ","-" ),"-")</f>
        <v>-</v>
      </c>
      <c r="X14" s="92" t="str">
        <f>IFERROR(IF(MOD($B14,5)=0, "누락 ","-" ),"-")</f>
        <v>-</v>
      </c>
      <c r="Y14" s="92" t="str">
        <f>IFERROR(IF(MOD($B14,5)=0, "누락 ","-" ),"-")</f>
        <v>-</v>
      </c>
      <c r="Z14" s="92" t="str">
        <f>IFERROR(IF(MOD($B14,5)=0, "누락 ","-" ),"-")</f>
        <v>-</v>
      </c>
      <c r="AA14" s="92" t="str">
        <f>IFERROR(IF(MOD($B14,5)=0, "누락 ","-" ),"-")</f>
        <v>-</v>
      </c>
      <c r="AB14" s="92" t="str">
        <f>IFERROR(IF(MOD($B14,5)=0, "누락 ","-" ),"-")</f>
        <v>-</v>
      </c>
      <c r="AC14" s="92" t="str">
        <f>IFERROR(IF(MOD($B14,5)=0, "누락 ","-" ),"-")</f>
        <v>-</v>
      </c>
      <c r="AD14" s="92" t="str">
        <f t="shared" si="2"/>
        <v>-</v>
      </c>
      <c r="AE14" s="92" t="str">
        <f t="shared" si="6"/>
        <v>-</v>
      </c>
      <c r="AF14" s="1" t="s">
        <v>16</v>
      </c>
      <c r="AG14" s="1" t="s">
        <v>16</v>
      </c>
    </row>
    <row r="15" spans="1:42" x14ac:dyDescent="0.45">
      <c r="A15" s="3">
        <v>45972</v>
      </c>
      <c r="B15" s="24">
        <f t="shared" si="7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49">
        <f t="shared" ref="F15:F21" si="12">IF(NOT(LEN($A15)=0),IF(F14+1&gt;15,"버교체요망",F14+1),"")</f>
        <v>2</v>
      </c>
      <c r="G15" s="49" t="str">
        <f t="shared" si="8"/>
        <v>-</v>
      </c>
      <c r="H15" s="49" t="str">
        <f t="shared" si="9"/>
        <v>-</v>
      </c>
      <c r="I15" s="49">
        <f t="shared" ref="I15:I21" si="13">IF(NOT(LEN($A15)=0),IF(I14+1&gt;15,"버교체요망",I14+1),"")</f>
        <v>2</v>
      </c>
      <c r="J15" s="1"/>
      <c r="K15" s="50" t="str">
        <f t="shared" si="3"/>
        <v>VITA</v>
      </c>
      <c r="L15" s="50" t="str">
        <f t="shared" si="4"/>
        <v>MARK II</v>
      </c>
      <c r="M15" s="50">
        <f t="shared" si="10"/>
        <v>160</v>
      </c>
      <c r="N15" s="50" t="str">
        <f t="shared" si="11"/>
        <v>-</v>
      </c>
      <c r="O15" s="24">
        <f>IF(LEN(A15)&gt;0, 종합!$C$27, "")</f>
        <v>2.2599999999999998</v>
      </c>
      <c r="P15" s="1" t="s">
        <v>16</v>
      </c>
      <c r="Q15" s="92" t="str">
        <f>IFERROR(IF(MOD($B15,5)=0, "누락 ","-" ),"-")</f>
        <v>-</v>
      </c>
      <c r="R15" s="92" t="str">
        <f>IFERROR(IF(MOD($B15,5)=0, "누락 ","-" ),"-")</f>
        <v>-</v>
      </c>
      <c r="S15" s="92" t="str">
        <f>IFERROR(IF(MOD($B15,5)=0, "누락 ","-" ),"-")</f>
        <v>-</v>
      </c>
      <c r="T15" s="92" t="str">
        <f>IFERROR(IF(MOD($B15,5)=0, "누락 ","-" ),"-")</f>
        <v>-</v>
      </c>
      <c r="U15" s="92" t="str">
        <f>IFERROR(IF(MOD($B15,5)=0, "누락 ","-" ),"-")</f>
        <v>-</v>
      </c>
      <c r="V15" s="92" t="str">
        <f>IFERROR(IF(MOD($B15,5)=0, "누락 ","-" ),"-")</f>
        <v>-</v>
      </c>
      <c r="W15" s="92" t="str">
        <f>IFERROR(IF(MOD($B15,5)=0, "누락 ","-" ),"-")</f>
        <v>-</v>
      </c>
      <c r="X15" s="92" t="str">
        <f>IFERROR(IF(MOD($B15,5)=0, "누락 ","-" ),"-")</f>
        <v>-</v>
      </c>
      <c r="Y15" s="92" t="str">
        <f>IFERROR(IF(MOD($B15,5)=0, "누락 ","-" ),"-")</f>
        <v>-</v>
      </c>
      <c r="Z15" s="92" t="str">
        <f>IFERROR(IF(MOD($B15,5)=0, "누락 ","-" ),"-")</f>
        <v>-</v>
      </c>
      <c r="AA15" s="92" t="str">
        <f>IFERROR(IF(MOD($B15,5)=0, "누락 ","-" ),"-")</f>
        <v>-</v>
      </c>
      <c r="AB15" s="92" t="str">
        <f>IFERROR(IF(MOD($B15,5)=0, "누락 ","-" ),"-")</f>
        <v>-</v>
      </c>
      <c r="AC15" s="92" t="str">
        <f>IFERROR(IF(MOD($B15,5)=0, "누락 ","-" ),"-")</f>
        <v>-</v>
      </c>
      <c r="AD15" s="92" t="str">
        <f t="shared" si="2"/>
        <v>-</v>
      </c>
      <c r="AE15" s="92" t="str">
        <f t="shared" si="6"/>
        <v>-</v>
      </c>
      <c r="AF15" s="1" t="s">
        <v>16</v>
      </c>
      <c r="AG15" s="1" t="s">
        <v>16</v>
      </c>
    </row>
    <row r="16" spans="1:42" x14ac:dyDescent="0.45">
      <c r="A16" s="3">
        <v>45972</v>
      </c>
      <c r="B16" s="24">
        <f t="shared" si="7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49">
        <f t="shared" si="12"/>
        <v>3</v>
      </c>
      <c r="G16" s="49" t="str">
        <f t="shared" si="8"/>
        <v>-</v>
      </c>
      <c r="H16" s="49" t="str">
        <f t="shared" si="9"/>
        <v>-</v>
      </c>
      <c r="I16" s="49">
        <f t="shared" si="13"/>
        <v>3</v>
      </c>
      <c r="J16" s="1"/>
      <c r="K16" s="50" t="str">
        <f t="shared" si="3"/>
        <v>VITA</v>
      </c>
      <c r="L16" s="50" t="str">
        <f t="shared" si="4"/>
        <v>MARK II</v>
      </c>
      <c r="M16" s="50">
        <f t="shared" si="10"/>
        <v>160</v>
      </c>
      <c r="N16" s="50" t="str">
        <f t="shared" si="11"/>
        <v>-</v>
      </c>
      <c r="O16" s="24">
        <f>IF(LEN(A16)&gt;0, 종합!$C$27, "")</f>
        <v>2.2599999999999998</v>
      </c>
      <c r="P16" s="1" t="s">
        <v>16</v>
      </c>
      <c r="Q16" s="92" t="s">
        <v>122</v>
      </c>
      <c r="R16" s="92" t="s">
        <v>122</v>
      </c>
      <c r="S16" s="92" t="s">
        <v>122</v>
      </c>
      <c r="T16" s="92" t="s">
        <v>122</v>
      </c>
      <c r="U16" s="92" t="str">
        <f>IFERROR(IF(MOD($B16,5)=0, "누락 ","-" ),"-")</f>
        <v xml:space="preserve">누락 </v>
      </c>
      <c r="V16" s="92" t="str">
        <f>IFERROR(IF(MOD($B16,5)=0, "누락 ","-" ),"-")</f>
        <v xml:space="preserve">누락 </v>
      </c>
      <c r="W16" s="92" t="str">
        <f>IFERROR(IF(MOD($B16,5)=0, "누락 ","-" ),"-")</f>
        <v xml:space="preserve">누락 </v>
      </c>
      <c r="X16" s="92" t="str">
        <f>IFERROR(IF(MOD($B16,5)=0, "누락 ","-" ),"-")</f>
        <v xml:space="preserve">누락 </v>
      </c>
      <c r="Y16" s="92" t="str">
        <f>IFERROR(IF(MOD($B16,5)=0, "누락 ","-" ),"-")</f>
        <v xml:space="preserve">누락 </v>
      </c>
      <c r="Z16" s="92" t="str">
        <f>IFERROR(IF(MOD($B16,5)=0, "누락 ","-" ),"-")</f>
        <v xml:space="preserve">누락 </v>
      </c>
      <c r="AA16" s="92" t="str">
        <f>IFERROR(IF(MOD($B16,5)=0, "누락 ","-" ),"-")</f>
        <v xml:space="preserve">누락 </v>
      </c>
      <c r="AB16" s="92" t="str">
        <f>IFERROR(IF(MOD($B16,5)=0, "누락 ","-" ),"-")</f>
        <v xml:space="preserve">누락 </v>
      </c>
      <c r="AC16" s="92" t="str">
        <f>IFERROR(IF(MOD($B16,5)=0, "누락 ","-" ),"-")</f>
        <v xml:space="preserve">누락 </v>
      </c>
      <c r="AD16" s="92" t="str">
        <f t="shared" si="2"/>
        <v>-</v>
      </c>
      <c r="AE16" s="92" t="str">
        <f t="shared" si="6"/>
        <v>-</v>
      </c>
      <c r="AF16" s="1" t="s">
        <v>16</v>
      </c>
      <c r="AG16" s="1" t="s">
        <v>16</v>
      </c>
    </row>
    <row r="17" spans="1:33" x14ac:dyDescent="0.45">
      <c r="A17" s="3">
        <v>45973</v>
      </c>
      <c r="B17" s="24">
        <f t="shared" si="7"/>
        <v>11</v>
      </c>
      <c r="C17" s="7" t="str">
        <f t="shared" si="0"/>
        <v>Dimensions: L W H</v>
      </c>
      <c r="D17" s="6" t="str">
        <f t="shared" si="1"/>
        <v>완료</v>
      </c>
      <c r="E17" s="24">
        <v>21</v>
      </c>
      <c r="F17" s="49">
        <f t="shared" si="12"/>
        <v>4</v>
      </c>
      <c r="G17" s="49" t="str">
        <f t="shared" si="8"/>
        <v>-</v>
      </c>
      <c r="H17" s="49" t="str">
        <f t="shared" si="9"/>
        <v>-</v>
      </c>
      <c r="I17" s="49">
        <f t="shared" si="13"/>
        <v>4</v>
      </c>
      <c r="J17" s="1"/>
      <c r="K17" s="50" t="str">
        <f t="shared" si="3"/>
        <v>VITA</v>
      </c>
      <c r="L17" s="50" t="str">
        <f t="shared" si="4"/>
        <v>MARK II</v>
      </c>
      <c r="M17" s="50">
        <f t="shared" si="10"/>
        <v>160</v>
      </c>
      <c r="N17" s="50" t="str">
        <f t="shared" si="11"/>
        <v>-</v>
      </c>
      <c r="O17" s="24">
        <f>IF(LEN(A17)&gt;0, 종합!$C$27, "")</f>
        <v>2.2599999999999998</v>
      </c>
      <c r="P17" s="1" t="s">
        <v>16</v>
      </c>
      <c r="Q17" s="92" t="str">
        <f>IFERROR(IF(MOD($B17,5)=0, "누락 ","-" ),"-")</f>
        <v>-</v>
      </c>
      <c r="R17" s="92" t="str">
        <f>IFERROR(IF(MOD($B17,5)=0, "누락 ","-" ),"-")</f>
        <v>-</v>
      </c>
      <c r="S17" s="92" t="str">
        <f>IFERROR(IF(MOD($B17,5)=0, "누락 ","-" ),"-")</f>
        <v>-</v>
      </c>
      <c r="T17" s="92" t="str">
        <f>IFERROR(IF(MOD($B17,5)=0, "누락 ","-" ),"-")</f>
        <v>-</v>
      </c>
      <c r="U17" s="92" t="str">
        <f>IFERROR(IF(MOD($B17,5)=0, "누락 ","-" ),"-")</f>
        <v>-</v>
      </c>
      <c r="V17" s="92" t="str">
        <f>IFERROR(IF(MOD($B17,5)=0, "누락 ","-" ),"-")</f>
        <v>-</v>
      </c>
      <c r="W17" s="92" t="str">
        <f>IFERROR(IF(MOD($B17,5)=0, "누락 ","-" ),"-")</f>
        <v>-</v>
      </c>
      <c r="X17" s="92" t="str">
        <f>IFERROR(IF(MOD($B17,5)=0, "누락 ","-" ),"-")</f>
        <v>-</v>
      </c>
      <c r="Y17" s="92" t="str">
        <f>IFERROR(IF(MOD($B17,5)=0, "누락 ","-" ),"-")</f>
        <v>-</v>
      </c>
      <c r="Z17" s="92" t="str">
        <f>IFERROR(IF(MOD($B17,5)=0, "누락 ","-" ),"-")</f>
        <v>-</v>
      </c>
      <c r="AA17" s="92" t="str">
        <f>IFERROR(IF(MOD($B17,5)=0, "누락 ","-" ),"-")</f>
        <v>-</v>
      </c>
      <c r="AB17" s="92" t="str">
        <f>IFERROR(IF(MOD($B17,5)=0, "누락 ","-" ),"-")</f>
        <v>-</v>
      </c>
      <c r="AC17" s="92" t="str">
        <f>IFERROR(IF(MOD($B17,5)=0, "누락 ","-" ),"-")</f>
        <v>-</v>
      </c>
      <c r="AD17" s="92" t="str">
        <f t="shared" si="2"/>
        <v>-</v>
      </c>
      <c r="AE17" s="92" t="str">
        <f t="shared" si="6"/>
        <v>-</v>
      </c>
      <c r="AF17" s="1" t="s">
        <v>16</v>
      </c>
      <c r="AG17" s="1" t="s">
        <v>16</v>
      </c>
    </row>
    <row r="18" spans="1:33" x14ac:dyDescent="0.45">
      <c r="A18" s="3">
        <v>45973</v>
      </c>
      <c r="B18" s="24">
        <f t="shared" si="7"/>
        <v>12</v>
      </c>
      <c r="C18" s="7" t="str">
        <f t="shared" si="0"/>
        <v>Dimensions: L W H</v>
      </c>
      <c r="D18" s="6" t="str">
        <f t="shared" si="1"/>
        <v>완료</v>
      </c>
      <c r="E18" s="24">
        <v>23</v>
      </c>
      <c r="F18" s="49">
        <f t="shared" si="12"/>
        <v>5</v>
      </c>
      <c r="G18" s="49" t="str">
        <f t="shared" si="8"/>
        <v>-</v>
      </c>
      <c r="H18" s="49" t="str">
        <f t="shared" si="9"/>
        <v>-</v>
      </c>
      <c r="I18" s="49">
        <f t="shared" si="13"/>
        <v>5</v>
      </c>
      <c r="J18" s="1"/>
      <c r="K18" s="50" t="str">
        <f>IF(NOT(LEN($I18)=0),K17,"")</f>
        <v>VITA</v>
      </c>
      <c r="L18" s="50" t="str">
        <f>IF(NOT(LEN($I18)=0),L17,"")</f>
        <v>MARK II</v>
      </c>
      <c r="M18" s="50">
        <f t="shared" si="10"/>
        <v>160</v>
      </c>
      <c r="N18" s="50" t="str">
        <f t="shared" si="11"/>
        <v>-</v>
      </c>
      <c r="O18" s="24">
        <f>IF(LEN(A18)&gt;0, 종합!$C$27, "")</f>
        <v>2.2599999999999998</v>
      </c>
      <c r="P18" s="1"/>
      <c r="Q18" s="92" t="str">
        <f>IF(MOD($B18,5)=0, "누락 ","-" )</f>
        <v>-</v>
      </c>
      <c r="R18" s="92" t="str">
        <f>IF(MOD($B18,5)=0, "누락 ","-" )</f>
        <v>-</v>
      </c>
      <c r="S18" s="92" t="str">
        <f>IF(MOD($B18,5)=0, "누락 ","-" )</f>
        <v>-</v>
      </c>
      <c r="T18" s="92" t="str">
        <f>IF(MOD($B18,5)=0, "누락 ","-" )</f>
        <v>-</v>
      </c>
      <c r="U18" s="92" t="str">
        <f>IF(MOD($B18,5)=0, "누락","-" )</f>
        <v>-</v>
      </c>
      <c r="V18" s="92" t="str">
        <f>IF(MOD($B18,5)=0, "누락","-" )</f>
        <v>-</v>
      </c>
      <c r="W18" s="92" t="str">
        <f>IF(MOD($B18,5)=0, "누락","-" )</f>
        <v>-</v>
      </c>
      <c r="X18" s="92" t="str">
        <f>IF(MOD($B18,5)=0, "누락","-" )</f>
        <v>-</v>
      </c>
      <c r="Y18" s="92" t="str">
        <f>IF(MOD($B18,5)=0, "누락","-" )</f>
        <v>-</v>
      </c>
      <c r="Z18" s="92" t="str">
        <f>IF(MOD($B18,5)=0, "누락","-" )</f>
        <v>-</v>
      </c>
      <c r="AA18" s="92" t="str">
        <f>IF(MOD($B18,5)=0, "누락","-" )</f>
        <v>-</v>
      </c>
      <c r="AB18" s="92" t="str">
        <f>IF(MOD($B18,5)=0, "누락","-" )</f>
        <v>-</v>
      </c>
      <c r="AC18" s="92" t="str">
        <f>IF(MOD($B18,5)=0, "누락","-" )</f>
        <v>-</v>
      </c>
      <c r="AD18" s="92" t="str">
        <f t="shared" si="2"/>
        <v>-</v>
      </c>
      <c r="AE18" s="92" t="str">
        <f t="shared" si="6"/>
        <v>-</v>
      </c>
      <c r="AF18" s="1" t="s">
        <v>16</v>
      </c>
      <c r="AG18" s="1" t="s">
        <v>16</v>
      </c>
    </row>
    <row r="19" spans="1:33" x14ac:dyDescent="0.45">
      <c r="A19" s="3">
        <v>45973</v>
      </c>
      <c r="B19" s="24">
        <f t="shared" si="7"/>
        <v>13</v>
      </c>
      <c r="C19" s="7" t="str">
        <f t="shared" si="0"/>
        <v>Dimensions: L W H</v>
      </c>
      <c r="D19" s="6" t="str">
        <f t="shared" si="1"/>
        <v>완료</v>
      </c>
      <c r="E19" s="49">
        <v>21</v>
      </c>
      <c r="F19" s="49">
        <f t="shared" si="12"/>
        <v>6</v>
      </c>
      <c r="G19" s="49" t="str">
        <f t="shared" si="8"/>
        <v>-</v>
      </c>
      <c r="H19" s="49" t="str">
        <f t="shared" si="9"/>
        <v>-</v>
      </c>
      <c r="I19" s="49">
        <f t="shared" si="13"/>
        <v>6</v>
      </c>
      <c r="J19" s="1"/>
      <c r="K19" s="50" t="str">
        <f t="shared" ref="K19:K21" si="14">IF(NOT(LEN($I19)=0),K18,"")</f>
        <v>VITA</v>
      </c>
      <c r="L19" s="50" t="str">
        <f t="shared" ref="L19:L21" si="15">IF(NOT(LEN($I19)=0),L18,"")</f>
        <v>MARK II</v>
      </c>
      <c r="M19" s="50">
        <f t="shared" ref="M19:M21" si="16">IF(NOT(LEN($I19)=0),M18,"")</f>
        <v>160</v>
      </c>
      <c r="N19" s="50" t="str">
        <f t="shared" ref="N19:N21" si="17">IF(NOT(LEN($I19)=0),N18,"")</f>
        <v>-</v>
      </c>
      <c r="O19" s="24">
        <f>IF(LEN(A19)&gt;0, 종합!$C$27, "")</f>
        <v>2.2599999999999998</v>
      </c>
      <c r="P19" s="1"/>
      <c r="Q19" s="92" t="str">
        <f>IF(MOD($B19,5)=0, "누락 ","-" )</f>
        <v>-</v>
      </c>
      <c r="R19" s="92" t="str">
        <f>IF(MOD($B19,5)=0, "누락 ","-" )</f>
        <v>-</v>
      </c>
      <c r="S19" s="92" t="str">
        <f>IF(MOD($B19,5)=0, "누락 ","-" )</f>
        <v>-</v>
      </c>
      <c r="T19" s="92" t="str">
        <f>IF(MOD($B19,5)=0, "누락 ","-" )</f>
        <v>-</v>
      </c>
      <c r="U19" s="92" t="str">
        <f>IF(MOD($B19,5)=0, "누락","-" )</f>
        <v>-</v>
      </c>
      <c r="V19" s="92" t="str">
        <f>IF(MOD($B19,5)=0, "누락","-" )</f>
        <v>-</v>
      </c>
      <c r="W19" s="92" t="str">
        <f>IF(MOD($B19,5)=0, "누락","-" )</f>
        <v>-</v>
      </c>
      <c r="X19" s="92" t="str">
        <f>IF(MOD($B19,5)=0, "누락","-" )</f>
        <v>-</v>
      </c>
      <c r="Y19" s="92" t="str">
        <f>IF(MOD($B19,5)=0, "누락","-" )</f>
        <v>-</v>
      </c>
      <c r="Z19" s="92" t="str">
        <f>IF(MOD($B19,5)=0, "누락","-" )</f>
        <v>-</v>
      </c>
      <c r="AA19" s="92" t="str">
        <f>IF(MOD($B19,5)=0, "누락","-" )</f>
        <v>-</v>
      </c>
      <c r="AB19" s="92" t="str">
        <f>IF(MOD($B19,5)=0, "누락","-" )</f>
        <v>-</v>
      </c>
      <c r="AC19" s="92" t="str">
        <f>IF(MOD($B19,5)=0, "누락","-" )</f>
        <v>-</v>
      </c>
      <c r="AD19" s="92" t="str">
        <f t="shared" si="2"/>
        <v>-</v>
      </c>
      <c r="AE19" s="92" t="str">
        <f t="shared" si="6"/>
        <v>-</v>
      </c>
      <c r="AF19" s="1" t="s">
        <v>16</v>
      </c>
      <c r="AG19" s="1" t="s">
        <v>16</v>
      </c>
    </row>
    <row r="20" spans="1:33" x14ac:dyDescent="0.45">
      <c r="A20" s="3">
        <v>45973</v>
      </c>
      <c r="B20" s="24">
        <f t="shared" si="7"/>
        <v>14</v>
      </c>
      <c r="C20" s="7" t="str">
        <f t="shared" si="0"/>
        <v>Dimensions: L W H</v>
      </c>
      <c r="D20" s="6" t="str">
        <f t="shared" si="1"/>
        <v>완료</v>
      </c>
      <c r="E20" s="49">
        <v>21</v>
      </c>
      <c r="F20" s="49">
        <f t="shared" si="12"/>
        <v>7</v>
      </c>
      <c r="G20" s="49" t="str">
        <f t="shared" ref="G20" si="18">IF(NOT(LEN($I20)=0),G19,"")</f>
        <v>-</v>
      </c>
      <c r="H20" s="49" t="str">
        <f t="shared" ref="H20" si="19">IF(NOT(LEN($I20)=0),H19,"")</f>
        <v>-</v>
      </c>
      <c r="I20" s="49">
        <f t="shared" si="13"/>
        <v>7</v>
      </c>
      <c r="J20" s="1"/>
      <c r="K20" s="50" t="str">
        <f t="shared" si="14"/>
        <v>VITA</v>
      </c>
      <c r="L20" s="50" t="str">
        <f t="shared" si="15"/>
        <v>MARK II</v>
      </c>
      <c r="M20" s="50">
        <f t="shared" si="16"/>
        <v>160</v>
      </c>
      <c r="N20" s="50" t="str">
        <f t="shared" si="17"/>
        <v>-</v>
      </c>
      <c r="O20" s="24">
        <f>IF(LEN(A20)&gt;0, 종합!$C$27, "")</f>
        <v>2.2599999999999998</v>
      </c>
      <c r="P20" s="1"/>
      <c r="Q20" s="92" t="str">
        <f>IF(MOD($B20,5)=0, "누락 ","-" )</f>
        <v>-</v>
      </c>
      <c r="R20" s="92" t="str">
        <f>IF(MOD($B20,5)=0, "누락 ","-" )</f>
        <v>-</v>
      </c>
      <c r="S20" s="92" t="str">
        <f>IF(MOD($B20,5)=0, "누락 ","-" )</f>
        <v>-</v>
      </c>
      <c r="T20" s="92" t="str">
        <f>IF(MOD($B20,5)=0, "누락 ","-" )</f>
        <v>-</v>
      </c>
      <c r="U20" s="92" t="str">
        <f>IF(MOD($B20,5)=0, "누락","-" )</f>
        <v>-</v>
      </c>
      <c r="V20" s="92" t="str">
        <f>IF(MOD($B20,5)=0, "누락","-" )</f>
        <v>-</v>
      </c>
      <c r="W20" s="92" t="str">
        <f>IF(MOD($B20,5)=0, "누락","-" )</f>
        <v>-</v>
      </c>
      <c r="X20" s="92" t="str">
        <f>IF(MOD($B20,5)=0, "누락","-" )</f>
        <v>-</v>
      </c>
      <c r="Y20" s="92" t="str">
        <f>IF(MOD($B20,5)=0, "누락","-" )</f>
        <v>-</v>
      </c>
      <c r="Z20" s="92" t="str">
        <f>IF(MOD($B20,5)=0, "누락","-" )</f>
        <v>-</v>
      </c>
      <c r="AA20" s="92" t="str">
        <f>IF(MOD($B20,5)=0, "누락","-" )</f>
        <v>-</v>
      </c>
      <c r="AB20" s="92" t="str">
        <f>IF(MOD($B20,5)=0, "누락","-" )</f>
        <v>-</v>
      </c>
      <c r="AC20" s="92" t="str">
        <f>IF(MOD($B20,5)=0, "누락","-" )</f>
        <v>-</v>
      </c>
      <c r="AD20" s="92" t="str">
        <f t="shared" si="2"/>
        <v>-</v>
      </c>
      <c r="AE20" s="92" t="str">
        <f t="shared" si="6"/>
        <v>-</v>
      </c>
      <c r="AF20" s="1" t="s">
        <v>16</v>
      </c>
      <c r="AG20" s="1" t="s">
        <v>16</v>
      </c>
    </row>
    <row r="21" spans="1:33" x14ac:dyDescent="0.45">
      <c r="A21" s="3">
        <v>45973</v>
      </c>
      <c r="B21" s="24">
        <f t="shared" si="7"/>
        <v>15</v>
      </c>
      <c r="C21" s="7" t="str">
        <f t="shared" si="0"/>
        <v>Dimensions: L W H</v>
      </c>
      <c r="D21" s="6" t="s">
        <v>132</v>
      </c>
      <c r="E21" s="49">
        <v>23</v>
      </c>
      <c r="F21" s="49">
        <f t="shared" si="12"/>
        <v>8</v>
      </c>
      <c r="G21" s="53"/>
      <c r="H21" s="53"/>
      <c r="I21" s="49">
        <f t="shared" si="13"/>
        <v>8</v>
      </c>
      <c r="K21" s="50" t="str">
        <f t="shared" si="14"/>
        <v>VITA</v>
      </c>
      <c r="L21" s="50" t="str">
        <f t="shared" si="15"/>
        <v>MARK II</v>
      </c>
      <c r="M21" s="50">
        <f t="shared" si="16"/>
        <v>160</v>
      </c>
      <c r="N21" s="50" t="str">
        <f t="shared" si="17"/>
        <v>-</v>
      </c>
      <c r="O21" s="24">
        <f>IF(LEN(A21)&gt;0, 종합!$C$27, "")</f>
        <v>2.2599999999999998</v>
      </c>
      <c r="Q21" s="92" t="s">
        <v>122</v>
      </c>
      <c r="R21" s="92" t="s">
        <v>122</v>
      </c>
      <c r="S21" s="92" t="s">
        <v>122</v>
      </c>
      <c r="T21" s="92" t="s">
        <v>122</v>
      </c>
      <c r="U21" s="92" t="str">
        <f>IF(MOD($B21,5)=0, "누락","-" )</f>
        <v>누락</v>
      </c>
      <c r="V21" s="92" t="str">
        <f>IF(MOD($B21,5)=0, "누락","-" )</f>
        <v>누락</v>
      </c>
      <c r="W21" s="92" t="str">
        <f>IF(MOD($B21,5)=0, "누락","-" )</f>
        <v>누락</v>
      </c>
      <c r="X21" s="92" t="str">
        <f>IF(MOD($B21,5)=0, "누락","-" )</f>
        <v>누락</v>
      </c>
      <c r="Y21" s="92" t="str">
        <f>IF(MOD($B21,5)=0, "누락","-" )</f>
        <v>누락</v>
      </c>
      <c r="Z21" s="92" t="str">
        <f>IF(MOD($B21,5)=0, "누락","-" )</f>
        <v>누락</v>
      </c>
      <c r="AA21" s="92" t="str">
        <f>IF(MOD($B21,5)=0, "누락","-" )</f>
        <v>누락</v>
      </c>
      <c r="AB21" s="92" t="str">
        <f>IF(MOD($B21,5)=0, "누락","-" )</f>
        <v>누락</v>
      </c>
      <c r="AC21" s="92" t="str">
        <f>IF(MOD($B21,5)=0, "누락","-" )</f>
        <v>누락</v>
      </c>
      <c r="AD21" s="92" t="str">
        <f t="shared" si="2"/>
        <v>-</v>
      </c>
      <c r="AE21" s="92" t="str">
        <f t="shared" si="6"/>
        <v>-</v>
      </c>
      <c r="AF21" s="7" t="str">
        <f t="shared" si="6"/>
        <v>-</v>
      </c>
      <c r="AG21" s="7" t="str">
        <f t="shared" si="6"/>
        <v>-</v>
      </c>
    </row>
    <row r="22" spans="1:33" x14ac:dyDescent="0.45">
      <c r="A22" s="23"/>
      <c r="B22" s="24"/>
      <c r="C22" s="7"/>
      <c r="D22" s="6"/>
      <c r="E22" s="24" t="str">
        <f>IF($B22="","", "누락")</f>
        <v/>
      </c>
      <c r="F22" s="49"/>
      <c r="G22" s="53"/>
      <c r="H22" s="53"/>
      <c r="I22" s="49"/>
      <c r="K22" s="50"/>
      <c r="L22" s="50"/>
      <c r="M22" s="50"/>
      <c r="N22" s="50"/>
      <c r="O22" s="24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7"/>
      <c r="AG22" s="7"/>
    </row>
    <row r="23" spans="1:33" x14ac:dyDescent="0.45">
      <c r="A23" s="23"/>
      <c r="B23" s="24"/>
      <c r="C23" s="7"/>
      <c r="D23" s="6"/>
      <c r="E23" s="24" t="str">
        <f t="shared" ref="E23:E28" si="20">IF($B23="","", "누락")</f>
        <v/>
      </c>
      <c r="F23" s="49"/>
      <c r="G23" s="53"/>
      <c r="H23" s="53"/>
      <c r="I23" s="49"/>
      <c r="K23" s="50"/>
      <c r="L23" s="50"/>
      <c r="M23" s="50"/>
      <c r="N23" s="50"/>
      <c r="O23" s="24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7"/>
      <c r="AG23" s="7"/>
    </row>
    <row r="24" spans="1:33" x14ac:dyDescent="0.45">
      <c r="A24" s="23"/>
      <c r="B24" s="24"/>
      <c r="C24" s="7"/>
      <c r="D24" s="6"/>
      <c r="E24" s="24" t="str">
        <f t="shared" si="20"/>
        <v/>
      </c>
      <c r="F24" s="49"/>
      <c r="G24" s="53"/>
      <c r="H24" s="53"/>
      <c r="I24" s="49"/>
      <c r="K24" s="50"/>
      <c r="L24" s="50"/>
      <c r="M24" s="50"/>
      <c r="N24" s="50"/>
      <c r="O24" s="24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7"/>
      <c r="AG24" s="7"/>
    </row>
    <row r="25" spans="1:33" x14ac:dyDescent="0.45">
      <c r="A25" s="23"/>
      <c r="B25" s="24"/>
      <c r="C25" s="7"/>
      <c r="D25" s="6"/>
      <c r="E25" s="24" t="str">
        <f t="shared" si="20"/>
        <v/>
      </c>
      <c r="F25" s="49"/>
      <c r="G25" s="53"/>
      <c r="H25" s="53"/>
      <c r="I25" s="49"/>
      <c r="K25" s="50"/>
      <c r="L25" s="50"/>
      <c r="M25" s="50"/>
      <c r="N25" s="50"/>
      <c r="O25" s="24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7"/>
      <c r="AG25" s="7"/>
    </row>
    <row r="26" spans="1:33" x14ac:dyDescent="0.45">
      <c r="A26" s="23"/>
      <c r="B26" s="24"/>
      <c r="C26" s="7"/>
      <c r="D26" s="6"/>
      <c r="E26" s="24" t="str">
        <f t="shared" si="20"/>
        <v/>
      </c>
      <c r="F26" s="49"/>
      <c r="G26" s="53"/>
      <c r="H26" s="53"/>
      <c r="I26" s="49"/>
      <c r="K26" s="50"/>
      <c r="L26" s="50"/>
      <c r="M26" s="50"/>
      <c r="N26" s="50"/>
      <c r="O26" s="24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7"/>
      <c r="AG26" s="7"/>
    </row>
    <row r="27" spans="1:33" x14ac:dyDescent="0.45">
      <c r="A27" s="23"/>
      <c r="B27" s="24"/>
      <c r="C27" s="7"/>
      <c r="D27" s="6"/>
      <c r="E27" s="24" t="str">
        <f t="shared" si="20"/>
        <v/>
      </c>
      <c r="F27" s="49"/>
      <c r="G27" s="53"/>
      <c r="H27" s="53"/>
      <c r="I27" s="49"/>
      <c r="K27" s="50"/>
      <c r="L27" s="50"/>
      <c r="M27" s="50"/>
      <c r="N27" s="50"/>
      <c r="O27" s="24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7"/>
      <c r="AG27" s="7"/>
    </row>
    <row r="28" spans="1:33" x14ac:dyDescent="0.45">
      <c r="B28" s="24" t="str">
        <f>IF(NOT(LEN(A28)=0),B21+1,"")</f>
        <v/>
      </c>
      <c r="C28" s="7" t="str">
        <f t="shared" si="0"/>
        <v/>
      </c>
      <c r="D28" s="6" t="str">
        <f t="shared" si="1"/>
        <v/>
      </c>
      <c r="E28" s="24" t="str">
        <f t="shared" si="20"/>
        <v/>
      </c>
      <c r="F28" s="49" t="str">
        <f>IF(NOT(LEN($A28)=0),IF(F21+1&gt;15,"버교체요망",F21+1),"")</f>
        <v/>
      </c>
      <c r="G28" s="53"/>
      <c r="H28" s="53"/>
      <c r="I28" s="49" t="str">
        <f>IF(NOT(LEN($A28)=0),IF(I21+1&gt;15,"버교체요망",I21+1),"")</f>
        <v/>
      </c>
      <c r="K28" s="50" t="str">
        <f>IF(NOT(LEN($I28)=0),K21,"")</f>
        <v/>
      </c>
      <c r="L28" s="50" t="str">
        <f>IF(NOT(LEN($I28)=0),L21,"")</f>
        <v/>
      </c>
      <c r="M28" s="50" t="str">
        <f>IF(NOT(LEN($I28)=0),M21,"")</f>
        <v/>
      </c>
      <c r="N28" s="50" t="str">
        <f>IF(NOT(LEN($I28)=0),N21,"")</f>
        <v/>
      </c>
      <c r="O28" s="24" t="str">
        <f>IF(LEN(A28)&gt;0, 종합!$C$27, "")</f>
        <v/>
      </c>
      <c r="Q28" s="48" t="str">
        <f t="shared" ref="Q28:AF28" si="21">IF(NOT(LEN($A28)=0),"누락","")</f>
        <v/>
      </c>
      <c r="R28" s="48" t="str">
        <f t="shared" si="21"/>
        <v/>
      </c>
      <c r="S28" s="48" t="str">
        <f t="shared" si="21"/>
        <v/>
      </c>
      <c r="T28" s="48" t="str">
        <f t="shared" si="21"/>
        <v/>
      </c>
      <c r="U28" s="48" t="str">
        <f t="shared" si="21"/>
        <v/>
      </c>
      <c r="V28" s="48" t="str">
        <f t="shared" si="21"/>
        <v/>
      </c>
      <c r="W28" s="48" t="str">
        <f t="shared" si="21"/>
        <v/>
      </c>
      <c r="X28" s="48" t="str">
        <f t="shared" si="21"/>
        <v/>
      </c>
      <c r="Y28" s="48" t="str">
        <f t="shared" si="21"/>
        <v/>
      </c>
      <c r="Z28" s="48" t="str">
        <f t="shared" si="21"/>
        <v/>
      </c>
      <c r="AA28" s="48" t="str">
        <f t="shared" si="21"/>
        <v/>
      </c>
      <c r="AB28" s="48" t="str">
        <f t="shared" si="21"/>
        <v/>
      </c>
      <c r="AC28" s="48" t="str">
        <f t="shared" si="21"/>
        <v/>
      </c>
      <c r="AD28" s="48" t="str">
        <f t="shared" si="21"/>
        <v/>
      </c>
      <c r="AE28" s="48" t="str">
        <f t="shared" si="21"/>
        <v/>
      </c>
      <c r="AF28" s="48" t="str">
        <f t="shared" si="21"/>
        <v/>
      </c>
      <c r="AG28" s="48" t="str">
        <f t="shared" ref="AG28" si="22">IF(NOT(LEN($A28)=0),"누락","")</f>
        <v/>
      </c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 F7:F9">
    <cfRule type="containsText" dxfId="220" priority="306" operator="containsText" text="신품">
      <formula>NOT(ISERROR(SEARCH("신품",F7)))</formula>
    </cfRule>
    <cfRule type="containsText" dxfId="219" priority="307" operator="containsText" text="중고">
      <formula>NOT(ISERROR(SEARCH("중고",F7)))</formula>
    </cfRule>
  </conditionalFormatting>
  <conditionalFormatting sqref="I7:I9">
    <cfRule type="containsText" dxfId="218" priority="304" operator="containsText" text="신품">
      <formula>NOT(ISERROR(SEARCH("신품",I7)))</formula>
    </cfRule>
    <cfRule type="containsText" dxfId="217" priority="305" operator="containsText" text="중고">
      <formula>NOT(ISERROR(SEARCH("중고",I7)))</formula>
    </cfRule>
  </conditionalFormatting>
  <conditionalFormatting sqref="F10">
    <cfRule type="containsText" dxfId="216" priority="300" operator="containsText" text="신품">
      <formula>NOT(ISERROR(SEARCH("신품",F10)))</formula>
    </cfRule>
    <cfRule type="containsText" dxfId="215" priority="301" operator="containsText" text="중고">
      <formula>NOT(ISERROR(SEARCH("중고",F10)))</formula>
    </cfRule>
  </conditionalFormatting>
  <conditionalFormatting sqref="I10">
    <cfRule type="containsText" dxfId="214" priority="298" operator="containsText" text="신품">
      <formula>NOT(ISERROR(SEARCH("신품",I10)))</formula>
    </cfRule>
    <cfRule type="containsText" dxfId="213" priority="299" operator="containsText" text="중고">
      <formula>NOT(ISERROR(SEARCH("중고",I10)))</formula>
    </cfRule>
  </conditionalFormatting>
  <conditionalFormatting sqref="F11">
    <cfRule type="containsText" dxfId="212" priority="294" operator="containsText" text="신품">
      <formula>NOT(ISERROR(SEARCH("신품",F11)))</formula>
    </cfRule>
    <cfRule type="containsText" dxfId="211" priority="295" operator="containsText" text="중고">
      <formula>NOT(ISERROR(SEARCH("중고",F11)))</formula>
    </cfRule>
  </conditionalFormatting>
  <conditionalFormatting sqref="I11">
    <cfRule type="containsText" dxfId="210" priority="292" operator="containsText" text="신품">
      <formula>NOT(ISERROR(SEARCH("신품",I11)))</formula>
    </cfRule>
    <cfRule type="containsText" dxfId="209" priority="293" operator="containsText" text="중고">
      <formula>NOT(ISERROR(SEARCH("중고",I11)))</formula>
    </cfRule>
  </conditionalFormatting>
  <conditionalFormatting sqref="F12">
    <cfRule type="containsText" dxfId="208" priority="288" operator="containsText" text="신품">
      <formula>NOT(ISERROR(SEARCH("신품",F12)))</formula>
    </cfRule>
    <cfRule type="containsText" dxfId="207" priority="289" operator="containsText" text="중고">
      <formula>NOT(ISERROR(SEARCH("중고",F12)))</formula>
    </cfRule>
  </conditionalFormatting>
  <conditionalFormatting sqref="I12">
    <cfRule type="containsText" dxfId="206" priority="286" operator="containsText" text="신품">
      <formula>NOT(ISERROR(SEARCH("신품",I12)))</formula>
    </cfRule>
    <cfRule type="containsText" dxfId="205" priority="287" operator="containsText" text="중고">
      <formula>NOT(ISERROR(SEARCH("중고",I12)))</formula>
    </cfRule>
  </conditionalFormatting>
  <conditionalFormatting sqref="D29">
    <cfRule type="containsText" dxfId="204" priority="271" operator="containsText" text="진행중">
      <formula>NOT(ISERROR(SEARCH("진행중",D29)))</formula>
    </cfRule>
  </conditionalFormatting>
  <conditionalFormatting sqref="N8:N28">
    <cfRule type="containsText" dxfId="203" priority="174" operator="containsText" text="완료">
      <formula>NOT(ISERROR(SEARCH("완료",N8)))</formula>
    </cfRule>
    <cfRule type="containsText" dxfId="202" priority="175" operator="containsText" text="중단">
      <formula>NOT(ISERROR(SEARCH("중단",N8)))</formula>
    </cfRule>
  </conditionalFormatting>
  <conditionalFormatting sqref="N8:N28">
    <cfRule type="containsText" dxfId="201" priority="172" operator="containsText" text="완료">
      <formula>NOT(ISERROR(SEARCH("완료",N8)))</formula>
    </cfRule>
    <cfRule type="containsText" dxfId="200" priority="173" operator="containsText" text="중단">
      <formula>NOT(ISERROR(SEARCH("중단",N8)))</formula>
    </cfRule>
  </conditionalFormatting>
  <conditionalFormatting sqref="N8:N28">
    <cfRule type="containsText" dxfId="199" priority="171" operator="containsText" text="진행중">
      <formula>NOT(ISERROR(SEARCH("진행중",N8)))</formula>
    </cfRule>
  </conditionalFormatting>
  <conditionalFormatting sqref="F14:F28">
    <cfRule type="containsText" dxfId="198" priority="264" operator="containsText" text="완료">
      <formula>NOT(ISERROR(SEARCH("완료",F14)))</formula>
    </cfRule>
    <cfRule type="containsText" dxfId="197" priority="265" operator="containsText" text="중단">
      <formula>NOT(ISERROR(SEARCH("중단",F14)))</formula>
    </cfRule>
  </conditionalFormatting>
  <conditionalFormatting sqref="F14:F28">
    <cfRule type="containsText" dxfId="196" priority="262" operator="containsText" text="완료">
      <formula>NOT(ISERROR(SEARCH("완료",F14)))</formula>
    </cfRule>
    <cfRule type="containsText" dxfId="195" priority="263" operator="containsText" text="중단">
      <formula>NOT(ISERROR(SEARCH("중단",F14)))</formula>
    </cfRule>
  </conditionalFormatting>
  <conditionalFormatting sqref="F14:F28">
    <cfRule type="containsText" dxfId="194" priority="261" operator="containsText" text="진행중">
      <formula>NOT(ISERROR(SEARCH("진행중",F14)))</formula>
    </cfRule>
  </conditionalFormatting>
  <conditionalFormatting sqref="K8:K17">
    <cfRule type="containsText" dxfId="193" priority="154" operator="containsText" text="완료">
      <formula>NOT(ISERROR(SEARCH("완료",K8)))</formula>
    </cfRule>
    <cfRule type="containsText" dxfId="192" priority="155" operator="containsText" text="중단">
      <formula>NOT(ISERROR(SEARCH("중단",K8)))</formula>
    </cfRule>
  </conditionalFormatting>
  <conditionalFormatting sqref="K8:K17">
    <cfRule type="containsText" dxfId="191" priority="152" operator="containsText" text="완료">
      <formula>NOT(ISERROR(SEARCH("완료",K8)))</formula>
    </cfRule>
    <cfRule type="containsText" dxfId="190" priority="153" operator="containsText" text="중단">
      <formula>NOT(ISERROR(SEARCH("중단",K8)))</formula>
    </cfRule>
  </conditionalFormatting>
  <conditionalFormatting sqref="K8:K17">
    <cfRule type="containsText" dxfId="189" priority="151" operator="containsText" text="진행중">
      <formula>NOT(ISERROR(SEARCH("진행중",K8)))</formula>
    </cfRule>
  </conditionalFormatting>
  <conditionalFormatting sqref="L8:L17">
    <cfRule type="containsText" dxfId="188" priority="149" operator="containsText" text="완료">
      <formula>NOT(ISERROR(SEARCH("완료",L8)))</formula>
    </cfRule>
    <cfRule type="containsText" dxfId="187" priority="150" operator="containsText" text="중단">
      <formula>NOT(ISERROR(SEARCH("중단",L8)))</formula>
    </cfRule>
  </conditionalFormatting>
  <conditionalFormatting sqref="L8:L17">
    <cfRule type="containsText" dxfId="186" priority="147" operator="containsText" text="완료">
      <formula>NOT(ISERROR(SEARCH("완료",L8)))</formula>
    </cfRule>
    <cfRule type="containsText" dxfId="185" priority="148" operator="containsText" text="중단">
      <formula>NOT(ISERROR(SEARCH("중단",L8)))</formula>
    </cfRule>
  </conditionalFormatting>
  <conditionalFormatting sqref="L8:L17">
    <cfRule type="containsText" dxfId="184" priority="146" operator="containsText" text="진행중">
      <formula>NOT(ISERROR(SEARCH("진행중",L8)))</formula>
    </cfRule>
  </conditionalFormatting>
  <conditionalFormatting sqref="M8:M28">
    <cfRule type="containsText" dxfId="183" priority="144" operator="containsText" text="완료">
      <formula>NOT(ISERROR(SEARCH("완료",M8)))</formula>
    </cfRule>
    <cfRule type="containsText" dxfId="182" priority="145" operator="containsText" text="중단">
      <formula>NOT(ISERROR(SEARCH("중단",M8)))</formula>
    </cfRule>
  </conditionalFormatting>
  <conditionalFormatting sqref="M8:M28">
    <cfRule type="containsText" dxfId="181" priority="142" operator="containsText" text="완료">
      <formula>NOT(ISERROR(SEARCH("완료",M8)))</formula>
    </cfRule>
    <cfRule type="containsText" dxfId="180" priority="143" operator="containsText" text="중단">
      <formula>NOT(ISERROR(SEARCH("중단",M8)))</formula>
    </cfRule>
  </conditionalFormatting>
  <conditionalFormatting sqref="M8:M28">
    <cfRule type="containsText" dxfId="179" priority="141" operator="containsText" text="진행중">
      <formula>NOT(ISERROR(SEARCH("진행중",M8)))</formula>
    </cfRule>
  </conditionalFormatting>
  <conditionalFormatting sqref="I14:I28">
    <cfRule type="containsText" dxfId="178" priority="219" operator="containsText" text="완료">
      <formula>NOT(ISERROR(SEARCH("완료",I14)))</formula>
    </cfRule>
    <cfRule type="containsText" dxfId="177" priority="220" operator="containsText" text="중단">
      <formula>NOT(ISERROR(SEARCH("중단",I14)))</formula>
    </cfRule>
  </conditionalFormatting>
  <conditionalFormatting sqref="I14:I28">
    <cfRule type="containsText" dxfId="176" priority="217" operator="containsText" text="완료">
      <formula>NOT(ISERROR(SEARCH("완료",I14)))</formula>
    </cfRule>
    <cfRule type="containsText" dxfId="175" priority="218" operator="containsText" text="중단">
      <formula>NOT(ISERROR(SEARCH("중단",I14)))</formula>
    </cfRule>
  </conditionalFormatting>
  <conditionalFormatting sqref="I14:I28">
    <cfRule type="containsText" dxfId="174" priority="216" operator="containsText" text="진행중">
      <formula>NOT(ISERROR(SEARCH("진행중",I14)))</formula>
    </cfRule>
  </conditionalFormatting>
  <conditionalFormatting sqref="F13">
    <cfRule type="containsText" dxfId="173" priority="214" operator="containsText" text="완료">
      <formula>NOT(ISERROR(SEARCH("완료",F13)))</formula>
    </cfRule>
    <cfRule type="containsText" dxfId="172" priority="215" operator="containsText" text="중단">
      <formula>NOT(ISERROR(SEARCH("중단",F13)))</formula>
    </cfRule>
  </conditionalFormatting>
  <conditionalFormatting sqref="F13">
    <cfRule type="containsText" dxfId="171" priority="212" operator="containsText" text="완료">
      <formula>NOT(ISERROR(SEARCH("완료",F13)))</formula>
    </cfRule>
    <cfRule type="containsText" dxfId="170" priority="213" operator="containsText" text="중단">
      <formula>NOT(ISERROR(SEARCH("중단",F13)))</formula>
    </cfRule>
  </conditionalFormatting>
  <conditionalFormatting sqref="F13">
    <cfRule type="containsText" dxfId="169" priority="211" operator="containsText" text="진행중">
      <formula>NOT(ISERROR(SEARCH("진행중",F13)))</formula>
    </cfRule>
  </conditionalFormatting>
  <conditionalFormatting sqref="I13">
    <cfRule type="containsText" dxfId="168" priority="209" operator="containsText" text="완료">
      <formula>NOT(ISERROR(SEARCH("완료",I13)))</formula>
    </cfRule>
    <cfRule type="containsText" dxfId="167" priority="210" operator="containsText" text="중단">
      <formula>NOT(ISERROR(SEARCH("중단",I13)))</formula>
    </cfRule>
  </conditionalFormatting>
  <conditionalFormatting sqref="I13">
    <cfRule type="containsText" dxfId="166" priority="207" operator="containsText" text="완료">
      <formula>NOT(ISERROR(SEARCH("완료",I13)))</formula>
    </cfRule>
    <cfRule type="containsText" dxfId="165" priority="208" operator="containsText" text="중단">
      <formula>NOT(ISERROR(SEARCH("중단",I13)))</formula>
    </cfRule>
  </conditionalFormatting>
  <conditionalFormatting sqref="I13">
    <cfRule type="containsText" dxfId="164" priority="206" operator="containsText" text="진행중">
      <formula>NOT(ISERROR(SEARCH("진행중",I13)))</formula>
    </cfRule>
  </conditionalFormatting>
  <conditionalFormatting sqref="E20:E21">
    <cfRule type="containsText" dxfId="163" priority="129" operator="containsText" text="완료">
      <formula>NOT(ISERROR(SEARCH("완료",E20)))</formula>
    </cfRule>
    <cfRule type="containsText" dxfId="162" priority="130" operator="containsText" text="중단">
      <formula>NOT(ISERROR(SEARCH("중단",E20)))</formula>
    </cfRule>
  </conditionalFormatting>
  <conditionalFormatting sqref="E20:E21">
    <cfRule type="containsText" dxfId="161" priority="127" operator="containsText" text="완료">
      <formula>NOT(ISERROR(SEARCH("완료",E20)))</formula>
    </cfRule>
    <cfRule type="containsText" dxfId="160" priority="128" operator="containsText" text="중단">
      <formula>NOT(ISERROR(SEARCH("중단",E20)))</formula>
    </cfRule>
  </conditionalFormatting>
  <conditionalFormatting sqref="E20:E21">
    <cfRule type="containsText" dxfId="159" priority="126" operator="containsText" text="진행중">
      <formula>NOT(ISERROR(SEARCH("진행중",E20)))</formula>
    </cfRule>
  </conditionalFormatting>
  <conditionalFormatting sqref="K18:K28">
    <cfRule type="containsText" dxfId="158" priority="199" operator="containsText" text="완료">
      <formula>NOT(ISERROR(SEARCH("완료",K18)))</formula>
    </cfRule>
    <cfRule type="containsText" dxfId="157" priority="200" operator="containsText" text="중단">
      <formula>NOT(ISERROR(SEARCH("중단",K18)))</formula>
    </cfRule>
  </conditionalFormatting>
  <conditionalFormatting sqref="K18:K28">
    <cfRule type="containsText" dxfId="156" priority="197" operator="containsText" text="완료">
      <formula>NOT(ISERROR(SEARCH("완료",K18)))</formula>
    </cfRule>
    <cfRule type="containsText" dxfId="155" priority="198" operator="containsText" text="중단">
      <formula>NOT(ISERROR(SEARCH("중단",K18)))</formula>
    </cfRule>
  </conditionalFormatting>
  <conditionalFormatting sqref="K18:K28">
    <cfRule type="containsText" dxfId="154" priority="196" operator="containsText" text="진행중">
      <formula>NOT(ISERROR(SEARCH("진행중",K18)))</formula>
    </cfRule>
  </conditionalFormatting>
  <conditionalFormatting sqref="L18:L28">
    <cfRule type="containsText" dxfId="153" priority="189" operator="containsText" text="완료">
      <formula>NOT(ISERROR(SEARCH("완료",L18)))</formula>
    </cfRule>
    <cfRule type="containsText" dxfId="152" priority="190" operator="containsText" text="중단">
      <formula>NOT(ISERROR(SEARCH("중단",L18)))</formula>
    </cfRule>
  </conditionalFormatting>
  <conditionalFormatting sqref="L18:L28">
    <cfRule type="containsText" dxfId="151" priority="187" operator="containsText" text="완료">
      <formula>NOT(ISERROR(SEARCH("완료",L18)))</formula>
    </cfRule>
    <cfRule type="containsText" dxfId="150" priority="188" operator="containsText" text="중단">
      <formula>NOT(ISERROR(SEARCH("중단",L18)))</formula>
    </cfRule>
  </conditionalFormatting>
  <conditionalFormatting sqref="L18:L28">
    <cfRule type="containsText" dxfId="149" priority="186" operator="containsText" text="진행중">
      <formula>NOT(ISERROR(SEARCH("진행중",L18)))</formula>
    </cfRule>
  </conditionalFormatting>
  <conditionalFormatting sqref="E19">
    <cfRule type="containsText" dxfId="148" priority="124" operator="containsText" text="완료">
      <formula>NOT(ISERROR(SEARCH("완료",E19)))</formula>
    </cfRule>
    <cfRule type="containsText" dxfId="147" priority="125" operator="containsText" text="중단">
      <formula>NOT(ISERROR(SEARCH("중단",E19)))</formula>
    </cfRule>
  </conditionalFormatting>
  <conditionalFormatting sqref="E19">
    <cfRule type="containsText" dxfId="146" priority="122" operator="containsText" text="완료">
      <formula>NOT(ISERROR(SEARCH("완료",E19)))</formula>
    </cfRule>
    <cfRule type="containsText" dxfId="145" priority="123" operator="containsText" text="중단">
      <formula>NOT(ISERROR(SEARCH("중단",E19)))</formula>
    </cfRule>
  </conditionalFormatting>
  <conditionalFormatting sqref="E19">
    <cfRule type="containsText" dxfId="144" priority="121" operator="containsText" text="진행중">
      <formula>NOT(ISERROR(SEARCH("진행중",E19)))</formula>
    </cfRule>
  </conditionalFormatting>
  <conditionalFormatting sqref="G8:G20">
    <cfRule type="containsText" dxfId="143" priority="119" operator="containsText" text="완료">
      <formula>NOT(ISERROR(SEARCH("완료",G8)))</formula>
    </cfRule>
    <cfRule type="containsText" dxfId="142" priority="120" operator="containsText" text="중단">
      <formula>NOT(ISERROR(SEARCH("중단",G8)))</formula>
    </cfRule>
  </conditionalFormatting>
  <conditionalFormatting sqref="G8:G20">
    <cfRule type="containsText" dxfId="141" priority="117" operator="containsText" text="완료">
      <formula>NOT(ISERROR(SEARCH("완료",G8)))</formula>
    </cfRule>
    <cfRule type="containsText" dxfId="140" priority="118" operator="containsText" text="중단">
      <formula>NOT(ISERROR(SEARCH("중단",G8)))</formula>
    </cfRule>
  </conditionalFormatting>
  <conditionalFormatting sqref="G8:G20">
    <cfRule type="containsText" dxfId="139" priority="116" operator="containsText" text="진행중">
      <formula>NOT(ISERROR(SEARCH("진행중",G8)))</formula>
    </cfRule>
  </conditionalFormatting>
  <conditionalFormatting sqref="H8:H20">
    <cfRule type="containsText" dxfId="138" priority="114" operator="containsText" text="완료">
      <formula>NOT(ISERROR(SEARCH("완료",H8)))</formula>
    </cfRule>
    <cfRule type="containsText" dxfId="137" priority="115" operator="containsText" text="중단">
      <formula>NOT(ISERROR(SEARCH("중단",H8)))</formula>
    </cfRule>
  </conditionalFormatting>
  <conditionalFormatting sqref="H8:H20">
    <cfRule type="containsText" dxfId="136" priority="112" operator="containsText" text="완료">
      <formula>NOT(ISERROR(SEARCH("완료",H8)))</formula>
    </cfRule>
    <cfRule type="containsText" dxfId="135" priority="113" operator="containsText" text="중단">
      <formula>NOT(ISERROR(SEARCH("중단",H8)))</formula>
    </cfRule>
  </conditionalFormatting>
  <conditionalFormatting sqref="H8:H20">
    <cfRule type="containsText" dxfId="134" priority="111" operator="containsText" text="진행중">
      <formula>NOT(ISERROR(SEARCH("진행중",H8)))</formula>
    </cfRule>
  </conditionalFormatting>
  <conditionalFormatting sqref="Q20 Q22:Q28">
    <cfRule type="containsText" dxfId="133" priority="89" operator="containsText" text="완료">
      <formula>NOT(ISERROR(SEARCH("완료",Q20)))</formula>
    </cfRule>
    <cfRule type="containsText" dxfId="132" priority="90" operator="containsText" text="중단">
      <formula>NOT(ISERROR(SEARCH("중단",Q20)))</formula>
    </cfRule>
  </conditionalFormatting>
  <conditionalFormatting sqref="Q20 Q22:Q28">
    <cfRule type="containsText" dxfId="131" priority="87" operator="containsText" text="완료">
      <formula>NOT(ISERROR(SEARCH("완료",Q20)))</formula>
    </cfRule>
    <cfRule type="containsText" dxfId="130" priority="88" operator="containsText" text="중단">
      <formula>NOT(ISERROR(SEARCH("중단",Q20)))</formula>
    </cfRule>
  </conditionalFormatting>
  <conditionalFormatting sqref="Q20 Q22:Q28">
    <cfRule type="containsText" dxfId="129" priority="86" operator="containsText" text="진행중">
      <formula>NOT(ISERROR(SEARCH("진행중",Q20)))</formula>
    </cfRule>
  </conditionalFormatting>
  <conditionalFormatting sqref="R20 R22:R28">
    <cfRule type="containsText" dxfId="128" priority="84" operator="containsText" text="완료">
      <formula>NOT(ISERROR(SEARCH("완료",R20)))</formula>
    </cfRule>
    <cfRule type="containsText" dxfId="127" priority="85" operator="containsText" text="중단">
      <formula>NOT(ISERROR(SEARCH("중단",R20)))</formula>
    </cfRule>
  </conditionalFormatting>
  <conditionalFormatting sqref="R20 R22:R28">
    <cfRule type="containsText" dxfId="126" priority="82" operator="containsText" text="완료">
      <formula>NOT(ISERROR(SEARCH("완료",R20)))</formula>
    </cfRule>
    <cfRule type="containsText" dxfId="125" priority="83" operator="containsText" text="중단">
      <formula>NOT(ISERROR(SEARCH("중단",R20)))</formula>
    </cfRule>
  </conditionalFormatting>
  <conditionalFormatting sqref="R20 R22:R28">
    <cfRule type="containsText" dxfId="124" priority="81" operator="containsText" text="진행중">
      <formula>NOT(ISERROR(SEARCH("진행중",R20)))</formula>
    </cfRule>
  </conditionalFormatting>
  <conditionalFormatting sqref="S20 S22:S28">
    <cfRule type="containsText" dxfId="123" priority="79" operator="containsText" text="완료">
      <formula>NOT(ISERROR(SEARCH("완료",S20)))</formula>
    </cfRule>
    <cfRule type="containsText" dxfId="122" priority="80" operator="containsText" text="중단">
      <formula>NOT(ISERROR(SEARCH("중단",S20)))</formula>
    </cfRule>
  </conditionalFormatting>
  <conditionalFormatting sqref="S20 S22:S28">
    <cfRule type="containsText" dxfId="121" priority="77" operator="containsText" text="완료">
      <formula>NOT(ISERROR(SEARCH("완료",S20)))</formula>
    </cfRule>
    <cfRule type="containsText" dxfId="120" priority="78" operator="containsText" text="중단">
      <formula>NOT(ISERROR(SEARCH("중단",S20)))</formula>
    </cfRule>
  </conditionalFormatting>
  <conditionalFormatting sqref="S20 S22:S28">
    <cfRule type="containsText" dxfId="119" priority="76" operator="containsText" text="진행중">
      <formula>NOT(ISERROR(SEARCH("진행중",S20)))</formula>
    </cfRule>
  </conditionalFormatting>
  <conditionalFormatting sqref="T20 T22:T28">
    <cfRule type="containsText" dxfId="118" priority="74" operator="containsText" text="완료">
      <formula>NOT(ISERROR(SEARCH("완료",T20)))</formula>
    </cfRule>
    <cfRule type="containsText" dxfId="117" priority="75" operator="containsText" text="중단">
      <formula>NOT(ISERROR(SEARCH("중단",T20)))</formula>
    </cfRule>
  </conditionalFormatting>
  <conditionalFormatting sqref="T20 T22:T28">
    <cfRule type="containsText" dxfId="116" priority="72" operator="containsText" text="완료">
      <formula>NOT(ISERROR(SEARCH("완료",T20)))</formula>
    </cfRule>
    <cfRule type="containsText" dxfId="115" priority="73" operator="containsText" text="중단">
      <formula>NOT(ISERROR(SEARCH("중단",T20)))</formula>
    </cfRule>
  </conditionalFormatting>
  <conditionalFormatting sqref="T20 T22:T28">
    <cfRule type="containsText" dxfId="114" priority="71" operator="containsText" text="진행중">
      <formula>NOT(ISERROR(SEARCH("진행중",T20)))</formula>
    </cfRule>
  </conditionalFormatting>
  <conditionalFormatting sqref="U20:AC28">
    <cfRule type="containsText" dxfId="113" priority="69" operator="containsText" text="완료">
      <formula>NOT(ISERROR(SEARCH("완료",U20)))</formula>
    </cfRule>
    <cfRule type="containsText" dxfId="112" priority="70" operator="containsText" text="중단">
      <formula>NOT(ISERROR(SEARCH("중단",U20)))</formula>
    </cfRule>
  </conditionalFormatting>
  <conditionalFormatting sqref="U20:AC28">
    <cfRule type="containsText" dxfId="111" priority="67" operator="containsText" text="완료">
      <formula>NOT(ISERROR(SEARCH("완료",U20)))</formula>
    </cfRule>
    <cfRule type="containsText" dxfId="110" priority="68" operator="containsText" text="중단">
      <formula>NOT(ISERROR(SEARCH("중단",U20)))</formula>
    </cfRule>
  </conditionalFormatting>
  <conditionalFormatting sqref="U20:AC28">
    <cfRule type="containsText" dxfId="109" priority="66" operator="containsText" text="진행중">
      <formula>NOT(ISERROR(SEARCH("진행중",U20)))</formula>
    </cfRule>
  </conditionalFormatting>
  <conditionalFormatting sqref="AD20:AD28">
    <cfRule type="containsText" dxfId="108" priority="64" operator="containsText" text="완료">
      <formula>NOT(ISERROR(SEARCH("완료",AD20)))</formula>
    </cfRule>
    <cfRule type="containsText" dxfId="107" priority="65" operator="containsText" text="중단">
      <formula>NOT(ISERROR(SEARCH("중단",AD20)))</formula>
    </cfRule>
  </conditionalFormatting>
  <conditionalFormatting sqref="AD20:AD28">
    <cfRule type="containsText" dxfId="106" priority="62" operator="containsText" text="완료">
      <formula>NOT(ISERROR(SEARCH("완료",AD20)))</formula>
    </cfRule>
    <cfRule type="containsText" dxfId="105" priority="63" operator="containsText" text="중단">
      <formula>NOT(ISERROR(SEARCH("중단",AD20)))</formula>
    </cfRule>
  </conditionalFormatting>
  <conditionalFormatting sqref="AD20:AD28">
    <cfRule type="containsText" dxfId="104" priority="61" operator="containsText" text="진행중">
      <formula>NOT(ISERROR(SEARCH("진행중",AD20)))</formula>
    </cfRule>
  </conditionalFormatting>
  <conditionalFormatting sqref="AE20:AE28">
    <cfRule type="containsText" dxfId="103" priority="59" operator="containsText" text="완료">
      <formula>NOT(ISERROR(SEARCH("완료",AE20)))</formula>
    </cfRule>
    <cfRule type="containsText" dxfId="102" priority="60" operator="containsText" text="중단">
      <formula>NOT(ISERROR(SEARCH("중단",AE20)))</formula>
    </cfRule>
  </conditionalFormatting>
  <conditionalFormatting sqref="AE20:AE28">
    <cfRule type="containsText" dxfId="101" priority="57" operator="containsText" text="완료">
      <formula>NOT(ISERROR(SEARCH("완료",AE20)))</formula>
    </cfRule>
    <cfRule type="containsText" dxfId="100" priority="58" operator="containsText" text="중단">
      <formula>NOT(ISERROR(SEARCH("중단",AE20)))</formula>
    </cfRule>
  </conditionalFormatting>
  <conditionalFormatting sqref="AE20:AE28">
    <cfRule type="containsText" dxfId="99" priority="56" operator="containsText" text="진행중">
      <formula>NOT(ISERROR(SEARCH("진행중",AE20)))</formula>
    </cfRule>
  </conditionalFormatting>
  <conditionalFormatting sqref="D8:D19">
    <cfRule type="containsText" dxfId="98" priority="54" operator="containsText" text="완료">
      <formula>NOT(ISERROR(SEARCH("완료",D8)))</formula>
    </cfRule>
    <cfRule type="containsText" dxfId="97" priority="55" operator="containsText" text="중단">
      <formula>NOT(ISERROR(SEARCH("중단",D8)))</formula>
    </cfRule>
  </conditionalFormatting>
  <conditionalFormatting sqref="D11">
    <cfRule type="containsText" dxfId="96" priority="52" operator="containsText" text="완료">
      <formula>NOT(ISERROR(SEARCH("완료",D11)))</formula>
    </cfRule>
    <cfRule type="containsText" dxfId="95" priority="53" operator="containsText" text="중단">
      <formula>NOT(ISERROR(SEARCH("중단",D11)))</formula>
    </cfRule>
  </conditionalFormatting>
  <conditionalFormatting sqref="D12:D19">
    <cfRule type="containsText" dxfId="94" priority="50" operator="containsText" text="완료">
      <formula>NOT(ISERROR(SEARCH("완료",D12)))</formula>
    </cfRule>
    <cfRule type="containsText" dxfId="93" priority="51" operator="containsText" text="중단">
      <formula>NOT(ISERROR(SEARCH("중단",D12)))</formula>
    </cfRule>
  </conditionalFormatting>
  <conditionalFormatting sqref="D13:D19">
    <cfRule type="containsText" dxfId="92" priority="48" operator="containsText" text="완료">
      <formula>NOT(ISERROR(SEARCH("완료",D13)))</formula>
    </cfRule>
    <cfRule type="containsText" dxfId="91" priority="49" operator="containsText" text="중단">
      <formula>NOT(ISERROR(SEARCH("중단",D13)))</formula>
    </cfRule>
  </conditionalFormatting>
  <conditionalFormatting sqref="D8:D19">
    <cfRule type="containsText" dxfId="90" priority="47" operator="containsText" text="진행중">
      <formula>NOT(ISERROR(SEARCH("진행중",D8)))</formula>
    </cfRule>
  </conditionalFormatting>
  <conditionalFormatting sqref="D8:D20 D22:D28">
    <cfRule type="containsText" dxfId="89" priority="45" operator="containsText" text="완료">
      <formula>NOT(ISERROR(SEARCH("완료",D8)))</formula>
    </cfRule>
    <cfRule type="containsText" dxfId="88" priority="46" operator="containsText" text="중단">
      <formula>NOT(ISERROR(SEARCH("중단",D8)))</formula>
    </cfRule>
  </conditionalFormatting>
  <conditionalFormatting sqref="D8:D20 D22:D28">
    <cfRule type="containsText" dxfId="87" priority="43" operator="containsText" text="완료">
      <formula>NOT(ISERROR(SEARCH("완료",D8)))</formula>
    </cfRule>
    <cfRule type="containsText" dxfId="86" priority="44" operator="containsText" text="중단">
      <formula>NOT(ISERROR(SEARCH("중단",D8)))</formula>
    </cfRule>
  </conditionalFormatting>
  <conditionalFormatting sqref="D8:D20 D22:D28">
    <cfRule type="containsText" dxfId="85" priority="42" operator="containsText" text="진행중">
      <formula>NOT(ISERROR(SEARCH("진행중",D8)))</formula>
    </cfRule>
  </conditionalFormatting>
  <conditionalFormatting sqref="D7">
    <cfRule type="containsText" dxfId="84" priority="40" operator="containsText" text="완료">
      <formula>NOT(ISERROR(SEARCH("완료",D7)))</formula>
    </cfRule>
    <cfRule type="containsText" dxfId="83" priority="41" operator="containsText" text="중단">
      <formula>NOT(ISERROR(SEARCH("중단",D7)))</formula>
    </cfRule>
  </conditionalFormatting>
  <conditionalFormatting sqref="D7">
    <cfRule type="containsText" dxfId="82" priority="38" operator="containsText" text="완료">
      <formula>NOT(ISERROR(SEARCH("완료",D7)))</formula>
    </cfRule>
    <cfRule type="containsText" dxfId="81" priority="39" operator="containsText" text="중단">
      <formula>NOT(ISERROR(SEARCH("중단",D7)))</formula>
    </cfRule>
  </conditionalFormatting>
  <conditionalFormatting sqref="D7">
    <cfRule type="containsText" dxfId="80" priority="37" operator="containsText" text="진행중">
      <formula>NOT(ISERROR(SEARCH("진행중",D7)))</formula>
    </cfRule>
  </conditionalFormatting>
  <conditionalFormatting sqref="A1:AG15 A29:AG29 A21:C21 E21:P21 U21:AG21 A17:AG20 A16:P16 U16:AG16 A22:D28 F22:AG27 F28:AE28">
    <cfRule type="containsText" dxfId="79" priority="36" operator="containsText" text="누락">
      <formula>NOT(ISERROR(SEARCH("누락",A1)))</formula>
    </cfRule>
  </conditionalFormatting>
  <conditionalFormatting sqref="AF21:AF27">
    <cfRule type="containsText" dxfId="78" priority="34" operator="containsText" text="완료">
      <formula>NOT(ISERROR(SEARCH("완료",AF21)))</formula>
    </cfRule>
    <cfRule type="containsText" dxfId="77" priority="35" operator="containsText" text="중단">
      <formula>NOT(ISERROR(SEARCH("중단",AF21)))</formula>
    </cfRule>
  </conditionalFormatting>
  <conditionalFormatting sqref="AF21:AF27">
    <cfRule type="containsText" dxfId="76" priority="32" operator="containsText" text="완료">
      <formula>NOT(ISERROR(SEARCH("완료",AF21)))</formula>
    </cfRule>
    <cfRule type="containsText" dxfId="75" priority="33" operator="containsText" text="중단">
      <formula>NOT(ISERROR(SEARCH("중단",AF21)))</formula>
    </cfRule>
  </conditionalFormatting>
  <conditionalFormatting sqref="AF21:AF27">
    <cfRule type="containsText" dxfId="74" priority="31" operator="containsText" text="진행중">
      <formula>NOT(ISERROR(SEARCH("진행중",AF21)))</formula>
    </cfRule>
  </conditionalFormatting>
  <conditionalFormatting sqref="AG21:AG27">
    <cfRule type="containsText" dxfId="73" priority="29" operator="containsText" text="완료">
      <formula>NOT(ISERROR(SEARCH("완료",AG21)))</formula>
    </cfRule>
    <cfRule type="containsText" dxfId="72" priority="30" operator="containsText" text="중단">
      <formula>NOT(ISERROR(SEARCH("중단",AG21)))</formula>
    </cfRule>
  </conditionalFormatting>
  <conditionalFormatting sqref="AG21:AG27">
    <cfRule type="containsText" dxfId="71" priority="27" operator="containsText" text="완료">
      <formula>NOT(ISERROR(SEARCH("완료",AG21)))</formula>
    </cfRule>
    <cfRule type="containsText" dxfId="70" priority="28" operator="containsText" text="중단">
      <formula>NOT(ISERROR(SEARCH("중단",AG21)))</formula>
    </cfRule>
  </conditionalFormatting>
  <conditionalFormatting sqref="AG21:AG27">
    <cfRule type="containsText" dxfId="69" priority="26" operator="containsText" text="진행중">
      <formula>NOT(ISERROR(SEARCH("진행중",AG21)))</formula>
    </cfRule>
  </conditionalFormatting>
  <conditionalFormatting sqref="AG21:AG27">
    <cfRule type="containsText" dxfId="68" priority="24" operator="containsText" text="완료">
      <formula>NOT(ISERROR(SEARCH("완료",AG21)))</formula>
    </cfRule>
    <cfRule type="containsText" dxfId="67" priority="25" operator="containsText" text="중단">
      <formula>NOT(ISERROR(SEARCH("중단",AG21)))</formula>
    </cfRule>
  </conditionalFormatting>
  <conditionalFormatting sqref="AG21:AG27">
    <cfRule type="containsText" dxfId="66" priority="22" operator="containsText" text="완료">
      <formula>NOT(ISERROR(SEARCH("완료",AG21)))</formula>
    </cfRule>
    <cfRule type="containsText" dxfId="65" priority="23" operator="containsText" text="중단">
      <formula>NOT(ISERROR(SEARCH("중단",AG21)))</formula>
    </cfRule>
  </conditionalFormatting>
  <conditionalFormatting sqref="AG21:AG27">
    <cfRule type="containsText" dxfId="64" priority="21" operator="containsText" text="진행중">
      <formula>NOT(ISERROR(SEARCH("진행중",AG21)))</formula>
    </cfRule>
  </conditionalFormatting>
  <conditionalFormatting sqref="AF28:AG28">
    <cfRule type="containsText" dxfId="63" priority="20" operator="containsText" text="누락">
      <formula>NOT(ISERROR(SEARCH("누락",AF28)))</formula>
    </cfRule>
  </conditionalFormatting>
  <conditionalFormatting sqref="AF28">
    <cfRule type="containsText" dxfId="62" priority="18" operator="containsText" text="완료">
      <formula>NOT(ISERROR(SEARCH("완료",AF28)))</formula>
    </cfRule>
    <cfRule type="containsText" dxfId="61" priority="19" operator="containsText" text="중단">
      <formula>NOT(ISERROR(SEARCH("중단",AF28)))</formula>
    </cfRule>
  </conditionalFormatting>
  <conditionalFormatting sqref="AF28">
    <cfRule type="containsText" dxfId="60" priority="16" operator="containsText" text="완료">
      <formula>NOT(ISERROR(SEARCH("완료",AF28)))</formula>
    </cfRule>
    <cfRule type="containsText" dxfId="59" priority="17" operator="containsText" text="중단">
      <formula>NOT(ISERROR(SEARCH("중단",AF28)))</formula>
    </cfRule>
  </conditionalFormatting>
  <conditionalFormatting sqref="AF28">
    <cfRule type="containsText" dxfId="58" priority="15" operator="containsText" text="진행중">
      <formula>NOT(ISERROR(SEARCH("진행중",AF28)))</formula>
    </cfRule>
  </conditionalFormatting>
  <conditionalFormatting sqref="AG28">
    <cfRule type="containsText" dxfId="57" priority="13" operator="containsText" text="완료">
      <formula>NOT(ISERROR(SEARCH("완료",AG28)))</formula>
    </cfRule>
    <cfRule type="containsText" dxfId="56" priority="14" operator="containsText" text="중단">
      <formula>NOT(ISERROR(SEARCH("중단",AG28)))</formula>
    </cfRule>
  </conditionalFormatting>
  <conditionalFormatting sqref="AG28">
    <cfRule type="containsText" dxfId="55" priority="11" operator="containsText" text="완료">
      <formula>NOT(ISERROR(SEARCH("완료",AG28)))</formula>
    </cfRule>
    <cfRule type="containsText" dxfId="54" priority="12" operator="containsText" text="중단">
      <formula>NOT(ISERROR(SEARCH("중단",AG28)))</formula>
    </cfRule>
  </conditionalFormatting>
  <conditionalFormatting sqref="AG28">
    <cfRule type="containsText" dxfId="53" priority="10" operator="containsText" text="진행중">
      <formula>NOT(ISERROR(SEARCH("진행중",AG28)))</formula>
    </cfRule>
  </conditionalFormatting>
  <conditionalFormatting sqref="D21">
    <cfRule type="containsText" dxfId="50" priority="8" operator="containsText" text="완료">
      <formula>NOT(ISERROR(SEARCH("완료",D21)))</formula>
    </cfRule>
    <cfRule type="containsText" dxfId="49" priority="9" operator="containsText" text="중단">
      <formula>NOT(ISERROR(SEARCH("중단",D21)))</formula>
    </cfRule>
  </conditionalFormatting>
  <conditionalFormatting sqref="D21">
    <cfRule type="containsText" dxfId="48" priority="6" operator="containsText" text="완료">
      <formula>NOT(ISERROR(SEARCH("완료",D21)))</formula>
    </cfRule>
    <cfRule type="containsText" dxfId="47" priority="7" operator="containsText" text="중단">
      <formula>NOT(ISERROR(SEARCH("중단",D21)))</formula>
    </cfRule>
  </conditionalFormatting>
  <conditionalFormatting sqref="D21">
    <cfRule type="containsText" dxfId="46" priority="5" operator="containsText" text="진행중">
      <formula>NOT(ISERROR(SEARCH("진행중",D21)))</formula>
    </cfRule>
  </conditionalFormatting>
  <conditionalFormatting sqref="D21">
    <cfRule type="containsText" dxfId="45" priority="4" operator="containsText" text="누락">
      <formula>NOT(ISERROR(SEARCH("누락",D21)))</formula>
    </cfRule>
  </conditionalFormatting>
  <conditionalFormatting sqref="Q21:T21">
    <cfRule type="containsText" dxfId="42" priority="3" operator="containsText" text="누락">
      <formula>NOT(ISERROR(SEARCH("누락",Q21)))</formula>
    </cfRule>
  </conditionalFormatting>
  <conditionalFormatting sqref="Q16:T16">
    <cfRule type="containsText" dxfId="40" priority="2" operator="containsText" text="누락">
      <formula>NOT(ISERROR(SEARCH("누락",Q16)))</formula>
    </cfRule>
  </conditionalFormatting>
  <conditionalFormatting sqref="E22:E28">
    <cfRule type="containsText" dxfId="3" priority="1" operator="containsText" text="누락">
      <formula>NOT(ISERROR(SEARCH("누락",E22)))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1FBC-324E-48B5-B22E-5909EB0247F3}">
  <sheetPr>
    <tabColor theme="0" tint="-0.34998626667073579"/>
  </sheetPr>
  <dimension ref="A1:P41"/>
  <sheetViews>
    <sheetView zoomScale="85" zoomScaleNormal="85" workbookViewId="0">
      <selection activeCell="D39" sqref="D39"/>
    </sheetView>
  </sheetViews>
  <sheetFormatPr defaultRowHeight="17" x14ac:dyDescent="0.45"/>
  <cols>
    <col min="1" max="1" width="37.4140625" customWidth="1"/>
    <col min="2" max="2" width="13.33203125" customWidth="1"/>
    <col min="3" max="4" width="6.25" bestFit="1" customWidth="1"/>
    <col min="5" max="8" width="6.4140625" bestFit="1" customWidth="1"/>
    <col min="9" max="9" width="6.33203125" bestFit="1" customWidth="1"/>
    <col min="10" max="10" width="36.9140625" bestFit="1" customWidth="1"/>
    <col min="11" max="12" width="3.5" bestFit="1" customWidth="1"/>
    <col min="13" max="13" width="2.4140625" bestFit="1" customWidth="1"/>
    <col min="14" max="14" width="6.6640625" bestFit="1" customWidth="1"/>
    <col min="15" max="15" width="7.08203125" bestFit="1" customWidth="1"/>
    <col min="16" max="16" width="7.25" bestFit="1" customWidth="1"/>
  </cols>
  <sheetData>
    <row r="1" spans="1:16" ht="25.5" x14ac:dyDescent="0.45">
      <c r="A1" s="77" t="s">
        <v>43</v>
      </c>
      <c r="B1" s="78"/>
      <c r="C1" s="78"/>
      <c r="D1" s="78"/>
      <c r="E1" s="78"/>
      <c r="F1" s="78"/>
      <c r="G1" s="78"/>
      <c r="H1" s="79"/>
    </row>
    <row r="3" spans="1:16" x14ac:dyDescent="0.45">
      <c r="A3" s="57" t="s">
        <v>56</v>
      </c>
      <c r="B3" s="58"/>
      <c r="C3" s="58"/>
      <c r="D3" s="58"/>
      <c r="E3" s="58"/>
      <c r="F3" s="58"/>
      <c r="G3" s="58"/>
      <c r="H3" s="59"/>
    </row>
    <row r="4" spans="1:16" x14ac:dyDescent="0.45">
      <c r="A4" s="21"/>
      <c r="B4" s="27" t="s">
        <v>102</v>
      </c>
      <c r="C4" s="27" t="s">
        <v>49</v>
      </c>
      <c r="D4" s="27" t="s">
        <v>50</v>
      </c>
      <c r="E4" s="27" t="s">
        <v>51</v>
      </c>
      <c r="F4" s="27" t="s">
        <v>52</v>
      </c>
      <c r="G4" s="27" t="s">
        <v>53</v>
      </c>
      <c r="H4" s="27" t="s">
        <v>54</v>
      </c>
    </row>
    <row r="5" spans="1:16" x14ac:dyDescent="0.45">
      <c r="A5" s="29" t="s">
        <v>106</v>
      </c>
      <c r="B5" s="16">
        <f>SUM(C5:H5)</f>
        <v>32</v>
      </c>
      <c r="C5" s="30">
        <f>COUNTIF('ES#8'!$A$7:$A$29,LEFT(A5,10))</f>
        <v>4</v>
      </c>
      <c r="D5" s="30">
        <f>COUNTIF('ES#9'!$A$7:$A$29,LEFT(A5,10))</f>
        <v>4</v>
      </c>
      <c r="E5" s="30">
        <f>COUNTIF('PP#2'!$A$7:$A$15,LEFT(A5,10))</f>
        <v>6</v>
      </c>
      <c r="F5" s="30">
        <f>COUNTIF('PP#3'!$A$7:$A$15,LEFT(A5,10))</f>
        <v>6</v>
      </c>
      <c r="G5" s="30">
        <f>COUNTIF('PP#4'!$A$7:$A$15,LEFT(A5,10))</f>
        <v>6</v>
      </c>
      <c r="H5" s="30">
        <f>COUNTIF('PP#5'!$A$7:$A$15,LEFT(A5,10))</f>
        <v>6</v>
      </c>
    </row>
    <row r="6" spans="1:16" x14ac:dyDescent="0.45">
      <c r="A6" s="29" t="s">
        <v>107</v>
      </c>
      <c r="B6" s="16">
        <f>SUM(C6:H6)</f>
        <v>18</v>
      </c>
      <c r="C6" s="30">
        <f>COUNTIF('ES#8'!$A$7:$A$29,LEFT(A6,10))</f>
        <v>3</v>
      </c>
      <c r="D6" s="30">
        <f>COUNTIF('ES#9'!$A$7:$A$29,LEFT(A6,10))</f>
        <v>3</v>
      </c>
      <c r="E6" s="30">
        <f>COUNTIF('PP#2'!$A$7:$A$15,LEFT(A6,10))</f>
        <v>3</v>
      </c>
      <c r="F6" s="30">
        <f>COUNTIF('PP#3'!$A$7:$A$15,LEFT(A6,10))</f>
        <v>3</v>
      </c>
      <c r="G6" s="30">
        <f>COUNTIF('PP#4'!$A$7:$A$15,LEFT(A6,10))</f>
        <v>3</v>
      </c>
      <c r="H6" s="30">
        <f>COUNTIF('PP#5'!$A$7:$A$15,LEFT(A6,10))</f>
        <v>3</v>
      </c>
    </row>
    <row r="7" spans="1:16" x14ac:dyDescent="0.45">
      <c r="A7" s="29" t="s">
        <v>118</v>
      </c>
      <c r="B7" s="16">
        <f>SUM(C7:H7)</f>
        <v>8</v>
      </c>
      <c r="C7" s="30">
        <f>COUNTIF('ES#8'!$A$7:$A$29,LEFT(A7,10))</f>
        <v>4</v>
      </c>
      <c r="D7" s="30">
        <f>COUNTIF('ES#9'!$A$7:$A$29,LEFT(A7,10))</f>
        <v>4</v>
      </c>
      <c r="E7" s="30">
        <f>COUNTIF('PP#2'!$A$7:$A$15,LEFT(A7,10))</f>
        <v>0</v>
      </c>
      <c r="F7" s="30">
        <f>COUNTIF('PP#3'!$A$7:$A$15,LEFT(A7,10))</f>
        <v>0</v>
      </c>
      <c r="G7" s="30">
        <f>COUNTIF('PP#4'!$A$7:$A$15,LEFT(A7,10))</f>
        <v>0</v>
      </c>
      <c r="H7" s="30">
        <f>COUNTIF('PP#5'!$A$7:$A$15,LEFT(A7,10))</f>
        <v>0</v>
      </c>
    </row>
    <row r="8" spans="1:16" x14ac:dyDescent="0.45">
      <c r="A8" s="29"/>
      <c r="B8" s="16"/>
      <c r="C8" s="30"/>
      <c r="D8" s="30"/>
      <c r="E8" s="30"/>
      <c r="F8" s="30"/>
      <c r="G8" s="30"/>
      <c r="H8" s="30"/>
    </row>
    <row r="10" spans="1:16" x14ac:dyDescent="0.45">
      <c r="A10" s="57" t="s">
        <v>55</v>
      </c>
      <c r="B10" s="58"/>
      <c r="C10" s="58"/>
      <c r="D10" s="58"/>
      <c r="E10" s="58"/>
      <c r="F10" s="58"/>
      <c r="G10" s="58"/>
      <c r="H10" s="59"/>
    </row>
    <row r="11" spans="1:16" x14ac:dyDescent="0.45">
      <c r="A11" s="21"/>
      <c r="B11" s="27" t="s">
        <v>102</v>
      </c>
      <c r="C11" s="27" t="s">
        <v>49</v>
      </c>
      <c r="D11" s="27" t="s">
        <v>50</v>
      </c>
      <c r="E11" s="27" t="s">
        <v>51</v>
      </c>
      <c r="F11" s="27" t="s">
        <v>52</v>
      </c>
      <c r="G11" s="27" t="s">
        <v>53</v>
      </c>
      <c r="H11" s="27" t="s">
        <v>54</v>
      </c>
    </row>
    <row r="12" spans="1:16" x14ac:dyDescent="0.45">
      <c r="A12" s="38" t="s">
        <v>103</v>
      </c>
      <c r="B12" s="16">
        <f>SUM(C12:H12)</f>
        <v>58</v>
      </c>
      <c r="C12" s="32">
        <f>_xlfn.LET(
  _xlpm.ym, LEFT($A12,7),
  _xlpm.d0, DATEVALUE(_xlpm.ym &amp; "-01"),
  COUNTIFS('ES#8'!$A$7:$A$29, "&gt;=" &amp; _xlpm.d0,
           'ES#8'!$A$7:$A$29, "&lt;"  &amp; EOMONTH(_xlpm.d0,0)+1)
)</f>
        <v>11</v>
      </c>
      <c r="D12" s="32">
        <f>_xlfn.LET(
  _xlpm.ym, LEFT($A12,7),
  _xlpm.d0, DATEVALUE(_xlpm.ym &amp; "-01"),
  COUNTIFS('ES#9'!$A$7:$A$29, "&gt;=" &amp; _xlpm.d0,
           'ES#9'!$A$7:$A$29, "&lt;"  &amp; EOMONTH(_xlpm.d0,0)+1)
)</f>
        <v>11</v>
      </c>
      <c r="E12" s="32">
        <f>_xlfn.LET(
  _xlpm.ym, LEFT($A12,7),
  _xlpm.d0, DATEVALUE(_xlpm.ym &amp; "-01"),
  COUNTIFS('PP#2'!$A$7:$A$15, "&gt;=" &amp; _xlpm.d0,
           'PP#2'!$A$7:$A$15, "&lt;"  &amp; EOMONTH(_xlpm.d0,0)+1)
)</f>
        <v>9</v>
      </c>
      <c r="F12" s="32">
        <f>_xlfn.LET(
  _xlpm.ym, LEFT($A12,7),
  _xlpm.d0, DATEVALUE(_xlpm.ym &amp; "-01"),
  COUNTIFS('PP#3'!$A$7:$A$15, "&gt;=" &amp; _xlpm.d0,
           'PP#3'!$A$7:$A$15, "&lt;"  &amp; EOMONTH(_xlpm.d0,0)+1)
)</f>
        <v>9</v>
      </c>
      <c r="G12" s="32">
        <f>_xlfn.LET(
  _xlpm.ym, LEFT($A12,7),
  _xlpm.d0, DATEVALUE(_xlpm.ym &amp; "-01"),
  COUNTIFS('PP#4'!$A$7:$A$15, "&gt;=" &amp; _xlpm.d0,
           'PP#4'!$A$7:$A$15, "&lt;"  &amp; EOMONTH(_xlpm.d0,0)+1)
)</f>
        <v>9</v>
      </c>
      <c r="H12" s="32">
        <f>_xlfn.LET(
  _xlpm.ym, LEFT($A12,7),
  _xlpm.d0, DATEVALUE(_xlpm.ym &amp; "-01"),
  COUNTIFS('PP#5'!$A$7:$A$15, "&gt;=" &amp; _xlpm.d0,
           'PP#5'!$A$7:$A$15, "&lt;"  &amp; EOMONTH(_xlpm.d0,0)+1)
)</f>
        <v>9</v>
      </c>
      <c r="J12" s="38" t="s">
        <v>126</v>
      </c>
      <c r="K12" s="32">
        <f t="shared" ref="K12:P12" si="0">SUM(C5:C8)</f>
        <v>11</v>
      </c>
      <c r="L12" s="32">
        <f t="shared" si="0"/>
        <v>11</v>
      </c>
      <c r="M12" s="32">
        <f t="shared" si="0"/>
        <v>9</v>
      </c>
      <c r="N12" s="32">
        <f t="shared" si="0"/>
        <v>9</v>
      </c>
      <c r="O12" s="32">
        <f t="shared" si="0"/>
        <v>9</v>
      </c>
      <c r="P12" s="32">
        <f t="shared" si="0"/>
        <v>9</v>
      </c>
    </row>
    <row r="13" spans="1:16" x14ac:dyDescent="0.45">
      <c r="A13" s="38" t="s">
        <v>108</v>
      </c>
      <c r="B13" s="16"/>
      <c r="C13" s="32"/>
      <c r="D13" s="32"/>
      <c r="E13" s="32"/>
      <c r="F13" s="32"/>
      <c r="G13" s="32"/>
      <c r="H13" s="32"/>
    </row>
    <row r="16" spans="1:16" x14ac:dyDescent="0.45">
      <c r="A16" s="65" t="s">
        <v>117</v>
      </c>
      <c r="B16" s="65"/>
      <c r="C16" s="65"/>
      <c r="D16" s="65"/>
      <c r="E16" s="65"/>
      <c r="F16" s="65"/>
      <c r="G16" s="65"/>
      <c r="H16" s="66"/>
    </row>
    <row r="17" spans="1:8" x14ac:dyDescent="0.45">
      <c r="A17" s="29" t="s">
        <v>112</v>
      </c>
      <c r="B17" s="29" t="s">
        <v>100</v>
      </c>
      <c r="C17" s="74" t="s">
        <v>101</v>
      </c>
      <c r="D17" s="75"/>
      <c r="E17" s="75"/>
      <c r="F17" s="75"/>
      <c r="G17" s="75"/>
      <c r="H17" s="76"/>
    </row>
    <row r="18" spans="1:8" x14ac:dyDescent="0.45">
      <c r="A18" s="31" t="s">
        <v>42</v>
      </c>
      <c r="B18" s="16">
        <f>SUM(B5:B6)</f>
        <v>50</v>
      </c>
      <c r="C18" s="91"/>
      <c r="D18" s="86"/>
      <c r="E18" s="86"/>
      <c r="F18" s="86"/>
      <c r="G18" s="86"/>
      <c r="H18" s="87"/>
    </row>
    <row r="19" spans="1:8" x14ac:dyDescent="0.45">
      <c r="A19" s="40" t="s">
        <v>57</v>
      </c>
      <c r="B19" s="16">
        <f>COUNT(B5:B6)</f>
        <v>2</v>
      </c>
      <c r="C19" s="91"/>
      <c r="D19" s="86"/>
      <c r="E19" s="86"/>
      <c r="F19" s="86"/>
      <c r="G19" s="86"/>
      <c r="H19" s="87"/>
    </row>
    <row r="20" spans="1:8" x14ac:dyDescent="0.45">
      <c r="A20" s="40" t="s">
        <v>104</v>
      </c>
      <c r="B20" s="16">
        <f>COUNT(B12:B13)</f>
        <v>1</v>
      </c>
      <c r="C20" s="91"/>
      <c r="D20" s="86"/>
      <c r="E20" s="86"/>
      <c r="F20" s="86"/>
      <c r="G20" s="86"/>
      <c r="H20" s="87"/>
    </row>
    <row r="21" spans="1:8" x14ac:dyDescent="0.45">
      <c r="A21" s="43" t="s">
        <v>93</v>
      </c>
      <c r="B21" s="16">
        <f>ROUNDDOWN(B18/B19,1)</f>
        <v>25</v>
      </c>
      <c r="C21" s="88" t="s">
        <v>105</v>
      </c>
      <c r="D21" s="89"/>
      <c r="E21" s="89"/>
      <c r="F21" s="89"/>
      <c r="G21" s="89"/>
      <c r="H21" s="90"/>
    </row>
    <row r="22" spans="1:8" x14ac:dyDescent="0.45">
      <c r="A22" s="40" t="s">
        <v>98</v>
      </c>
      <c r="B22" s="16"/>
      <c r="C22" s="85" t="s">
        <v>99</v>
      </c>
      <c r="D22" s="86"/>
      <c r="E22" s="86"/>
      <c r="F22" s="86"/>
      <c r="G22" s="86"/>
      <c r="H22" s="87"/>
    </row>
    <row r="25" spans="1:8" ht="17" customHeight="1" x14ac:dyDescent="0.45">
      <c r="A25" s="77" t="s">
        <v>110</v>
      </c>
      <c r="B25" s="78"/>
      <c r="C25" s="78"/>
      <c r="D25" s="78"/>
      <c r="E25" s="78"/>
      <c r="F25" s="78"/>
      <c r="G25" s="78"/>
      <c r="H25" s="79"/>
    </row>
    <row r="26" spans="1:8" ht="17" customHeight="1" x14ac:dyDescent="0.45">
      <c r="A26" s="82"/>
      <c r="B26" s="83"/>
      <c r="C26" s="83"/>
      <c r="D26" s="83"/>
      <c r="E26" s="83"/>
      <c r="F26" s="83"/>
      <c r="G26" s="83"/>
      <c r="H26" s="84"/>
    </row>
    <row r="27" spans="1:8" x14ac:dyDescent="0.45">
      <c r="A27" s="80" t="s">
        <v>111</v>
      </c>
      <c r="B27" s="36" t="s">
        <v>29</v>
      </c>
      <c r="C27" s="16">
        <v>2.2599999999999998</v>
      </c>
      <c r="D27" s="37"/>
      <c r="E27" s="37"/>
      <c r="F27" s="33"/>
      <c r="G27" s="33"/>
      <c r="H27" s="28"/>
    </row>
    <row r="28" spans="1:8" x14ac:dyDescent="0.45">
      <c r="A28" s="81"/>
      <c r="B28" s="38" t="s">
        <v>41</v>
      </c>
      <c r="C28" s="16"/>
      <c r="D28" s="39"/>
      <c r="E28" s="39"/>
      <c r="F28" s="33"/>
      <c r="G28" s="33"/>
      <c r="H28" s="28"/>
    </row>
    <row r="29" spans="1:8" x14ac:dyDescent="0.45">
      <c r="A29" s="81"/>
      <c r="B29" s="39"/>
      <c r="C29" s="16"/>
      <c r="D29" s="39"/>
      <c r="E29" s="39"/>
      <c r="F29" s="33"/>
      <c r="G29" s="33"/>
      <c r="H29" s="28"/>
    </row>
    <row r="30" spans="1:8" x14ac:dyDescent="0.45">
      <c r="A30" s="81"/>
      <c r="B30" s="39"/>
      <c r="C30" s="16"/>
      <c r="D30" s="39"/>
      <c r="E30" s="39"/>
      <c r="F30" s="33"/>
      <c r="G30" s="33"/>
      <c r="H30" s="28"/>
    </row>
    <row r="31" spans="1:8" x14ac:dyDescent="0.45">
      <c r="A31" s="81"/>
      <c r="B31" s="39"/>
      <c r="C31" s="16"/>
      <c r="D31" s="39"/>
      <c r="E31" s="39"/>
      <c r="F31" s="33"/>
      <c r="G31" s="33"/>
      <c r="H31" s="28"/>
    </row>
    <row r="34" spans="1:8" x14ac:dyDescent="0.45">
      <c r="A34" s="77" t="s">
        <v>124</v>
      </c>
      <c r="B34" s="78"/>
      <c r="C34" s="78"/>
      <c r="D34" s="78"/>
      <c r="E34" s="78"/>
      <c r="F34" s="78"/>
      <c r="G34" s="78"/>
      <c r="H34" s="79"/>
    </row>
    <row r="35" spans="1:8" x14ac:dyDescent="0.45">
      <c r="A35" s="82"/>
      <c r="B35" s="83"/>
      <c r="C35" s="83"/>
      <c r="D35" s="83"/>
      <c r="E35" s="83"/>
      <c r="F35" s="83"/>
      <c r="G35" s="83"/>
      <c r="H35" s="84"/>
    </row>
    <row r="36" spans="1:8" x14ac:dyDescent="0.45">
      <c r="A36" s="81" t="s">
        <v>123</v>
      </c>
      <c r="B36" s="29" t="s">
        <v>32</v>
      </c>
      <c r="C36" s="16"/>
      <c r="D36" s="39"/>
      <c r="E36" s="39"/>
      <c r="F36" s="33"/>
      <c r="G36" s="33"/>
      <c r="H36" s="28"/>
    </row>
    <row r="37" spans="1:8" x14ac:dyDescent="0.45">
      <c r="A37" s="81"/>
      <c r="B37" s="39"/>
      <c r="C37" s="16"/>
      <c r="D37" s="39"/>
      <c r="E37" s="39"/>
      <c r="F37" s="33"/>
      <c r="G37" s="33"/>
      <c r="H37" s="28"/>
    </row>
    <row r="38" spans="1:8" x14ac:dyDescent="0.45">
      <c r="A38" s="81"/>
      <c r="B38" s="39"/>
      <c r="C38" s="16"/>
      <c r="D38" s="39"/>
      <c r="E38" s="39"/>
      <c r="F38" s="33"/>
      <c r="G38" s="33"/>
      <c r="H38" s="28"/>
    </row>
    <row r="39" spans="1:8" x14ac:dyDescent="0.45">
      <c r="A39" s="81"/>
      <c r="B39" s="39"/>
      <c r="C39" s="16"/>
      <c r="D39" s="39"/>
      <c r="E39" s="39"/>
      <c r="F39" s="33"/>
      <c r="G39" s="33"/>
      <c r="H39" s="28"/>
    </row>
    <row r="40" spans="1:8" x14ac:dyDescent="0.45">
      <c r="A40" s="81"/>
      <c r="B40" s="39"/>
      <c r="C40" s="16"/>
      <c r="D40" s="39"/>
      <c r="E40" s="39"/>
      <c r="F40" s="33"/>
      <c r="G40" s="33"/>
      <c r="H40" s="28"/>
    </row>
    <row r="41" spans="1:8" x14ac:dyDescent="0.45">
      <c r="A41" s="81"/>
      <c r="B41" s="39"/>
      <c r="C41" s="16"/>
      <c r="D41" s="39"/>
      <c r="E41" s="39"/>
      <c r="F41" s="34"/>
      <c r="G41" s="34"/>
      <c r="H41" s="35"/>
    </row>
  </sheetData>
  <mergeCells count="14">
    <mergeCell ref="C17:H17"/>
    <mergeCell ref="A1:H1"/>
    <mergeCell ref="A16:H16"/>
    <mergeCell ref="A27:A31"/>
    <mergeCell ref="A36:A41"/>
    <mergeCell ref="A25:H26"/>
    <mergeCell ref="A3:H3"/>
    <mergeCell ref="A10:H10"/>
    <mergeCell ref="A34:H35"/>
    <mergeCell ref="C22:H22"/>
    <mergeCell ref="C21:H21"/>
    <mergeCell ref="C20:H20"/>
    <mergeCell ref="C19:H19"/>
    <mergeCell ref="C18:H18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FB6B-4A32-4870-A87D-4420F9F6B8F4}">
  <sheetPr>
    <tabColor theme="0" tint="-0.34998626667073579"/>
  </sheetPr>
  <dimension ref="B4:D6"/>
  <sheetViews>
    <sheetView workbookViewId="0">
      <selection activeCell="D39" sqref="D39"/>
    </sheetView>
  </sheetViews>
  <sheetFormatPr defaultRowHeight="17" x14ac:dyDescent="0.45"/>
  <cols>
    <col min="2" max="2" width="21.08203125" bestFit="1" customWidth="1"/>
    <col min="3" max="3" width="84.83203125" bestFit="1" customWidth="1"/>
    <col min="4" max="4" width="12.33203125" bestFit="1" customWidth="1"/>
  </cols>
  <sheetData>
    <row r="4" spans="2:4" x14ac:dyDescent="0.45">
      <c r="B4" s="15" t="s">
        <v>95</v>
      </c>
      <c r="C4" s="26" t="s">
        <v>96</v>
      </c>
      <c r="D4" s="15" t="s">
        <v>115</v>
      </c>
    </row>
    <row r="5" spans="2:4" ht="170" x14ac:dyDescent="0.45">
      <c r="B5" s="15" t="s">
        <v>97</v>
      </c>
      <c r="C5" s="26" t="s">
        <v>94</v>
      </c>
      <c r="D5" s="15" t="s">
        <v>116</v>
      </c>
    </row>
    <row r="6" spans="2:4" ht="170" x14ac:dyDescent="0.45">
      <c r="B6" s="15" t="s">
        <v>113</v>
      </c>
      <c r="C6" s="26" t="s">
        <v>114</v>
      </c>
      <c r="D6" s="15" t="s">
        <v>116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시험</vt:lpstr>
      <vt:lpstr>ES#8</vt:lpstr>
      <vt:lpstr>ES#9</vt:lpstr>
      <vt:lpstr>PP#2</vt:lpstr>
      <vt:lpstr>PP#3</vt:lpstr>
      <vt:lpstr>PP#4</vt:lpstr>
      <vt:lpstr>PP#5</vt:lpstr>
      <vt:lpstr>종합</vt:lpstr>
      <vt:lpstr>특이사항 상세(raw)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용환 김</dc:creator>
  <cp:lastModifiedBy>USER</cp:lastModifiedBy>
  <cp:lastPrinted>2025-11-07T00:32:12Z</cp:lastPrinted>
  <dcterms:created xsi:type="dcterms:W3CDTF">2025-11-05T00:03:51Z</dcterms:created>
  <dcterms:modified xsi:type="dcterms:W3CDTF">2025-11-12T07:57:41Z</dcterms:modified>
</cp:coreProperties>
</file>