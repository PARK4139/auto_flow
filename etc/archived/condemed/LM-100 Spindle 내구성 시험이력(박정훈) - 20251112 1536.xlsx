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B5CECD2F-13E5-434D-8A8B-76D62DC2FB32}" xr6:coauthVersionLast="47" xr6:coauthVersionMax="47" xr10:uidLastSave="{00000000-0000-0000-0000-000000000000}"/>
  <bookViews>
    <workbookView xWindow="-110" yWindow="-110" windowWidth="25820" windowHeight="15500" firstSheet="1" activeTab="3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8" l="1"/>
  <c r="G21" i="18"/>
  <c r="H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G28" i="16"/>
  <c r="AF28" i="16"/>
  <c r="AG28" i="17"/>
  <c r="AF28" i="17"/>
  <c r="AG28" i="2"/>
  <c r="AF28" i="2"/>
  <c r="I17" i="18"/>
  <c r="G17" i="18" s="1"/>
  <c r="F18" i="18"/>
  <c r="I18" i="18"/>
  <c r="F19" i="18"/>
  <c r="I19" i="18"/>
  <c r="G19" i="18" s="1"/>
  <c r="F20" i="18"/>
  <c r="I20" i="18"/>
  <c r="H20" i="18" s="1"/>
  <c r="I21" i="18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AC7" i="2"/>
  <c r="AB7" i="2"/>
  <c r="AA7" i="2"/>
  <c r="Z7" i="2"/>
  <c r="Y7" i="2"/>
  <c r="X7" i="2"/>
  <c r="W7" i="2"/>
  <c r="V7" i="2"/>
  <c r="U7" i="2"/>
  <c r="T7" i="2"/>
  <c r="S7" i="2"/>
  <c r="R7" i="2"/>
  <c r="Q7" i="2"/>
  <c r="E28" i="15"/>
  <c r="E21" i="15"/>
  <c r="E28" i="16"/>
  <c r="E28" i="17"/>
  <c r="E28" i="2"/>
  <c r="E20" i="15"/>
  <c r="O9" i="19"/>
  <c r="O10" i="19"/>
  <c r="O11" i="19"/>
  <c r="O12" i="19"/>
  <c r="O13" i="19"/>
  <c r="O14" i="19"/>
  <c r="O15" i="19"/>
  <c r="O16" i="19"/>
  <c r="K17" i="19"/>
  <c r="L17" i="19"/>
  <c r="M17" i="19"/>
  <c r="N17" i="19"/>
  <c r="O17" i="19"/>
  <c r="L18" i="19"/>
  <c r="O18" i="19"/>
  <c r="K19" i="19"/>
  <c r="L19" i="19"/>
  <c r="M19" i="19"/>
  <c r="N19" i="19"/>
  <c r="O19" i="19"/>
  <c r="K20" i="19"/>
  <c r="L20" i="19"/>
  <c r="M20" i="19"/>
  <c r="N20" i="19"/>
  <c r="O20" i="19"/>
  <c r="K21" i="19"/>
  <c r="L21" i="19"/>
  <c r="M21" i="19"/>
  <c r="N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K18" i="18"/>
  <c r="L18" i="18"/>
  <c r="M18" i="18"/>
  <c r="N18" i="18"/>
  <c r="O18" i="18"/>
  <c r="K19" i="18"/>
  <c r="L19" i="18"/>
  <c r="M19" i="18"/>
  <c r="N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W8" i="16" s="1"/>
  <c r="B28" i="17"/>
  <c r="D28" i="17" s="1"/>
  <c r="B8" i="17"/>
  <c r="Y8" i="17" s="1"/>
  <c r="B28" i="15"/>
  <c r="D28" i="15" s="1"/>
  <c r="B21" i="15"/>
  <c r="D21" i="15" s="1"/>
  <c r="B20" i="15"/>
  <c r="D20" i="15" s="1"/>
  <c r="B8" i="15"/>
  <c r="Y8" i="15" s="1"/>
  <c r="B28" i="2"/>
  <c r="D28" i="2" s="1"/>
  <c r="B8" i="2"/>
  <c r="W8" i="2" s="1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U8" i="19" s="1"/>
  <c r="B8" i="18"/>
  <c r="X8" i="18" s="1"/>
  <c r="H6" i="10"/>
  <c r="G6" i="10"/>
  <c r="F6" i="10"/>
  <c r="E6" i="10"/>
  <c r="D6" i="10"/>
  <c r="C6" i="10"/>
  <c r="D7" i="15"/>
  <c r="AB7" i="15"/>
  <c r="AA7" i="15"/>
  <c r="Z7" i="15"/>
  <c r="Y7" i="15"/>
  <c r="X7" i="15"/>
  <c r="W7" i="15"/>
  <c r="V7" i="15"/>
  <c r="U7" i="15"/>
  <c r="AB7" i="19"/>
  <c r="AA7" i="19"/>
  <c r="Z7" i="19"/>
  <c r="Y7" i="19"/>
  <c r="X7" i="19"/>
  <c r="W7" i="19"/>
  <c r="V7" i="19"/>
  <c r="U7" i="19"/>
  <c r="AB8" i="18"/>
  <c r="Y8" i="18"/>
  <c r="W8" i="18"/>
  <c r="U8" i="18"/>
  <c r="AB7" i="18"/>
  <c r="AA7" i="18"/>
  <c r="Z7" i="18"/>
  <c r="Y7" i="18"/>
  <c r="X7" i="18"/>
  <c r="W7" i="18"/>
  <c r="V7" i="18"/>
  <c r="U7" i="18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C7" i="19"/>
  <c r="T7" i="19"/>
  <c r="S7" i="19"/>
  <c r="R7" i="19"/>
  <c r="Q7" i="19"/>
  <c r="AE8" i="18"/>
  <c r="AD8" i="18"/>
  <c r="AC8" i="18"/>
  <c r="T8" i="18"/>
  <c r="S8" i="18"/>
  <c r="R8" i="18"/>
  <c r="Q8" i="18"/>
  <c r="C7" i="18"/>
  <c r="AE7" i="18"/>
  <c r="AD7" i="18"/>
  <c r="AC7" i="18"/>
  <c r="T7" i="18"/>
  <c r="S7" i="18"/>
  <c r="R7" i="18"/>
  <c r="Q7" i="18"/>
  <c r="C7" i="17"/>
  <c r="AE7" i="17"/>
  <c r="AD7" i="17"/>
  <c r="C8" i="16"/>
  <c r="C7" i="16"/>
  <c r="AE7" i="16"/>
  <c r="AD7" i="16"/>
  <c r="AE8" i="15"/>
  <c r="AC8" i="15"/>
  <c r="S8" i="15"/>
  <c r="R8" i="15"/>
  <c r="C7" i="15"/>
  <c r="AE7" i="15"/>
  <c r="AD7" i="15"/>
  <c r="AC7" i="15"/>
  <c r="T7" i="15"/>
  <c r="S7" i="15"/>
  <c r="R7" i="15"/>
  <c r="Q7" i="15"/>
  <c r="C7" i="2"/>
  <c r="AD8" i="15" l="1"/>
  <c r="C8" i="18"/>
  <c r="Z8" i="18"/>
  <c r="AA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V8" i="18"/>
  <c r="M20" i="18"/>
  <c r="N18" i="19"/>
  <c r="B9" i="18"/>
  <c r="AB9" i="18" s="1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Y8" i="19"/>
  <c r="G14" i="16"/>
  <c r="G15" i="16" s="1"/>
  <c r="G16" i="16" s="1"/>
  <c r="G17" i="16" s="1"/>
  <c r="G18" i="16" s="1"/>
  <c r="G19" i="16" s="1"/>
  <c r="T8" i="15"/>
  <c r="AD8" i="19"/>
  <c r="X8" i="15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T8" i="2"/>
  <c r="T8" i="17"/>
  <c r="R8" i="19"/>
  <c r="N20" i="15"/>
  <c r="U8" i="2"/>
  <c r="U8" i="17"/>
  <c r="C8" i="19"/>
  <c r="C8" i="2"/>
  <c r="Q8" i="19"/>
  <c r="Q8" i="15"/>
  <c r="S9" i="18"/>
  <c r="S8" i="19"/>
  <c r="O12" i="10"/>
  <c r="W8" i="19"/>
  <c r="M20" i="15"/>
  <c r="AC8" i="2"/>
  <c r="AC8" i="17"/>
  <c r="H17" i="19"/>
  <c r="T8" i="19"/>
  <c r="P12" i="10"/>
  <c r="X8" i="19"/>
  <c r="K13" i="19"/>
  <c r="K14" i="19" s="1"/>
  <c r="K15" i="19" s="1"/>
  <c r="K16" i="19" s="1"/>
  <c r="AC8" i="19"/>
  <c r="I20" i="2"/>
  <c r="I20" i="17"/>
  <c r="B9" i="16"/>
  <c r="B10" i="16" s="1"/>
  <c r="AA8" i="16"/>
  <c r="S8" i="16"/>
  <c r="AD8" i="16"/>
  <c r="AE8" i="16"/>
  <c r="V8" i="16"/>
  <c r="U8" i="16"/>
  <c r="AC8" i="16"/>
  <c r="T8" i="16"/>
  <c r="AB8" i="16"/>
  <c r="R8" i="16"/>
  <c r="Z8" i="16"/>
  <c r="Q8" i="16"/>
  <c r="Y8" i="16"/>
  <c r="X8" i="16"/>
  <c r="I20" i="16"/>
  <c r="B9" i="15"/>
  <c r="D9" i="15" s="1"/>
  <c r="W8" i="15"/>
  <c r="U8" i="15"/>
  <c r="AB8" i="15"/>
  <c r="AA8" i="15"/>
  <c r="Z8" i="15"/>
  <c r="C8" i="15"/>
  <c r="N12" i="10"/>
  <c r="L12" i="10"/>
  <c r="Z8" i="19"/>
  <c r="L20" i="15"/>
  <c r="V8" i="2"/>
  <c r="V8" i="17"/>
  <c r="M12" i="10"/>
  <c r="AA8" i="19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X8" i="17"/>
  <c r="AB8" i="19"/>
  <c r="AA8" i="2"/>
  <c r="S8" i="2"/>
  <c r="AD8" i="2"/>
  <c r="AE8" i="2"/>
  <c r="M21" i="15"/>
  <c r="X8" i="2"/>
  <c r="W8" i="17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Y8" i="2"/>
  <c r="Q8" i="17"/>
  <c r="Z8" i="17"/>
  <c r="G20" i="19"/>
  <c r="H20" i="19"/>
  <c r="G28" i="18"/>
  <c r="H28" i="18"/>
  <c r="G18" i="18"/>
  <c r="H18" i="18"/>
  <c r="V8" i="19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Q8" i="2"/>
  <c r="Z8" i="2"/>
  <c r="R8" i="17"/>
  <c r="AA8" i="17"/>
  <c r="B9" i="19"/>
  <c r="AB9" i="19" s="1"/>
  <c r="R8" i="2"/>
  <c r="AB8" i="2"/>
  <c r="S8" i="17"/>
  <c r="AB8" i="17"/>
  <c r="H16" i="19"/>
  <c r="G16" i="19"/>
  <c r="H19" i="19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V8" i="15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U9" i="15"/>
  <c r="AB9" i="15"/>
  <c r="V9" i="15"/>
  <c r="S9" i="15"/>
  <c r="B12" i="10"/>
  <c r="B20" i="10" s="1"/>
  <c r="B6" i="10"/>
  <c r="B5" i="10"/>
  <c r="V9" i="18" l="1"/>
  <c r="B10" i="18"/>
  <c r="Y10" i="18" s="1"/>
  <c r="AD9" i="15"/>
  <c r="AD9" i="18"/>
  <c r="X9" i="18"/>
  <c r="W9" i="15"/>
  <c r="AA9" i="18"/>
  <c r="Q9" i="18"/>
  <c r="R9" i="18"/>
  <c r="AC9" i="15"/>
  <c r="Q9" i="2"/>
  <c r="AB9" i="2"/>
  <c r="V9" i="2"/>
  <c r="AD9" i="2"/>
  <c r="AC9" i="2"/>
  <c r="T9" i="2"/>
  <c r="X9" i="15"/>
  <c r="Q9" i="15"/>
  <c r="AE9" i="15"/>
  <c r="R9" i="15"/>
  <c r="U9" i="2"/>
  <c r="N20" i="2"/>
  <c r="C9" i="15"/>
  <c r="AA9" i="15"/>
  <c r="W9" i="2"/>
  <c r="Y9" i="18"/>
  <c r="C9" i="18"/>
  <c r="AE9" i="18"/>
  <c r="T9" i="18"/>
  <c r="W9" i="18"/>
  <c r="AC9" i="18"/>
  <c r="U9" i="18"/>
  <c r="C9" i="2"/>
  <c r="Y9" i="15"/>
  <c r="B10" i="15"/>
  <c r="D10" i="15" s="1"/>
  <c r="R9" i="2"/>
  <c r="X9" i="2"/>
  <c r="AA9" i="2"/>
  <c r="Y9" i="2"/>
  <c r="T10" i="18"/>
  <c r="Z9" i="15"/>
  <c r="T9" i="15"/>
  <c r="Z9" i="2"/>
  <c r="S9" i="2"/>
  <c r="Z9" i="18"/>
  <c r="T9" i="19"/>
  <c r="L20" i="16"/>
  <c r="C9" i="16"/>
  <c r="AA9" i="19"/>
  <c r="U9" i="19"/>
  <c r="R9" i="19"/>
  <c r="N20" i="16"/>
  <c r="V9" i="19"/>
  <c r="S9" i="19"/>
  <c r="C9" i="19"/>
  <c r="Q9" i="19"/>
  <c r="B10" i="19"/>
  <c r="T10" i="19" s="1"/>
  <c r="Y9" i="19"/>
  <c r="AE9" i="19"/>
  <c r="Z9" i="19"/>
  <c r="AC9" i="19"/>
  <c r="K20" i="17"/>
  <c r="L20" i="17"/>
  <c r="N20" i="17"/>
  <c r="G20" i="17"/>
  <c r="M20" i="17"/>
  <c r="I21" i="17"/>
  <c r="H20" i="17"/>
  <c r="X10" i="18"/>
  <c r="W9" i="19"/>
  <c r="X9" i="19"/>
  <c r="AD9" i="19"/>
  <c r="K20" i="16"/>
  <c r="M20" i="16"/>
  <c r="G20" i="16"/>
  <c r="H20" i="16"/>
  <c r="I21" i="16"/>
  <c r="Z10" i="18"/>
  <c r="AC10" i="18"/>
  <c r="Y10" i="16"/>
  <c r="Q10" i="16"/>
  <c r="AD10" i="16"/>
  <c r="AE10" i="16"/>
  <c r="W10" i="16"/>
  <c r="V10" i="16"/>
  <c r="U10" i="16"/>
  <c r="AC10" i="16"/>
  <c r="T10" i="16"/>
  <c r="AB10" i="16"/>
  <c r="S10" i="16"/>
  <c r="AA10" i="16"/>
  <c r="R10" i="16"/>
  <c r="Z10" i="16"/>
  <c r="X10" i="16"/>
  <c r="K15" i="18"/>
  <c r="K16" i="18" s="1"/>
  <c r="AE10" i="18"/>
  <c r="Z9" i="17"/>
  <c r="R9" i="17"/>
  <c r="AD9" i="17"/>
  <c r="AE9" i="17"/>
  <c r="Y9" i="17"/>
  <c r="X9" i="17"/>
  <c r="W9" i="17"/>
  <c r="V9" i="17"/>
  <c r="U9" i="17"/>
  <c r="AC9" i="17"/>
  <c r="T9" i="17"/>
  <c r="AB9" i="17"/>
  <c r="S9" i="17"/>
  <c r="AA9" i="17"/>
  <c r="Q9" i="17"/>
  <c r="N15" i="18"/>
  <c r="N16" i="18" s="1"/>
  <c r="AD9" i="16"/>
  <c r="V9" i="16"/>
  <c r="AE9" i="16"/>
  <c r="AA9" i="16"/>
  <c r="R9" i="16"/>
  <c r="Z9" i="16"/>
  <c r="Q9" i="16"/>
  <c r="Y9" i="16"/>
  <c r="X9" i="16"/>
  <c r="W9" i="16"/>
  <c r="U9" i="16"/>
  <c r="AC9" i="16"/>
  <c r="T9" i="16"/>
  <c r="AB9" i="16"/>
  <c r="S9" i="16"/>
  <c r="K20" i="2"/>
  <c r="H20" i="2"/>
  <c r="G20" i="2"/>
  <c r="S10" i="18"/>
  <c r="H16" i="18"/>
  <c r="G16" i="18"/>
  <c r="Y10" i="2"/>
  <c r="Q10" i="2"/>
  <c r="AD10" i="2"/>
  <c r="AE10" i="2"/>
  <c r="U10" i="2"/>
  <c r="AC10" i="2"/>
  <c r="T10" i="2"/>
  <c r="AB10" i="2"/>
  <c r="S10" i="2"/>
  <c r="AA10" i="2"/>
  <c r="R10" i="2"/>
  <c r="Z10" i="2"/>
  <c r="X10" i="2"/>
  <c r="W10" i="2"/>
  <c r="V10" i="2"/>
  <c r="M15" i="18"/>
  <c r="M16" i="18" s="1"/>
  <c r="L15" i="18"/>
  <c r="L16" i="18" s="1"/>
  <c r="B11" i="2"/>
  <c r="C10" i="2"/>
  <c r="AC10" i="19"/>
  <c r="V10" i="19"/>
  <c r="C10" i="19"/>
  <c r="AB10" i="18"/>
  <c r="B11" i="18"/>
  <c r="C10" i="18"/>
  <c r="AD10" i="18"/>
  <c r="R10" i="18"/>
  <c r="Q10" i="18"/>
  <c r="AA10" i="18"/>
  <c r="W10" i="18"/>
  <c r="V10" i="18"/>
  <c r="U10" i="18"/>
  <c r="B10" i="17"/>
  <c r="C9" i="17"/>
  <c r="C10" i="16"/>
  <c r="B11" i="16"/>
  <c r="U10" i="15"/>
  <c r="Q10" i="15"/>
  <c r="AB10" i="15"/>
  <c r="C10" i="15"/>
  <c r="B11" i="15"/>
  <c r="D11" i="15" s="1"/>
  <c r="AA10" i="15"/>
  <c r="AE10" i="15"/>
  <c r="Z10" i="15"/>
  <c r="AD10" i="15"/>
  <c r="R10" i="15"/>
  <c r="Y10" i="15"/>
  <c r="AC10" i="15"/>
  <c r="X10" i="15"/>
  <c r="T10" i="15"/>
  <c r="W10" i="15"/>
  <c r="S10" i="15"/>
  <c r="V10" i="15"/>
  <c r="B19" i="10"/>
  <c r="B18" i="10"/>
  <c r="AA10" i="19" l="1"/>
  <c r="AD10" i="19"/>
  <c r="Q10" i="19"/>
  <c r="U10" i="19"/>
  <c r="R10" i="19"/>
  <c r="W10" i="19"/>
  <c r="S10" i="19"/>
  <c r="AB10" i="19"/>
  <c r="B11" i="19"/>
  <c r="B12" i="19" s="1"/>
  <c r="AE10" i="19"/>
  <c r="Z10" i="19"/>
  <c r="X10" i="19"/>
  <c r="Y10" i="19"/>
  <c r="AC10" i="17"/>
  <c r="U10" i="17"/>
  <c r="AD10" i="17"/>
  <c r="AE10" i="17"/>
  <c r="V10" i="17"/>
  <c r="T10" i="17"/>
  <c r="AB10" i="17"/>
  <c r="S10" i="17"/>
  <c r="AA10" i="17"/>
  <c r="R10" i="17"/>
  <c r="Z10" i="17"/>
  <c r="Q10" i="17"/>
  <c r="Y10" i="17"/>
  <c r="X10" i="17"/>
  <c r="W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Y11" i="16"/>
  <c r="B12" i="16"/>
  <c r="Z11" i="16"/>
  <c r="AB11" i="16"/>
  <c r="AA11" i="16"/>
  <c r="C11" i="16"/>
  <c r="B21" i="10"/>
  <c r="AA12" i="16" l="1"/>
  <c r="S12" i="16"/>
  <c r="AD12" i="16"/>
  <c r="AE12" i="16"/>
  <c r="AB12" i="16"/>
  <c r="R12" i="16"/>
  <c r="Z12" i="16"/>
  <c r="Q12" i="16"/>
  <c r="Y12" i="16"/>
  <c r="X12" i="16"/>
  <c r="W12" i="16"/>
  <c r="V12" i="16"/>
  <c r="U12" i="16"/>
  <c r="AC12" i="16"/>
  <c r="T12" i="16"/>
  <c r="AD11" i="17"/>
  <c r="AE11" i="17"/>
  <c r="AB12" i="2"/>
  <c r="T12" i="2"/>
  <c r="AD12" i="2"/>
  <c r="AE12" i="2"/>
  <c r="AC12" i="2"/>
  <c r="S12" i="2"/>
  <c r="AA12" i="2"/>
  <c r="R12" i="2"/>
  <c r="Z12" i="2"/>
  <c r="Q12" i="2"/>
  <c r="Y12" i="2"/>
  <c r="X12" i="2"/>
  <c r="W12" i="2"/>
  <c r="V12" i="2"/>
  <c r="U12" i="2"/>
  <c r="B13" i="2"/>
  <c r="C12" i="2"/>
  <c r="AB11" i="17"/>
  <c r="C11" i="17"/>
  <c r="B12" i="17"/>
  <c r="AA11" i="17"/>
  <c r="Z11" i="17"/>
  <c r="Y11" i="17"/>
  <c r="B13" i="19"/>
  <c r="AA12" i="19"/>
  <c r="T12" i="19"/>
  <c r="Z12" i="19"/>
  <c r="S12" i="19"/>
  <c r="AC12" i="19"/>
  <c r="Y12" i="19"/>
  <c r="R12" i="19"/>
  <c r="X12" i="19"/>
  <c r="Q12" i="19"/>
  <c r="W12" i="19"/>
  <c r="C12" i="19"/>
  <c r="V12" i="19"/>
  <c r="AE12" i="19"/>
  <c r="AB12" i="19"/>
  <c r="U12" i="19"/>
  <c r="AD12" i="19"/>
  <c r="C12" i="18"/>
  <c r="S12" i="18"/>
  <c r="Y12" i="18"/>
  <c r="U12" i="18"/>
  <c r="AB12" i="18"/>
  <c r="X12" i="18"/>
  <c r="V12" i="18"/>
  <c r="R12" i="18"/>
  <c r="AD12" i="18"/>
  <c r="AA12" i="18"/>
  <c r="AE12" i="18"/>
  <c r="AC12" i="18"/>
  <c r="B13" i="18"/>
  <c r="Z12" i="18"/>
  <c r="T12" i="18"/>
  <c r="Q12" i="18"/>
  <c r="W12" i="18"/>
  <c r="U12" i="15"/>
  <c r="S12" i="15"/>
  <c r="AB12" i="15"/>
  <c r="R12" i="15"/>
  <c r="AA12" i="15"/>
  <c r="Q12" i="15"/>
  <c r="T12" i="15"/>
  <c r="Z12" i="15"/>
  <c r="C12" i="15"/>
  <c r="V12" i="15"/>
  <c r="Y12" i="15"/>
  <c r="AE12" i="15"/>
  <c r="B13" i="15"/>
  <c r="D13" i="15" s="1"/>
  <c r="X12" i="15"/>
  <c r="AD12" i="15"/>
  <c r="W12" i="15"/>
  <c r="AC12" i="15"/>
  <c r="B13" i="16"/>
  <c r="C12" i="16"/>
  <c r="AD13" i="16" l="1"/>
  <c r="V13" i="16"/>
  <c r="AE13" i="16"/>
  <c r="X13" i="16"/>
  <c r="W13" i="16"/>
  <c r="U13" i="16"/>
  <c r="AC13" i="16"/>
  <c r="T13" i="16"/>
  <c r="AB13" i="16"/>
  <c r="S13" i="16"/>
  <c r="AA13" i="16"/>
  <c r="R13" i="16"/>
  <c r="Z13" i="16"/>
  <c r="Q13" i="16"/>
  <c r="Y13" i="16"/>
  <c r="W12" i="17"/>
  <c r="AD12" i="17"/>
  <c r="AE12" i="17"/>
  <c r="Y12" i="17"/>
  <c r="X12" i="17"/>
  <c r="V12" i="17"/>
  <c r="U12" i="17"/>
  <c r="AC12" i="17"/>
  <c r="T12" i="17"/>
  <c r="AB12" i="17"/>
  <c r="S12" i="17"/>
  <c r="AA12" i="17"/>
  <c r="R12" i="17"/>
  <c r="Q12" i="17"/>
  <c r="Z12" i="17"/>
  <c r="AD13" i="2"/>
  <c r="W13" i="2"/>
  <c r="AE13" i="2"/>
  <c r="Y13" i="2"/>
  <c r="X13" i="2"/>
  <c r="V13" i="2"/>
  <c r="U13" i="2"/>
  <c r="AC13" i="2"/>
  <c r="T13" i="2"/>
  <c r="AB13" i="2"/>
  <c r="S13" i="2"/>
  <c r="AA13" i="2"/>
  <c r="R13" i="2"/>
  <c r="Z13" i="2"/>
  <c r="Q13" i="2"/>
  <c r="C13" i="2"/>
  <c r="B14" i="2"/>
  <c r="R13" i="18"/>
  <c r="AC13" i="18"/>
  <c r="V13" i="18"/>
  <c r="W13" i="18"/>
  <c r="B14" i="18"/>
  <c r="AA13" i="18"/>
  <c r="X13" i="18"/>
  <c r="Z13" i="18"/>
  <c r="AE13" i="18"/>
  <c r="S13" i="18"/>
  <c r="AD13" i="18"/>
  <c r="Y13" i="18"/>
  <c r="T13" i="18"/>
  <c r="C13" i="18"/>
  <c r="Q13" i="18"/>
  <c r="AB13" i="18"/>
  <c r="U13" i="18"/>
  <c r="C12" i="17"/>
  <c r="B13" i="17"/>
  <c r="AD13" i="19"/>
  <c r="AE13" i="19"/>
  <c r="S13" i="19"/>
  <c r="T13" i="19"/>
  <c r="AB13" i="19"/>
  <c r="R13" i="19"/>
  <c r="Z13" i="19"/>
  <c r="X13" i="19"/>
  <c r="AA13" i="19"/>
  <c r="AC13" i="19"/>
  <c r="B14" i="19"/>
  <c r="V13" i="19"/>
  <c r="Q13" i="19"/>
  <c r="U13" i="19"/>
  <c r="Y13" i="19"/>
  <c r="C13" i="19"/>
  <c r="W13" i="19"/>
  <c r="B14" i="16"/>
  <c r="C13" i="16"/>
  <c r="U13" i="15"/>
  <c r="T13" i="15"/>
  <c r="AB13" i="15"/>
  <c r="S13" i="15"/>
  <c r="AA13" i="15"/>
  <c r="R13" i="15"/>
  <c r="V13" i="15"/>
  <c r="Z13" i="15"/>
  <c r="Q13" i="15"/>
  <c r="Y13" i="15"/>
  <c r="C13" i="15"/>
  <c r="X13" i="15"/>
  <c r="AE13" i="15"/>
  <c r="B14" i="15"/>
  <c r="D14" i="15" s="1"/>
  <c r="W13" i="15"/>
  <c r="AD13" i="15"/>
  <c r="AC13" i="15"/>
  <c r="Z14" i="2" l="1"/>
  <c r="R14" i="2"/>
  <c r="AD14" i="2"/>
  <c r="AE14" i="2"/>
  <c r="U14" i="2"/>
  <c r="AC14" i="2"/>
  <c r="T14" i="2"/>
  <c r="AB14" i="2"/>
  <c r="S14" i="2"/>
  <c r="AA14" i="2"/>
  <c r="Q14" i="2"/>
  <c r="Y14" i="2"/>
  <c r="X14" i="2"/>
  <c r="W14" i="2"/>
  <c r="V14" i="2"/>
  <c r="Y14" i="16"/>
  <c r="Q14" i="16"/>
  <c r="AD14" i="16"/>
  <c r="AE14" i="16"/>
  <c r="AC14" i="16"/>
  <c r="T14" i="16"/>
  <c r="AB14" i="16"/>
  <c r="S14" i="16"/>
  <c r="AA14" i="16"/>
  <c r="R14" i="16"/>
  <c r="Z14" i="16"/>
  <c r="X14" i="16"/>
  <c r="W14" i="16"/>
  <c r="V14" i="16"/>
  <c r="U14" i="16"/>
  <c r="Z13" i="17"/>
  <c r="R13" i="17"/>
  <c r="AD13" i="17"/>
  <c r="AE13" i="17"/>
  <c r="U13" i="17"/>
  <c r="AC13" i="17"/>
  <c r="T13" i="17"/>
  <c r="AB13" i="17"/>
  <c r="S13" i="17"/>
  <c r="AA13" i="17"/>
  <c r="Q13" i="17"/>
  <c r="Y13" i="17"/>
  <c r="X13" i="17"/>
  <c r="W13" i="17"/>
  <c r="V13" i="17"/>
  <c r="AD14" i="18"/>
  <c r="T14" i="18"/>
  <c r="Q14" i="18"/>
  <c r="AB14" i="18"/>
  <c r="AC14" i="18"/>
  <c r="AE14" i="18"/>
  <c r="Y14" i="18"/>
  <c r="U14" i="18"/>
  <c r="R14" i="18"/>
  <c r="C14" i="18"/>
  <c r="V14" i="18"/>
  <c r="B15" i="18"/>
  <c r="Z14" i="18"/>
  <c r="AA14" i="18"/>
  <c r="X14" i="18"/>
  <c r="W14" i="18"/>
  <c r="S14" i="18"/>
  <c r="Q14" i="19"/>
  <c r="T14" i="19"/>
  <c r="V14" i="19"/>
  <c r="U14" i="19"/>
  <c r="AC14" i="19"/>
  <c r="C14" i="19"/>
  <c r="W14" i="19"/>
  <c r="X14" i="19"/>
  <c r="AD14" i="19"/>
  <c r="B15" i="19"/>
  <c r="R14" i="19"/>
  <c r="Z14" i="19"/>
  <c r="AA14" i="19"/>
  <c r="Y14" i="19"/>
  <c r="AE14" i="19"/>
  <c r="S14" i="19"/>
  <c r="AB14" i="19"/>
  <c r="B14" i="17"/>
  <c r="C13" i="17"/>
  <c r="C14" i="2"/>
  <c r="B15" i="2"/>
  <c r="C14" i="16"/>
  <c r="B15" i="16"/>
  <c r="U14" i="15"/>
  <c r="T14" i="15"/>
  <c r="AB14" i="15"/>
  <c r="S14" i="15"/>
  <c r="AA14" i="15"/>
  <c r="R14" i="15"/>
  <c r="C14" i="15"/>
  <c r="Z14" i="15"/>
  <c r="Q14" i="15"/>
  <c r="AE14" i="15"/>
  <c r="Y14" i="15"/>
  <c r="AC14" i="15"/>
  <c r="B15" i="15"/>
  <c r="D15" i="15" s="1"/>
  <c r="X14" i="15"/>
  <c r="W14" i="15"/>
  <c r="AD14" i="15"/>
  <c r="V14" i="15"/>
  <c r="AC14" i="17" l="1"/>
  <c r="U14" i="17"/>
  <c r="AD14" i="17"/>
  <c r="AE14" i="17"/>
  <c r="Z14" i="17"/>
  <c r="Q14" i="17"/>
  <c r="Y14" i="17"/>
  <c r="X14" i="17"/>
  <c r="W14" i="17"/>
  <c r="V14" i="17"/>
  <c r="T14" i="17"/>
  <c r="AB14" i="17"/>
  <c r="S14" i="17"/>
  <c r="R14" i="17"/>
  <c r="AA14" i="17"/>
  <c r="R15" i="19"/>
  <c r="Z15" i="19"/>
  <c r="S15" i="19"/>
  <c r="AA15" i="19"/>
  <c r="T15" i="19"/>
  <c r="AB15" i="19"/>
  <c r="U15" i="19"/>
  <c r="AC15" i="19"/>
  <c r="V15" i="19"/>
  <c r="AD15" i="19"/>
  <c r="W15" i="19"/>
  <c r="AE15" i="19"/>
  <c r="Q15" i="19"/>
  <c r="X15" i="19"/>
  <c r="Y15" i="19"/>
  <c r="D15" i="19"/>
  <c r="D14" i="19" s="1"/>
  <c r="D13" i="19" s="1"/>
  <c r="D12" i="19" s="1"/>
  <c r="D11" i="19" s="1"/>
  <c r="D10" i="19" s="1"/>
  <c r="D9" i="19" s="1"/>
  <c r="D8" i="19" s="1"/>
  <c r="D7" i="19" s="1"/>
  <c r="AB15" i="16"/>
  <c r="T15" i="16"/>
  <c r="AD15" i="16"/>
  <c r="AE15" i="16"/>
  <c r="Y15" i="16"/>
  <c r="X15" i="16"/>
  <c r="W15" i="16"/>
  <c r="V15" i="16"/>
  <c r="U15" i="16"/>
  <c r="AC15" i="16"/>
  <c r="S15" i="16"/>
  <c r="AA15" i="16"/>
  <c r="R15" i="16"/>
  <c r="Z15" i="16"/>
  <c r="Q15" i="16"/>
  <c r="AC15" i="2"/>
  <c r="U15" i="2"/>
  <c r="AD15" i="2"/>
  <c r="AE15" i="2"/>
  <c r="Z15" i="2"/>
  <c r="Q15" i="2"/>
  <c r="Y15" i="2"/>
  <c r="X15" i="2"/>
  <c r="W15" i="2"/>
  <c r="V15" i="2"/>
  <c r="T15" i="2"/>
  <c r="AB15" i="2"/>
  <c r="S15" i="2"/>
  <c r="AA15" i="2"/>
  <c r="R15" i="2"/>
  <c r="Q15" i="18"/>
  <c r="Y15" i="18"/>
  <c r="R15" i="18"/>
  <c r="Z15" i="18"/>
  <c r="S15" i="18"/>
  <c r="AA15" i="18"/>
  <c r="T15" i="18"/>
  <c r="AB15" i="18"/>
  <c r="U15" i="18"/>
  <c r="AC15" i="18"/>
  <c r="V15" i="18"/>
  <c r="AD15" i="18"/>
  <c r="W15" i="18"/>
  <c r="X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R15" i="15"/>
  <c r="Z15" i="15"/>
  <c r="S15" i="15"/>
  <c r="AA15" i="15"/>
  <c r="T15" i="15"/>
  <c r="AB15" i="15"/>
  <c r="Y15" i="15"/>
  <c r="U15" i="15"/>
  <c r="AC15" i="15"/>
  <c r="B16" i="15"/>
  <c r="V15" i="15"/>
  <c r="AD15" i="15"/>
  <c r="C15" i="15"/>
  <c r="W15" i="15"/>
  <c r="AE15" i="15"/>
  <c r="X15" i="15"/>
  <c r="Q15" i="15"/>
  <c r="B16" i="16"/>
  <c r="C15" i="16"/>
  <c r="AC16" i="16" l="1"/>
  <c r="U16" i="16"/>
  <c r="AD16" i="16"/>
  <c r="AE16" i="16"/>
  <c r="Y16" i="16"/>
  <c r="X16" i="16"/>
  <c r="W16" i="16"/>
  <c r="V16" i="16"/>
  <c r="T16" i="16"/>
  <c r="AB16" i="16"/>
  <c r="S16" i="16"/>
  <c r="AA16" i="16"/>
  <c r="R16" i="16"/>
  <c r="Z16" i="16"/>
  <c r="Q16" i="16"/>
  <c r="AD15" i="17"/>
  <c r="X15" i="17"/>
  <c r="AE15" i="17"/>
  <c r="V15" i="17"/>
  <c r="U15" i="17"/>
  <c r="AC15" i="17"/>
  <c r="T15" i="17"/>
  <c r="AB15" i="17"/>
  <c r="S15" i="17"/>
  <c r="AA15" i="17"/>
  <c r="R15" i="17"/>
  <c r="Z15" i="17"/>
  <c r="Q15" i="17"/>
  <c r="Y15" i="17"/>
  <c r="W15" i="17"/>
  <c r="Q16" i="2"/>
  <c r="Y16" i="2"/>
  <c r="AD16" i="2"/>
  <c r="AE16" i="2"/>
  <c r="W16" i="2"/>
  <c r="V16" i="2"/>
  <c r="U16" i="2"/>
  <c r="AC16" i="2"/>
  <c r="T16" i="2"/>
  <c r="AB16" i="2"/>
  <c r="S16" i="2"/>
  <c r="AA16" i="2"/>
  <c r="R16" i="2"/>
  <c r="Z16" i="2"/>
  <c r="X16" i="2"/>
  <c r="D16" i="15"/>
  <c r="Z16" i="15"/>
  <c r="R16" i="15"/>
  <c r="AA16" i="15"/>
  <c r="Q16" i="15"/>
  <c r="Y16" i="15"/>
  <c r="X16" i="15"/>
  <c r="W16" i="15"/>
  <c r="AE16" i="15"/>
  <c r="V16" i="15"/>
  <c r="AD16" i="15"/>
  <c r="U16" i="15"/>
  <c r="AC16" i="15"/>
  <c r="T16" i="15"/>
  <c r="S16" i="15"/>
  <c r="AB16" i="15"/>
  <c r="C16" i="2"/>
  <c r="B17" i="2"/>
  <c r="C16" i="19"/>
  <c r="B16" i="17"/>
  <c r="C15" i="17"/>
  <c r="C16" i="18"/>
  <c r="B17" i="16"/>
  <c r="C16" i="16"/>
  <c r="C16" i="15"/>
  <c r="B17" i="15"/>
  <c r="AD17" i="2" l="1"/>
  <c r="AB17" i="2"/>
  <c r="T17" i="2"/>
  <c r="AE17" i="2"/>
  <c r="AC17" i="2"/>
  <c r="S17" i="2"/>
  <c r="AA17" i="2"/>
  <c r="R17" i="2"/>
  <c r="Z17" i="2"/>
  <c r="Q17" i="2"/>
  <c r="Y17" i="2"/>
  <c r="X17" i="2"/>
  <c r="W17" i="2"/>
  <c r="V17" i="2"/>
  <c r="U17" i="2"/>
  <c r="AD17" i="16"/>
  <c r="X17" i="16"/>
  <c r="AE17" i="16"/>
  <c r="U17" i="16"/>
  <c r="AC17" i="16"/>
  <c r="T17" i="16"/>
  <c r="AB17" i="16"/>
  <c r="S17" i="16"/>
  <c r="AA17" i="16"/>
  <c r="R17" i="16"/>
  <c r="Z17" i="16"/>
  <c r="Q17" i="16"/>
  <c r="Y17" i="16"/>
  <c r="W17" i="16"/>
  <c r="V17" i="16"/>
  <c r="D17" i="15"/>
  <c r="AA17" i="15"/>
  <c r="S17" i="15"/>
  <c r="AD17" i="15"/>
  <c r="U17" i="15"/>
  <c r="AC17" i="15"/>
  <c r="T17" i="15"/>
  <c r="AB17" i="15"/>
  <c r="R17" i="15"/>
  <c r="Z17" i="15"/>
  <c r="Q17" i="15"/>
  <c r="Y17" i="15"/>
  <c r="X17" i="15"/>
  <c r="W17" i="15"/>
  <c r="V17" i="15"/>
  <c r="AE17" i="15"/>
  <c r="X16" i="17"/>
  <c r="AD16" i="17"/>
  <c r="AE16" i="17"/>
  <c r="U16" i="17"/>
  <c r="AC16" i="17"/>
  <c r="T16" i="17"/>
  <c r="AB16" i="17"/>
  <c r="S16" i="17"/>
  <c r="AA16" i="17"/>
  <c r="R16" i="17"/>
  <c r="Z16" i="17"/>
  <c r="Q16" i="17"/>
  <c r="Y16" i="17"/>
  <c r="W16" i="17"/>
  <c r="V16" i="17"/>
  <c r="B17" i="17"/>
  <c r="C16" i="17"/>
  <c r="C17" i="2"/>
  <c r="B18" i="2"/>
  <c r="B18" i="16"/>
  <c r="C17" i="16"/>
  <c r="B18" i="15"/>
  <c r="C17" i="15"/>
  <c r="AA17" i="17" l="1"/>
  <c r="S17" i="17"/>
  <c r="AD17" i="17"/>
  <c r="AE17" i="17"/>
  <c r="Z17" i="17"/>
  <c r="Q17" i="17"/>
  <c r="Y17" i="17"/>
  <c r="X17" i="17"/>
  <c r="W17" i="17"/>
  <c r="V17" i="17"/>
  <c r="U17" i="17"/>
  <c r="AC17" i="17"/>
  <c r="T17" i="17"/>
  <c r="AB17" i="17"/>
  <c r="R17" i="17"/>
  <c r="AB18" i="15"/>
  <c r="T18" i="15"/>
  <c r="X18" i="15"/>
  <c r="W18" i="15"/>
  <c r="AE18" i="15"/>
  <c r="V18" i="15"/>
  <c r="AD18" i="15"/>
  <c r="U18" i="15"/>
  <c r="AC18" i="15"/>
  <c r="S18" i="15"/>
  <c r="AA18" i="15"/>
  <c r="R18" i="15"/>
  <c r="Z18" i="15"/>
  <c r="Q18" i="15"/>
  <c r="Y18" i="15"/>
  <c r="AA18" i="16"/>
  <c r="S18" i="16"/>
  <c r="AD18" i="16"/>
  <c r="AE18" i="16"/>
  <c r="Z18" i="16"/>
  <c r="Q18" i="16"/>
  <c r="Y18" i="16"/>
  <c r="X18" i="16"/>
  <c r="W18" i="16"/>
  <c r="V18" i="16"/>
  <c r="U18" i="16"/>
  <c r="AC18" i="16"/>
  <c r="T18" i="16"/>
  <c r="AB18" i="16"/>
  <c r="R18" i="16"/>
  <c r="Q18" i="2"/>
  <c r="AD18" i="2"/>
  <c r="AE18" i="2"/>
  <c r="S18" i="2"/>
  <c r="AA18" i="2"/>
  <c r="T18" i="2"/>
  <c r="AB18" i="2"/>
  <c r="U18" i="2"/>
  <c r="AC18" i="2"/>
  <c r="V18" i="2"/>
  <c r="W18" i="2"/>
  <c r="X18" i="2"/>
  <c r="R18" i="2"/>
  <c r="Y18" i="2"/>
  <c r="Z18" i="2"/>
  <c r="C18" i="15"/>
  <c r="B19" i="15"/>
  <c r="C19" i="15" s="1"/>
  <c r="E19" i="15" s="1"/>
  <c r="D18" i="15"/>
  <c r="B19" i="16"/>
  <c r="C18" i="16"/>
  <c r="B19" i="2"/>
  <c r="C18" i="2"/>
  <c r="C17" i="17"/>
  <c r="B18" i="17"/>
  <c r="V19" i="16" l="1"/>
  <c r="AD19" i="16"/>
  <c r="AE19" i="16"/>
  <c r="W19" i="16"/>
  <c r="U19" i="16"/>
  <c r="AC19" i="16"/>
  <c r="T19" i="16"/>
  <c r="AB19" i="16"/>
  <c r="S19" i="16"/>
  <c r="AA19" i="16"/>
  <c r="R19" i="16"/>
  <c r="Z19" i="16"/>
  <c r="Q19" i="16"/>
  <c r="Y19" i="16"/>
  <c r="B20" i="16"/>
  <c r="X19" i="16"/>
  <c r="AD19" i="2"/>
  <c r="AE19" i="2"/>
  <c r="V19" i="2"/>
  <c r="B20" i="2"/>
  <c r="W19" i="2"/>
  <c r="X19" i="2"/>
  <c r="Q19" i="2"/>
  <c r="Y19" i="2"/>
  <c r="R19" i="2"/>
  <c r="Z19" i="2"/>
  <c r="S19" i="2"/>
  <c r="AA19" i="2"/>
  <c r="AC19" i="2"/>
  <c r="T19" i="2"/>
  <c r="U19" i="2"/>
  <c r="AB19" i="2"/>
  <c r="V18" i="17"/>
  <c r="AD18" i="17"/>
  <c r="AE18" i="17"/>
  <c r="W18" i="17"/>
  <c r="U18" i="17"/>
  <c r="AC18" i="17"/>
  <c r="T18" i="17"/>
  <c r="AB18" i="17"/>
  <c r="S18" i="17"/>
  <c r="AA18" i="17"/>
  <c r="R18" i="17"/>
  <c r="Z18" i="17"/>
  <c r="Q18" i="17"/>
  <c r="Y18" i="17"/>
  <c r="X18" i="17"/>
  <c r="C19" i="2"/>
  <c r="C19" i="16"/>
  <c r="C18" i="17"/>
  <c r="B19" i="17"/>
  <c r="W20" i="16" l="1"/>
  <c r="X20" i="16"/>
  <c r="Q20" i="16"/>
  <c r="Y20" i="16"/>
  <c r="R20" i="16"/>
  <c r="Z20" i="16"/>
  <c r="S20" i="16"/>
  <c r="AA20" i="16"/>
  <c r="T20" i="16"/>
  <c r="AB20" i="16"/>
  <c r="AD20" i="16"/>
  <c r="U20" i="16"/>
  <c r="AC20" i="16"/>
  <c r="AE20" i="16"/>
  <c r="V20" i="16"/>
  <c r="B21" i="16"/>
  <c r="C20" i="16"/>
  <c r="S20" i="2"/>
  <c r="AA20" i="2"/>
  <c r="T20" i="2"/>
  <c r="AB20" i="2"/>
  <c r="U20" i="2"/>
  <c r="AC20" i="2"/>
  <c r="V20" i="2"/>
  <c r="W20" i="2"/>
  <c r="X20" i="2"/>
  <c r="AD20" i="2"/>
  <c r="Q20" i="2"/>
  <c r="Y20" i="2"/>
  <c r="AE20" i="2"/>
  <c r="R20" i="2"/>
  <c r="Z20" i="2"/>
  <c r="B21" i="2"/>
  <c r="C20" i="2"/>
  <c r="AD19" i="17"/>
  <c r="Y19" i="17"/>
  <c r="Q19" i="17"/>
  <c r="AE19" i="17"/>
  <c r="AB19" i="17"/>
  <c r="S19" i="17"/>
  <c r="AA19" i="17"/>
  <c r="R19" i="17"/>
  <c r="Z19" i="17"/>
  <c r="B20" i="17"/>
  <c r="X19" i="17"/>
  <c r="W19" i="17"/>
  <c r="V19" i="17"/>
  <c r="U19" i="17"/>
  <c r="AC19" i="17"/>
  <c r="T19" i="17"/>
  <c r="C19" i="17"/>
  <c r="C21" i="16" l="1"/>
  <c r="AG21" i="16"/>
  <c r="AD21" i="16"/>
  <c r="R21" i="16"/>
  <c r="Z21" i="16"/>
  <c r="AE21" i="16"/>
  <c r="S21" i="16"/>
  <c r="AA21" i="16"/>
  <c r="T21" i="16"/>
  <c r="AB21" i="16"/>
  <c r="AF21" i="16"/>
  <c r="U21" i="16"/>
  <c r="AC21" i="16"/>
  <c r="V21" i="16"/>
  <c r="W21" i="16"/>
  <c r="X21" i="16"/>
  <c r="Q21" i="16"/>
  <c r="Y21" i="16"/>
  <c r="D21" i="16"/>
  <c r="D20" i="16" s="1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U20" i="17"/>
  <c r="AC20" i="17"/>
  <c r="V20" i="17"/>
  <c r="AD20" i="17"/>
  <c r="W20" i="17"/>
  <c r="AE20" i="17"/>
  <c r="X20" i="17"/>
  <c r="Q20" i="17"/>
  <c r="Y20" i="17"/>
  <c r="R20" i="17"/>
  <c r="Z20" i="17"/>
  <c r="S20" i="17"/>
  <c r="AA20" i="17"/>
  <c r="T20" i="17"/>
  <c r="AB20" i="17"/>
  <c r="B21" i="17"/>
  <c r="C20" i="17"/>
  <c r="D21" i="2"/>
  <c r="D20" i="2" s="1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V21" i="2"/>
  <c r="AE21" i="2"/>
  <c r="W21" i="2"/>
  <c r="AG21" i="2"/>
  <c r="X21" i="2"/>
  <c r="Q21" i="2"/>
  <c r="Y21" i="2"/>
  <c r="R21" i="2"/>
  <c r="Z21" i="2"/>
  <c r="AF21" i="2"/>
  <c r="S21" i="2"/>
  <c r="AA21" i="2"/>
  <c r="T21" i="2"/>
  <c r="AB21" i="2"/>
  <c r="U21" i="2"/>
  <c r="AC21" i="2"/>
  <c r="C21" i="2"/>
  <c r="D21" i="17" l="1"/>
  <c r="D20" i="17" s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X21" i="17"/>
  <c r="AG21" i="17"/>
  <c r="Q21" i="17"/>
  <c r="Y21" i="17"/>
  <c r="R21" i="17"/>
  <c r="Z21" i="17"/>
  <c r="S21" i="17"/>
  <c r="AA21" i="17"/>
  <c r="AF21" i="17"/>
  <c r="AD21" i="17"/>
  <c r="T21" i="17"/>
  <c r="AB21" i="17"/>
  <c r="AE21" i="17"/>
  <c r="U21" i="17"/>
  <c r="AC21" i="17"/>
  <c r="V21" i="17"/>
  <c r="W21" i="17"/>
  <c r="C21" i="17"/>
</calcChain>
</file>

<file path=xl/sharedStrings.xml><?xml version="1.0" encoding="utf-8"?>
<sst xmlns="http://schemas.openxmlformats.org/spreadsheetml/2006/main" count="966" uniqueCount="133">
  <si>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</si>
  <si>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</si>
  <si>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</si>
  <si>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</si>
  <si>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</si>
  <si>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</si>
  <si>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</si>
  <si>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</si>
  <si>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</si>
  <si>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</si>
  <si>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</si>
  <si>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</si>
  <si>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</si>
  <si>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</si>
  <si>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</si>
  <si>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</si>
  <si>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</si>
  <si>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</si>
  <si>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</si>
  <si>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</si>
  <si>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</si>
  <si>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</si>
  <si>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</si>
  <si>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</si>
  <si>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</si>
  <si>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</si>
  <si>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</si>
  <si>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</si>
  <si>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</si>
  <si>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</si>
  <si>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</si>
  <si>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</si>
  <si>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</si>
  <si>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</si>
  <si>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</si>
  <si>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</si>
  <si>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</si>
  <si>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</si>
  <si>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</si>
  <si>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</si>
  <si>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</si>
  <si>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</si>
  <si>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</si>
  <si>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</si>
  <si>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</si>
  <si>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</si>
  <si>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</si>
  <si>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</si>
  <si>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</si>
  <si>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</si>
  <si>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</si>
  <si>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</si>
  <si>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</si>
  <si>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</si>
  <si>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</si>
  <si>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</si>
  <si>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</si>
  <si>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</si>
  <si>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</si>
  <si>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</si>
  <si>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</si>
  <si>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</si>
  <si>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</si>
  <si>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</si>
  <si>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</si>
  <si>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</si>
  <si>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</si>
  <si>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</si>
  <si>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</si>
  <si>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</si>
  <si>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</si>
  <si>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</si>
  <si>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</si>
  <si>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</si>
  <si>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</si>
  <si>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</si>
  <si>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</si>
  <si>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</si>
  <si>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</si>
  <si>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</si>
  <si>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</si>
  <si>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</si>
  <si>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</si>
  <si>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</si>
  <si>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</si>
  <si>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</si>
  <si>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</si>
  <si>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</si>
  <si>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</si>
  <si>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</si>
  <si>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</si>
  <si>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</si>
  <si>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</si>
  <si>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</si>
  <si>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</si>
  <si>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</si>
  <si>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</si>
  <si>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</si>
  <si>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</si>
  <si>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</si>
  <si>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</si>
  <si>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</si>
  <si>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</si>
  <si>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</si>
  <si>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</si>
  <si>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</si>
  <si>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</si>
  <si>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</si>
  <si>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</si>
  <si>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</si>
  <si>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</si>
  <si>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</si>
  <si>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</si>
  <si>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</si>
  <si>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</si>
  <si>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</si>
  <si>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</si>
  <si>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</si>
  <si>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</si>
  <si>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</si>
  <si>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</si>
  <si>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</si>
  <si>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</si>
  <si>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</si>
  <si>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</si>
  <si>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</si>
  <si>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</si>
  <si>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</si>
  <si>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</si>
  <si>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</si>
  <si>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issue_2025_11_10_1527 사유로 작업중단. LM_100 이슈재현하여 로그전송했으며 분석대기 중</t>
    <phoneticPr fontId="1" type="noConversion"/>
  </si>
  <si>
    <t>VITA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</si>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</sst>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3">
    <cellStyle name="계산" xfId="2" builtinId="22"/>
    <cellStyle name="설명 텍스트" xfId="1" builtinId="53"/>
    <cellStyle name="표준" xfId="0" builtinId="0"/>
  </cellStyles>
  <dxfs count="1020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rgb="FFFF0000"/>
  </sheetPr>
  <dimension ref="A1:AP29"/>
  <sheetViews>
    <sheetView zoomScale="55" zoomScaleNormal="55" workbookViewId="0">
      <selection activeCell="F7" sqref="F7:I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121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5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124</v>
      </c>
      <c r="R11" s="7" t="s">
        <v>124</v>
      </c>
      <c r="S11" s="7" t="s">
        <v>124</v>
      </c>
      <c r="T11" s="7" t="s">
        <v>124</v>
      </c>
      <c r="U11" s="7" t="s">
        <v>59</v>
      </c>
      <c r="V11" s="7" t="s">
        <v>60</v>
      </c>
      <c r="W11" s="7" t="s">
        <v>61</v>
      </c>
      <c r="X11" s="7" t="s">
        <v>62</v>
      </c>
      <c r="Y11" s="7" t="s">
        <v>63</v>
      </c>
      <c r="Z11" s="7" t="s">
        <v>64</v>
      </c>
      <c r="AA11" s="7" t="s">
        <v>65</v>
      </c>
      <c r="AB11" s="7" t="s">
        <v>66</v>
      </c>
      <c r="AC11" s="7" t="s">
        <v>124</v>
      </c>
      <c r="AD11" s="7" t="str">
        <f t="shared" si="4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2">IF(MOD($B12,5)=0, "스핀들유격: ","-" 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ref="U12:AB15" si="13">IF(MOD($B12,5)=0, "000-000","-" )</f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6"/>
        <v>-</v>
      </c>
      <c r="AF12" s="44" t="s">
        <v>99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6"/>
        <v>-</v>
      </c>
      <c r="AF13" s="45" t="s">
        <v>99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6"/>
        <v>-</v>
      </c>
      <c r="AF14" s="45" t="s">
        <v>99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6"/>
        <v>-</v>
      </c>
      <c r="AF15" s="45" t="s">
        <v>99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">
        <v>21</v>
      </c>
      <c r="E16" s="51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48" t="str">
        <f t="shared" ref="Q16:AE28" si="18">IF(NOT(LEN($A16)=0),"누락","")</f>
        <v>누락</v>
      </c>
      <c r="R16" s="48" t="str">
        <f t="shared" si="18"/>
        <v>누락</v>
      </c>
      <c r="S16" s="48" t="str">
        <f t="shared" si="18"/>
        <v>누락</v>
      </c>
      <c r="T16" s="48" t="str">
        <f t="shared" si="18"/>
        <v>누락</v>
      </c>
      <c r="U16" s="48" t="str">
        <f t="shared" si="18"/>
        <v>누락</v>
      </c>
      <c r="V16" s="48" t="str">
        <f t="shared" si="18"/>
        <v>누락</v>
      </c>
      <c r="W16" s="48" t="str">
        <f t="shared" si="18"/>
        <v>누락</v>
      </c>
      <c r="X16" s="48" t="str">
        <f t="shared" si="18"/>
        <v>누락</v>
      </c>
      <c r="Y16" s="48" t="str">
        <f t="shared" si="18"/>
        <v>누락</v>
      </c>
      <c r="Z16" s="48" t="str">
        <f t="shared" si="18"/>
        <v>누락</v>
      </c>
      <c r="AA16" s="48" t="str">
        <f t="shared" si="18"/>
        <v>누락</v>
      </c>
      <c r="AB16" s="48" t="str">
        <f t="shared" si="18"/>
        <v>누락</v>
      </c>
      <c r="AC16" s="48" t="str">
        <f t="shared" si="18"/>
        <v>누락</v>
      </c>
      <c r="AD16" s="48" t="str">
        <f t="shared" si="18"/>
        <v>누락</v>
      </c>
      <c r="AE16" s="48" t="str">
        <f t="shared" si="18"/>
        <v>누락</v>
      </c>
      <c r="AF16" s="45" t="s">
        <v>130</v>
      </c>
      <c r="AG16" s="1" t="s">
        <v>16</v>
      </c>
    </row>
    <row r="17" spans="1:33" x14ac:dyDescent="0.45">
      <c r="A17" s="3"/>
      <c r="B17" s="24" t="str">
        <f t="shared" si="11"/>
        <v/>
      </c>
      <c r="C17" s="7" t="str">
        <f t="shared" ref="C17:C28" si="19">IF(B17="","",
  IF(MOD($B17,1)=0,
    "Dimensions: L W H",
    "-"
  )
)</f>
        <v/>
      </c>
      <c r="D17" s="6" t="str">
        <f t="shared" si="1"/>
        <v/>
      </c>
      <c r="E17" s="24"/>
      <c r="F17" s="49" t="str">
        <f t="shared" ref="F17:F25" si="20">IF(NOT(LEN($A17)=0),IF(F16+1&gt;15,"버교체요망",F16+1),"")</f>
        <v/>
      </c>
      <c r="G17" s="49" t="str">
        <f t="shared" ref="G17:G25" si="21">IF(NOT(LEN($I17)=0),G16,"")</f>
        <v/>
      </c>
      <c r="H17" s="49" t="str">
        <f t="shared" ref="H17:H25" si="22">IF(NOT(LEN($I17)=0),H16,"")</f>
        <v/>
      </c>
      <c r="I17" s="49" t="str">
        <f t="shared" ref="I17:I21" si="23">IF(NOT(LEN($A17)=0),IF(I16+1&gt;15,"버교체요망",I16+1),"")</f>
        <v/>
      </c>
      <c r="J17" s="1"/>
      <c r="K17" s="49" t="str">
        <f t="shared" si="7"/>
        <v/>
      </c>
      <c r="L17" s="49" t="str">
        <f t="shared" si="8"/>
        <v/>
      </c>
      <c r="M17" s="49" t="str">
        <f t="shared" si="9"/>
        <v/>
      </c>
      <c r="N17" s="49" t="str">
        <f t="shared" si="10"/>
        <v/>
      </c>
      <c r="O17" s="24" t="str">
        <f>IF(LEN(A17)&gt;0, 종합!$C$27, "")</f>
        <v/>
      </c>
      <c r="P17" s="1"/>
      <c r="Q17" s="48" t="str">
        <f t="shared" si="18"/>
        <v/>
      </c>
      <c r="R17" s="48" t="str">
        <f t="shared" si="18"/>
        <v/>
      </c>
      <c r="S17" s="48" t="str">
        <f t="shared" si="18"/>
        <v/>
      </c>
      <c r="T17" s="48" t="str">
        <f t="shared" si="18"/>
        <v/>
      </c>
      <c r="U17" s="48" t="str">
        <f t="shared" si="18"/>
        <v/>
      </c>
      <c r="V17" s="48" t="str">
        <f t="shared" si="18"/>
        <v/>
      </c>
      <c r="W17" s="48" t="str">
        <f t="shared" si="18"/>
        <v/>
      </c>
      <c r="X17" s="48" t="str">
        <f t="shared" si="18"/>
        <v/>
      </c>
      <c r="Y17" s="48" t="str">
        <f t="shared" si="18"/>
        <v/>
      </c>
      <c r="Z17" s="48" t="str">
        <f t="shared" si="18"/>
        <v/>
      </c>
      <c r="AA17" s="48" t="str">
        <f t="shared" si="18"/>
        <v/>
      </c>
      <c r="AB17" s="48" t="str">
        <f t="shared" si="18"/>
        <v/>
      </c>
      <c r="AC17" s="48" t="str">
        <f t="shared" si="18"/>
        <v/>
      </c>
      <c r="AD17" s="48" t="str">
        <f t="shared" si="18"/>
        <v/>
      </c>
      <c r="AE17" s="48" t="str">
        <f t="shared" si="18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/>
      <c r="F18" s="49" t="str">
        <f t="shared" si="20"/>
        <v/>
      </c>
      <c r="G18" s="49" t="str">
        <f t="shared" si="21"/>
        <v/>
      </c>
      <c r="H18" s="49" t="str">
        <f t="shared" si="22"/>
        <v/>
      </c>
      <c r="I18" s="49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si="18"/>
        <v/>
      </c>
      <c r="R18" s="48" t="str">
        <f t="shared" si="18"/>
        <v/>
      </c>
      <c r="S18" s="48" t="str">
        <f t="shared" si="18"/>
        <v/>
      </c>
      <c r="T18" s="48" t="str">
        <f t="shared" si="18"/>
        <v/>
      </c>
      <c r="U18" s="48" t="str">
        <f t="shared" si="18"/>
        <v/>
      </c>
      <c r="V18" s="48" t="str">
        <f t="shared" si="18"/>
        <v/>
      </c>
      <c r="W18" s="48" t="str">
        <f t="shared" si="18"/>
        <v/>
      </c>
      <c r="X18" s="48" t="str">
        <f t="shared" si="18"/>
        <v/>
      </c>
      <c r="Y18" s="48" t="str">
        <f t="shared" si="18"/>
        <v/>
      </c>
      <c r="Z18" s="48" t="str">
        <f t="shared" si="18"/>
        <v/>
      </c>
      <c r="AA18" s="48" t="str">
        <f t="shared" si="18"/>
        <v/>
      </c>
      <c r="AB18" s="48" t="str">
        <f t="shared" si="18"/>
        <v/>
      </c>
      <c r="AC18" s="48" t="str">
        <f t="shared" si="18"/>
        <v/>
      </c>
      <c r="AD18" s="48" t="str">
        <f t="shared" si="18"/>
        <v/>
      </c>
      <c r="AE18" s="48" t="str">
        <f t="shared" si="18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/>
      <c r="F19" s="49" t="str">
        <f t="shared" si="20"/>
        <v/>
      </c>
      <c r="G19" s="49" t="str">
        <f t="shared" si="21"/>
        <v/>
      </c>
      <c r="H19" s="49" t="str">
        <f t="shared" si="22"/>
        <v/>
      </c>
      <c r="I19" s="49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18"/>
        <v/>
      </c>
      <c r="R19" s="48" t="str">
        <f t="shared" si="18"/>
        <v/>
      </c>
      <c r="S19" s="48" t="str">
        <f t="shared" si="18"/>
        <v/>
      </c>
      <c r="T19" s="48" t="str">
        <f t="shared" si="18"/>
        <v/>
      </c>
      <c r="U19" s="48" t="str">
        <f t="shared" si="18"/>
        <v/>
      </c>
      <c r="V19" s="48" t="str">
        <f t="shared" si="18"/>
        <v/>
      </c>
      <c r="W19" s="48" t="str">
        <f t="shared" si="18"/>
        <v/>
      </c>
      <c r="X19" s="48" t="str">
        <f t="shared" si="18"/>
        <v/>
      </c>
      <c r="Y19" s="48" t="str">
        <f t="shared" si="18"/>
        <v/>
      </c>
      <c r="Z19" s="48" t="str">
        <f t="shared" si="18"/>
        <v/>
      </c>
      <c r="AA19" s="48" t="str">
        <f t="shared" si="18"/>
        <v/>
      </c>
      <c r="AB19" s="48" t="str">
        <f t="shared" si="18"/>
        <v/>
      </c>
      <c r="AC19" s="48" t="str">
        <f t="shared" si="18"/>
        <v/>
      </c>
      <c r="AD19" s="48" t="str">
        <f t="shared" si="18"/>
        <v/>
      </c>
      <c r="AE19" s="48" t="str">
        <f t="shared" si="18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/>
      <c r="F20" s="49" t="str">
        <f t="shared" si="20"/>
        <v/>
      </c>
      <c r="G20" s="49" t="str">
        <f t="shared" si="21"/>
        <v/>
      </c>
      <c r="H20" s="49" t="str">
        <f t="shared" si="22"/>
        <v/>
      </c>
      <c r="I20" s="49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18"/>
        <v/>
      </c>
      <c r="R20" s="48" t="str">
        <f t="shared" si="18"/>
        <v/>
      </c>
      <c r="S20" s="48" t="str">
        <f t="shared" si="18"/>
        <v/>
      </c>
      <c r="T20" s="48" t="str">
        <f t="shared" si="18"/>
        <v/>
      </c>
      <c r="U20" s="48" t="str">
        <f t="shared" si="18"/>
        <v/>
      </c>
      <c r="V20" s="48" t="str">
        <f t="shared" si="18"/>
        <v/>
      </c>
      <c r="W20" s="48" t="str">
        <f t="shared" si="18"/>
        <v/>
      </c>
      <c r="X20" s="48" t="str">
        <f t="shared" si="18"/>
        <v/>
      </c>
      <c r="Y20" s="48" t="str">
        <f t="shared" si="18"/>
        <v/>
      </c>
      <c r="Z20" s="48" t="str">
        <f t="shared" si="18"/>
        <v/>
      </c>
      <c r="AA20" s="48" t="str">
        <f t="shared" si="18"/>
        <v/>
      </c>
      <c r="AB20" s="48" t="str">
        <f t="shared" si="18"/>
        <v/>
      </c>
      <c r="AC20" s="48" t="str">
        <f t="shared" si="18"/>
        <v/>
      </c>
      <c r="AD20" s="48" t="str">
        <f t="shared" si="18"/>
        <v/>
      </c>
      <c r="AE20" s="48" t="str">
        <f t="shared" si="18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/>
      <c r="F21" s="49" t="str">
        <f t="shared" si="20"/>
        <v/>
      </c>
      <c r="G21" s="49" t="str">
        <f t="shared" si="21"/>
        <v/>
      </c>
      <c r="H21" s="49" t="str">
        <f t="shared" si="22"/>
        <v/>
      </c>
      <c r="I21" s="49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18"/>
        <v/>
      </c>
      <c r="R21" s="48" t="str">
        <f t="shared" si="18"/>
        <v/>
      </c>
      <c r="S21" s="48" t="str">
        <f t="shared" si="18"/>
        <v/>
      </c>
      <c r="T21" s="48" t="str">
        <f t="shared" si="18"/>
        <v/>
      </c>
      <c r="U21" s="48" t="str">
        <f t="shared" si="18"/>
        <v/>
      </c>
      <c r="V21" s="48" t="str">
        <f t="shared" si="18"/>
        <v/>
      </c>
      <c r="W21" s="48" t="str">
        <f t="shared" si="18"/>
        <v/>
      </c>
      <c r="X21" s="48" t="str">
        <f t="shared" si="18"/>
        <v/>
      </c>
      <c r="Y21" s="48" t="str">
        <f t="shared" si="18"/>
        <v/>
      </c>
      <c r="Z21" s="48" t="str">
        <f t="shared" si="18"/>
        <v/>
      </c>
      <c r="AA21" s="48" t="str">
        <f t="shared" si="18"/>
        <v/>
      </c>
      <c r="AB21" s="48" t="str">
        <f t="shared" si="18"/>
        <v/>
      </c>
      <c r="AC21" s="48" t="str">
        <f t="shared" si="18"/>
        <v/>
      </c>
      <c r="AD21" s="48" t="str">
        <f t="shared" si="18"/>
        <v/>
      </c>
      <c r="AE21" s="48" t="str">
        <f t="shared" si="18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 t="str">
        <f t="shared" si="20"/>
        <v/>
      </c>
      <c r="G22" s="49" t="str">
        <f t="shared" si="21"/>
        <v/>
      </c>
      <c r="H22" s="49" t="str">
        <f t="shared" si="22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 t="str">
        <f t="shared" si="20"/>
        <v/>
      </c>
      <c r="G23" s="49" t="str">
        <f t="shared" si="21"/>
        <v/>
      </c>
      <c r="H23" s="49" t="str">
        <f t="shared" si="22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 t="str">
        <f t="shared" si="20"/>
        <v/>
      </c>
      <c r="G24" s="49" t="str">
        <f t="shared" si="21"/>
        <v/>
      </c>
      <c r="H24" s="49" t="str">
        <f t="shared" si="22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 t="str">
        <f t="shared" si="20"/>
        <v/>
      </c>
      <c r="G25" s="49" t="str">
        <f t="shared" si="21"/>
        <v/>
      </c>
      <c r="H25" s="49" t="str">
        <f t="shared" si="22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8"/>
        <v/>
      </c>
      <c r="R28" s="48" t="str">
        <f t="shared" si="18"/>
        <v/>
      </c>
      <c r="S28" s="48" t="str">
        <f t="shared" si="18"/>
        <v/>
      </c>
      <c r="T28" s="48" t="str">
        <f t="shared" si="18"/>
        <v/>
      </c>
      <c r="U28" s="48" t="str">
        <f t="shared" si="18"/>
        <v/>
      </c>
      <c r="V28" s="48" t="str">
        <f t="shared" si="18"/>
        <v/>
      </c>
      <c r="W28" s="48" t="str">
        <f t="shared" si="18"/>
        <v/>
      </c>
      <c r="X28" s="48" t="str">
        <f t="shared" si="18"/>
        <v/>
      </c>
      <c r="Y28" s="48" t="str">
        <f t="shared" si="18"/>
        <v/>
      </c>
      <c r="Z28" s="48" t="str">
        <f t="shared" si="18"/>
        <v/>
      </c>
      <c r="AA28" s="48" t="str">
        <f t="shared" si="18"/>
        <v/>
      </c>
      <c r="AB28" s="48" t="str">
        <f t="shared" si="18"/>
        <v/>
      </c>
      <c r="AC28" s="48" t="str">
        <f t="shared" si="18"/>
        <v/>
      </c>
      <c r="AD28" s="48" t="str">
        <f t="shared" si="18"/>
        <v/>
      </c>
      <c r="AE28" s="48" t="str">
        <f t="shared" si="18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1019" priority="178" operator="containsText" text="신품">
      <formula>NOT(ISERROR(SEARCH("신품",F7)))</formula>
    </cfRule>
    <cfRule type="containsText" dxfId="1018" priority="179" operator="containsText" text="중고">
      <formula>NOT(ISERROR(SEARCH("중고",F7)))</formula>
    </cfRule>
  </conditionalFormatting>
  <conditionalFormatting sqref="I7:I9">
    <cfRule type="containsText" dxfId="1017" priority="176" operator="containsText" text="신품">
      <formula>NOT(ISERROR(SEARCH("신품",I7)))</formula>
    </cfRule>
    <cfRule type="containsText" dxfId="1016" priority="177" operator="containsText" text="중고">
      <formula>NOT(ISERROR(SEARCH("중고",I7)))</formula>
    </cfRule>
  </conditionalFormatting>
  <conditionalFormatting sqref="H10 F10">
    <cfRule type="containsText" dxfId="1015" priority="172" operator="containsText" text="신품">
      <formula>NOT(ISERROR(SEARCH("신품",F10)))</formula>
    </cfRule>
    <cfRule type="containsText" dxfId="1014" priority="173" operator="containsText" text="중고">
      <formula>NOT(ISERROR(SEARCH("중고",F10)))</formula>
    </cfRule>
  </conditionalFormatting>
  <conditionalFormatting sqref="I10">
    <cfRule type="containsText" dxfId="1013" priority="170" operator="containsText" text="신품">
      <formula>NOT(ISERROR(SEARCH("신품",I10)))</formula>
    </cfRule>
    <cfRule type="containsText" dxfId="1012" priority="171" operator="containsText" text="중고">
      <formula>NOT(ISERROR(SEARCH("중고",I10)))</formula>
    </cfRule>
  </conditionalFormatting>
  <conditionalFormatting sqref="H11">
    <cfRule type="containsText" dxfId="1011" priority="166" operator="containsText" text="신품">
      <formula>NOT(ISERROR(SEARCH("신품",H11)))</formula>
    </cfRule>
    <cfRule type="containsText" dxfId="1010" priority="167" operator="containsText" text="중고">
      <formula>NOT(ISERROR(SEARCH("중고",H11)))</formula>
    </cfRule>
  </conditionalFormatting>
  <conditionalFormatting sqref="H12:H15">
    <cfRule type="containsText" dxfId="1009" priority="160" operator="containsText" text="신품">
      <formula>NOT(ISERROR(SEARCH("신품",H12)))</formula>
    </cfRule>
    <cfRule type="containsText" dxfId="1008" priority="161" operator="containsText" text="중고">
      <formula>NOT(ISERROR(SEARCH("중고",H12)))</formula>
    </cfRule>
  </conditionalFormatting>
  <conditionalFormatting sqref="D29">
    <cfRule type="containsText" dxfId="1007" priority="157" operator="containsText" text="진행중">
      <formula>NOT(ISERROR(SEARCH("진행중",D29)))</formula>
    </cfRule>
  </conditionalFormatting>
  <conditionalFormatting sqref="F12:F28">
    <cfRule type="containsText" dxfId="1006" priority="125" operator="containsText" text="완료">
      <formula>NOT(ISERROR(SEARCH("완료",F12)))</formula>
    </cfRule>
    <cfRule type="containsText" dxfId="1005" priority="126" operator="containsText" text="중단">
      <formula>NOT(ISERROR(SEARCH("중단",F12)))</formula>
    </cfRule>
  </conditionalFormatting>
  <conditionalFormatting sqref="F12:F28">
    <cfRule type="containsText" dxfId="1004" priority="123" operator="containsText" text="완료">
      <formula>NOT(ISERROR(SEARCH("완료",F12)))</formula>
    </cfRule>
    <cfRule type="containsText" dxfId="1003" priority="124" operator="containsText" text="중단">
      <formula>NOT(ISERROR(SEARCH("중단",F12)))</formula>
    </cfRule>
  </conditionalFormatting>
  <conditionalFormatting sqref="F12:F28">
    <cfRule type="containsText" dxfId="1002" priority="122" operator="containsText" text="진행중">
      <formula>NOT(ISERROR(SEARCH("진행중",F12)))</formula>
    </cfRule>
  </conditionalFormatting>
  <conditionalFormatting sqref="F11">
    <cfRule type="containsText" dxfId="1001" priority="120" operator="containsText" text="완료">
      <formula>NOT(ISERROR(SEARCH("완료",F11)))</formula>
    </cfRule>
    <cfRule type="containsText" dxfId="1000" priority="121" operator="containsText" text="중단">
      <formula>NOT(ISERROR(SEARCH("중단",F11)))</formula>
    </cfRule>
  </conditionalFormatting>
  <conditionalFormatting sqref="F11">
    <cfRule type="containsText" dxfId="999" priority="118" operator="containsText" text="완료">
      <formula>NOT(ISERROR(SEARCH("완료",F11)))</formula>
    </cfRule>
    <cfRule type="containsText" dxfId="998" priority="119" operator="containsText" text="중단">
      <formula>NOT(ISERROR(SEARCH("중단",F11)))</formula>
    </cfRule>
  </conditionalFormatting>
  <conditionalFormatting sqref="F11">
    <cfRule type="containsText" dxfId="997" priority="117" operator="containsText" text="진행중">
      <formula>NOT(ISERROR(SEARCH("진행중",F11)))</formula>
    </cfRule>
  </conditionalFormatting>
  <conditionalFormatting sqref="I12:I28">
    <cfRule type="containsText" dxfId="996" priority="115" operator="containsText" text="완료">
      <formula>NOT(ISERROR(SEARCH("완료",I12)))</formula>
    </cfRule>
    <cfRule type="containsText" dxfId="995" priority="116" operator="containsText" text="중단">
      <formula>NOT(ISERROR(SEARCH("중단",I12)))</formula>
    </cfRule>
  </conditionalFormatting>
  <conditionalFormatting sqref="I12:I28">
    <cfRule type="containsText" dxfId="994" priority="113" operator="containsText" text="완료">
      <formula>NOT(ISERROR(SEARCH("완료",I12)))</formula>
    </cfRule>
    <cfRule type="containsText" dxfId="993" priority="114" operator="containsText" text="중단">
      <formula>NOT(ISERROR(SEARCH("중단",I12)))</formula>
    </cfRule>
  </conditionalFormatting>
  <conditionalFormatting sqref="I12:I28">
    <cfRule type="containsText" dxfId="992" priority="112" operator="containsText" text="진행중">
      <formula>NOT(ISERROR(SEARCH("진행중",I12)))</formula>
    </cfRule>
  </conditionalFormatting>
  <conditionalFormatting sqref="I11">
    <cfRule type="containsText" dxfId="991" priority="110" operator="containsText" text="완료">
      <formula>NOT(ISERROR(SEARCH("완료",I11)))</formula>
    </cfRule>
    <cfRule type="containsText" dxfId="990" priority="111" operator="containsText" text="중단">
      <formula>NOT(ISERROR(SEARCH("중단",I11)))</formula>
    </cfRule>
  </conditionalFormatting>
  <conditionalFormatting sqref="I11">
    <cfRule type="containsText" dxfId="989" priority="108" operator="containsText" text="완료">
      <formula>NOT(ISERROR(SEARCH("완료",I11)))</formula>
    </cfRule>
    <cfRule type="containsText" dxfId="988" priority="109" operator="containsText" text="중단">
      <formula>NOT(ISERROR(SEARCH("중단",I11)))</formula>
    </cfRule>
  </conditionalFormatting>
  <conditionalFormatting sqref="I11">
    <cfRule type="containsText" dxfId="987" priority="107" operator="containsText" text="진행중">
      <formula>NOT(ISERROR(SEARCH("진행중",I11)))</formula>
    </cfRule>
  </conditionalFormatting>
  <conditionalFormatting sqref="K8:K28">
    <cfRule type="containsText" dxfId="986" priority="85" operator="containsText" text="완료">
      <formula>NOT(ISERROR(SEARCH("완료",K8)))</formula>
    </cfRule>
    <cfRule type="containsText" dxfId="985" priority="86" operator="containsText" text="중단">
      <formula>NOT(ISERROR(SEARCH("중단",K8)))</formula>
    </cfRule>
  </conditionalFormatting>
  <conditionalFormatting sqref="K8:K28">
    <cfRule type="containsText" dxfId="984" priority="83" operator="containsText" text="완료">
      <formula>NOT(ISERROR(SEARCH("완료",K8)))</formula>
    </cfRule>
    <cfRule type="containsText" dxfId="983" priority="84" operator="containsText" text="중단">
      <formula>NOT(ISERROR(SEARCH("중단",K8)))</formula>
    </cfRule>
  </conditionalFormatting>
  <conditionalFormatting sqref="K8:K28">
    <cfRule type="containsText" dxfId="982" priority="82" operator="containsText" text="진행중">
      <formula>NOT(ISERROR(SEARCH("진행중",K8)))</formula>
    </cfRule>
  </conditionalFormatting>
  <conditionalFormatting sqref="L8:L28">
    <cfRule type="containsText" dxfId="981" priority="80" operator="containsText" text="완료">
      <formula>NOT(ISERROR(SEARCH("완료",L8)))</formula>
    </cfRule>
    <cfRule type="containsText" dxfId="980" priority="81" operator="containsText" text="중단">
      <formula>NOT(ISERROR(SEARCH("중단",L8)))</formula>
    </cfRule>
  </conditionalFormatting>
  <conditionalFormatting sqref="L8:L28">
    <cfRule type="containsText" dxfId="979" priority="78" operator="containsText" text="완료">
      <formula>NOT(ISERROR(SEARCH("완료",L8)))</formula>
    </cfRule>
    <cfRule type="containsText" dxfId="978" priority="79" operator="containsText" text="중단">
      <formula>NOT(ISERROR(SEARCH("중단",L8)))</formula>
    </cfRule>
  </conditionalFormatting>
  <conditionalFormatting sqref="L8:L28">
    <cfRule type="containsText" dxfId="977" priority="77" operator="containsText" text="진행중">
      <formula>NOT(ISERROR(SEARCH("진행중",L8)))</formula>
    </cfRule>
  </conditionalFormatting>
  <conditionalFormatting sqref="M8:N28">
    <cfRule type="containsText" dxfId="976" priority="75" operator="containsText" text="완료">
      <formula>NOT(ISERROR(SEARCH("완료",M8)))</formula>
    </cfRule>
    <cfRule type="containsText" dxfId="975" priority="76" operator="containsText" text="중단">
      <formula>NOT(ISERROR(SEARCH("중단",M8)))</formula>
    </cfRule>
  </conditionalFormatting>
  <conditionalFormatting sqref="M8:N28">
    <cfRule type="containsText" dxfId="974" priority="73" operator="containsText" text="완료">
      <formula>NOT(ISERROR(SEARCH("완료",M8)))</formula>
    </cfRule>
    <cfRule type="containsText" dxfId="973" priority="74" operator="containsText" text="중단">
      <formula>NOT(ISERROR(SEARCH("중단",M8)))</formula>
    </cfRule>
  </conditionalFormatting>
  <conditionalFormatting sqref="M8:N28">
    <cfRule type="containsText" dxfId="972" priority="72" operator="containsText" text="진행중">
      <formula>NOT(ISERROR(SEARCH("진행중",M8)))</formula>
    </cfRule>
  </conditionalFormatting>
  <conditionalFormatting sqref="Q16:Q28">
    <cfRule type="containsText" dxfId="971" priority="65" operator="containsText" text="완료">
      <formula>NOT(ISERROR(SEARCH("완료",Q16)))</formula>
    </cfRule>
    <cfRule type="containsText" dxfId="970" priority="66" operator="containsText" text="중단">
      <formula>NOT(ISERROR(SEARCH("중단",Q16)))</formula>
    </cfRule>
  </conditionalFormatting>
  <conditionalFormatting sqref="Q16:Q28">
    <cfRule type="containsText" dxfId="969" priority="63" operator="containsText" text="완료">
      <formula>NOT(ISERROR(SEARCH("완료",Q16)))</formula>
    </cfRule>
    <cfRule type="containsText" dxfId="968" priority="64" operator="containsText" text="중단">
      <formula>NOT(ISERROR(SEARCH("중단",Q16)))</formula>
    </cfRule>
  </conditionalFormatting>
  <conditionalFormatting sqref="Q16:Q28">
    <cfRule type="containsText" dxfId="967" priority="62" operator="containsText" text="진행중">
      <formula>NOT(ISERROR(SEARCH("진행중",Q16)))</formula>
    </cfRule>
  </conditionalFormatting>
  <conditionalFormatting sqref="R16:R28">
    <cfRule type="containsText" dxfId="966" priority="60" operator="containsText" text="완료">
      <formula>NOT(ISERROR(SEARCH("완료",R16)))</formula>
    </cfRule>
    <cfRule type="containsText" dxfId="965" priority="61" operator="containsText" text="중단">
      <formula>NOT(ISERROR(SEARCH("중단",R16)))</formula>
    </cfRule>
  </conditionalFormatting>
  <conditionalFormatting sqref="R16:R28">
    <cfRule type="containsText" dxfId="964" priority="58" operator="containsText" text="완료">
      <formula>NOT(ISERROR(SEARCH("완료",R16)))</formula>
    </cfRule>
    <cfRule type="containsText" dxfId="963" priority="59" operator="containsText" text="중단">
      <formula>NOT(ISERROR(SEARCH("중단",R16)))</formula>
    </cfRule>
  </conditionalFormatting>
  <conditionalFormatting sqref="R16:R28">
    <cfRule type="containsText" dxfId="962" priority="57" operator="containsText" text="진행중">
      <formula>NOT(ISERROR(SEARCH("진행중",R16)))</formula>
    </cfRule>
  </conditionalFormatting>
  <conditionalFormatting sqref="S16:S28">
    <cfRule type="containsText" dxfId="961" priority="55" operator="containsText" text="완료">
      <formula>NOT(ISERROR(SEARCH("완료",S16)))</formula>
    </cfRule>
    <cfRule type="containsText" dxfId="960" priority="56" operator="containsText" text="중단">
      <formula>NOT(ISERROR(SEARCH("중단",S16)))</formula>
    </cfRule>
  </conditionalFormatting>
  <conditionalFormatting sqref="S16:S28">
    <cfRule type="containsText" dxfId="959" priority="53" operator="containsText" text="완료">
      <formula>NOT(ISERROR(SEARCH("완료",S16)))</formula>
    </cfRule>
    <cfRule type="containsText" dxfId="958" priority="54" operator="containsText" text="중단">
      <formula>NOT(ISERROR(SEARCH("중단",S16)))</formula>
    </cfRule>
  </conditionalFormatting>
  <conditionalFormatting sqref="S16:S28">
    <cfRule type="containsText" dxfId="957" priority="52" operator="containsText" text="진행중">
      <formula>NOT(ISERROR(SEARCH("진행중",S16)))</formula>
    </cfRule>
  </conditionalFormatting>
  <conditionalFormatting sqref="T16:T28">
    <cfRule type="containsText" dxfId="956" priority="50" operator="containsText" text="완료">
      <formula>NOT(ISERROR(SEARCH("완료",T16)))</formula>
    </cfRule>
    <cfRule type="containsText" dxfId="955" priority="51" operator="containsText" text="중단">
      <formula>NOT(ISERROR(SEARCH("중단",T16)))</formula>
    </cfRule>
  </conditionalFormatting>
  <conditionalFormatting sqref="T16:T28">
    <cfRule type="containsText" dxfId="954" priority="48" operator="containsText" text="완료">
      <formula>NOT(ISERROR(SEARCH("완료",T16)))</formula>
    </cfRule>
    <cfRule type="containsText" dxfId="953" priority="49" operator="containsText" text="중단">
      <formula>NOT(ISERROR(SEARCH("중단",T16)))</formula>
    </cfRule>
  </conditionalFormatting>
  <conditionalFormatting sqref="T16:T28">
    <cfRule type="containsText" dxfId="952" priority="47" operator="containsText" text="진행중">
      <formula>NOT(ISERROR(SEARCH("진행중",T16)))</formula>
    </cfRule>
  </conditionalFormatting>
  <conditionalFormatting sqref="U16:AC28">
    <cfRule type="containsText" dxfId="951" priority="45" operator="containsText" text="완료">
      <formula>NOT(ISERROR(SEARCH("완료",U16)))</formula>
    </cfRule>
    <cfRule type="containsText" dxfId="950" priority="46" operator="containsText" text="중단">
      <formula>NOT(ISERROR(SEARCH("중단",U16)))</formula>
    </cfRule>
  </conditionalFormatting>
  <conditionalFormatting sqref="U16:AC28">
    <cfRule type="containsText" dxfId="949" priority="43" operator="containsText" text="완료">
      <formula>NOT(ISERROR(SEARCH("완료",U16)))</formula>
    </cfRule>
    <cfRule type="containsText" dxfId="948" priority="44" operator="containsText" text="중단">
      <formula>NOT(ISERROR(SEARCH("중단",U16)))</formula>
    </cfRule>
  </conditionalFormatting>
  <conditionalFormatting sqref="U16:AC28">
    <cfRule type="containsText" dxfId="947" priority="42" operator="containsText" text="진행중">
      <formula>NOT(ISERROR(SEARCH("진행중",U16)))</formula>
    </cfRule>
  </conditionalFormatting>
  <conditionalFormatting sqref="AD16:AD28">
    <cfRule type="containsText" dxfId="946" priority="40" operator="containsText" text="완료">
      <formula>NOT(ISERROR(SEARCH("완료",AD16)))</formula>
    </cfRule>
    <cfRule type="containsText" dxfId="945" priority="41" operator="containsText" text="중단">
      <formula>NOT(ISERROR(SEARCH("중단",AD16)))</formula>
    </cfRule>
  </conditionalFormatting>
  <conditionalFormatting sqref="AD16:AD28">
    <cfRule type="containsText" dxfId="944" priority="38" operator="containsText" text="완료">
      <formula>NOT(ISERROR(SEARCH("완료",AD16)))</formula>
    </cfRule>
    <cfRule type="containsText" dxfId="943" priority="39" operator="containsText" text="중단">
      <formula>NOT(ISERROR(SEARCH("중단",AD16)))</formula>
    </cfRule>
  </conditionalFormatting>
  <conditionalFormatting sqref="AD16:AD28">
    <cfRule type="containsText" dxfId="942" priority="37" operator="containsText" text="진행중">
      <formula>NOT(ISERROR(SEARCH("진행중",AD16)))</formula>
    </cfRule>
  </conditionalFormatting>
  <conditionalFormatting sqref="AE16:AE28">
    <cfRule type="containsText" dxfId="941" priority="35" operator="containsText" text="완료">
      <formula>NOT(ISERROR(SEARCH("완료",AE16)))</formula>
    </cfRule>
    <cfRule type="containsText" dxfId="940" priority="36" operator="containsText" text="중단">
      <formula>NOT(ISERROR(SEARCH("중단",AE16)))</formula>
    </cfRule>
  </conditionalFormatting>
  <conditionalFormatting sqref="AE16:AE28">
    <cfRule type="containsText" dxfId="939" priority="33" operator="containsText" text="완료">
      <formula>NOT(ISERROR(SEARCH("완료",AE16)))</formula>
    </cfRule>
    <cfRule type="containsText" dxfId="938" priority="34" operator="containsText" text="중단">
      <formula>NOT(ISERROR(SEARCH("중단",AE16)))</formula>
    </cfRule>
  </conditionalFormatting>
  <conditionalFormatting sqref="AE16:AE28">
    <cfRule type="containsText" dxfId="937" priority="32" operator="containsText" text="진행중">
      <formula>NOT(ISERROR(SEARCH("진행중",AE16)))</formula>
    </cfRule>
  </conditionalFormatting>
  <conditionalFormatting sqref="D8:D19">
    <cfRule type="containsText" dxfId="936" priority="30" operator="containsText" text="완료">
      <formula>NOT(ISERROR(SEARCH("완료",D8)))</formula>
    </cfRule>
    <cfRule type="containsText" dxfId="935" priority="31" operator="containsText" text="중단">
      <formula>NOT(ISERROR(SEARCH("중단",D8)))</formula>
    </cfRule>
  </conditionalFormatting>
  <conditionalFormatting sqref="D11">
    <cfRule type="containsText" dxfId="934" priority="28" operator="containsText" text="완료">
      <formula>NOT(ISERROR(SEARCH("완료",D11)))</formula>
    </cfRule>
    <cfRule type="containsText" dxfId="933" priority="29" operator="containsText" text="중단">
      <formula>NOT(ISERROR(SEARCH("중단",D11)))</formula>
    </cfRule>
  </conditionalFormatting>
  <conditionalFormatting sqref="D12:D19">
    <cfRule type="containsText" dxfId="932" priority="26" operator="containsText" text="완료">
      <formula>NOT(ISERROR(SEARCH("완료",D12)))</formula>
    </cfRule>
    <cfRule type="containsText" dxfId="931" priority="27" operator="containsText" text="중단">
      <formula>NOT(ISERROR(SEARCH("중단",D12)))</formula>
    </cfRule>
  </conditionalFormatting>
  <conditionalFormatting sqref="D13:D19">
    <cfRule type="containsText" dxfId="930" priority="24" operator="containsText" text="완료">
      <formula>NOT(ISERROR(SEARCH("완료",D13)))</formula>
    </cfRule>
    <cfRule type="containsText" dxfId="929" priority="25" operator="containsText" text="중단">
      <formula>NOT(ISERROR(SEARCH("중단",D13)))</formula>
    </cfRule>
  </conditionalFormatting>
  <conditionalFormatting sqref="D8:D19">
    <cfRule type="containsText" dxfId="928" priority="23" operator="containsText" text="진행중">
      <formula>NOT(ISERROR(SEARCH("진행중",D8)))</formula>
    </cfRule>
  </conditionalFormatting>
  <conditionalFormatting sqref="D8:D28">
    <cfRule type="containsText" dxfId="927" priority="21" operator="containsText" text="완료">
      <formula>NOT(ISERROR(SEARCH("완료",D8)))</formula>
    </cfRule>
    <cfRule type="containsText" dxfId="926" priority="22" operator="containsText" text="중단">
      <formula>NOT(ISERROR(SEARCH("중단",D8)))</formula>
    </cfRule>
  </conditionalFormatting>
  <conditionalFormatting sqref="D8:D28">
    <cfRule type="containsText" dxfId="925" priority="19" operator="containsText" text="완료">
      <formula>NOT(ISERROR(SEARCH("완료",D8)))</formula>
    </cfRule>
    <cfRule type="containsText" dxfId="924" priority="20" operator="containsText" text="중단">
      <formula>NOT(ISERROR(SEARCH("중단",D8)))</formula>
    </cfRule>
  </conditionalFormatting>
  <conditionalFormatting sqref="D8:D28">
    <cfRule type="containsText" dxfId="923" priority="18" operator="containsText" text="진행중">
      <formula>NOT(ISERROR(SEARCH("진행중",D8)))</formula>
    </cfRule>
  </conditionalFormatting>
  <conditionalFormatting sqref="D7">
    <cfRule type="containsText" dxfId="922" priority="16" operator="containsText" text="완료">
      <formula>NOT(ISERROR(SEARCH("완료",D7)))</formula>
    </cfRule>
    <cfRule type="containsText" dxfId="921" priority="17" operator="containsText" text="중단">
      <formula>NOT(ISERROR(SEARCH("중단",D7)))</formula>
    </cfRule>
  </conditionalFormatting>
  <conditionalFormatting sqref="D7">
    <cfRule type="containsText" dxfId="920" priority="14" operator="containsText" text="완료">
      <formula>NOT(ISERROR(SEARCH("완료",D7)))</formula>
    </cfRule>
    <cfRule type="containsText" dxfId="919" priority="15" operator="containsText" text="중단">
      <formula>NOT(ISERROR(SEARCH("중단",D7)))</formula>
    </cfRule>
  </conditionalFormatting>
  <conditionalFormatting sqref="D7">
    <cfRule type="containsText" dxfId="918" priority="13" operator="containsText" text="진행중">
      <formula>NOT(ISERROR(SEARCH("진행중",D7)))</formula>
    </cfRule>
  </conditionalFormatting>
  <conditionalFormatting sqref="G16:G28">
    <cfRule type="containsText" dxfId="917" priority="11" operator="containsText" text="완료">
      <formula>NOT(ISERROR(SEARCH("완료",G16)))</formula>
    </cfRule>
    <cfRule type="containsText" dxfId="916" priority="12" operator="containsText" text="중단">
      <formula>NOT(ISERROR(SEARCH("중단",G16)))</formula>
    </cfRule>
  </conditionalFormatting>
  <conditionalFormatting sqref="G16:G28">
    <cfRule type="containsText" dxfId="915" priority="9" operator="containsText" text="완료">
      <formula>NOT(ISERROR(SEARCH("완료",G16)))</formula>
    </cfRule>
    <cfRule type="containsText" dxfId="914" priority="10" operator="containsText" text="중단">
      <formula>NOT(ISERROR(SEARCH("중단",G16)))</formula>
    </cfRule>
  </conditionalFormatting>
  <conditionalFormatting sqref="G16:G28">
    <cfRule type="containsText" dxfId="913" priority="8" operator="containsText" text="진행중">
      <formula>NOT(ISERROR(SEARCH("진행중",G16)))</formula>
    </cfRule>
  </conditionalFormatting>
  <conditionalFormatting sqref="H16:H28">
    <cfRule type="containsText" dxfId="912" priority="6" operator="containsText" text="완료">
      <formula>NOT(ISERROR(SEARCH("완료",H16)))</formula>
    </cfRule>
    <cfRule type="containsText" dxfId="911" priority="7" operator="containsText" text="중단">
      <formula>NOT(ISERROR(SEARCH("중단",H16)))</formula>
    </cfRule>
  </conditionalFormatting>
  <conditionalFormatting sqref="H16:H28">
    <cfRule type="containsText" dxfId="910" priority="4" operator="containsText" text="완료">
      <formula>NOT(ISERROR(SEARCH("완료",H16)))</formula>
    </cfRule>
    <cfRule type="containsText" dxfId="909" priority="5" operator="containsText" text="중단">
      <formula>NOT(ISERROR(SEARCH("중단",H16)))</formula>
    </cfRule>
  </conditionalFormatting>
  <conditionalFormatting sqref="H16:H28">
    <cfRule type="containsText" dxfId="908" priority="3" operator="containsText" text="진행중">
      <formula>NOT(ISERROR(SEARCH("진행중",H16)))</formula>
    </cfRule>
  </conditionalFormatting>
  <conditionalFormatting sqref="A29:E29 J29:AG29 A1:AG28">
    <cfRule type="containsText" dxfId="907" priority="2" operator="containsText" text="누락">
      <formula>NOT(ISERROR(SEARCH("누락",A1)))</formula>
    </cfRule>
  </conditionalFormatting>
  <conditionalFormatting sqref="F7:I28">
    <cfRule type="cellIs" dxfId="115" priority="1" operator="greaterThanOrEqual">
      <formula>15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rgb="FFFF0000"/>
  </sheetPr>
  <dimension ref="A1:AP29"/>
  <sheetViews>
    <sheetView zoomScale="55" zoomScaleNormal="55" workbookViewId="0">
      <selection activeCell="F7" sqref="F7:I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5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68</v>
      </c>
      <c r="V11" s="7" t="s">
        <v>69</v>
      </c>
      <c r="W11" s="7" t="s">
        <v>70</v>
      </c>
      <c r="X11" s="7" t="s">
        <v>71</v>
      </c>
      <c r="Y11" s="7" t="s">
        <v>72</v>
      </c>
      <c r="Z11" s="7" t="s">
        <v>73</v>
      </c>
      <c r="AA11" s="7" t="s">
        <v>74</v>
      </c>
      <c r="AB11" s="7" t="s">
        <v>75</v>
      </c>
      <c r="AC11" s="7" t="s">
        <v>67</v>
      </c>
      <c r="AD11" s="7" t="str">
        <f t="shared" si="4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2">IF(MOD($B12,5)=0, "스핀들유격: ","-" 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ref="U12:AB15" si="13">IF(MOD($B12,5)=0, "000-000","-" )</f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6"/>
        <v>-</v>
      </c>
      <c r="AF12" s="7" t="s">
        <v>99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6"/>
        <v>-</v>
      </c>
      <c r="AF13" s="7" t="s">
        <v>99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6"/>
        <v>-</v>
      </c>
      <c r="AF14" s="7" t="s">
        <v>99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6"/>
        <v>-</v>
      </c>
      <c r="AF15" s="7" t="s">
        <v>99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">
        <v>21</v>
      </c>
      <c r="E16" s="24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48" t="str">
        <f t="shared" ref="Q16:AE28" si="18">IF(NOT(LEN($A16)=0),"누락","")</f>
        <v>누락</v>
      </c>
      <c r="R16" s="48" t="str">
        <f t="shared" si="18"/>
        <v>누락</v>
      </c>
      <c r="S16" s="48" t="str">
        <f t="shared" si="18"/>
        <v>누락</v>
      </c>
      <c r="T16" s="48" t="str">
        <f t="shared" si="18"/>
        <v>누락</v>
      </c>
      <c r="U16" s="48" t="str">
        <f t="shared" si="18"/>
        <v>누락</v>
      </c>
      <c r="V16" s="48" t="str">
        <f t="shared" si="18"/>
        <v>누락</v>
      </c>
      <c r="W16" s="48" t="str">
        <f t="shared" si="18"/>
        <v>누락</v>
      </c>
      <c r="X16" s="48" t="str">
        <f t="shared" si="18"/>
        <v>누락</v>
      </c>
      <c r="Y16" s="48" t="str">
        <f t="shared" si="18"/>
        <v>누락</v>
      </c>
      <c r="Z16" s="48" t="str">
        <f t="shared" si="18"/>
        <v>누락</v>
      </c>
      <c r="AA16" s="48" t="str">
        <f t="shared" si="18"/>
        <v>누락</v>
      </c>
      <c r="AB16" s="48" t="str">
        <f t="shared" si="18"/>
        <v>누락</v>
      </c>
      <c r="AC16" s="48" t="str">
        <f t="shared" si="18"/>
        <v>누락</v>
      </c>
      <c r="AD16" s="48" t="str">
        <f t="shared" si="18"/>
        <v>누락</v>
      </c>
      <c r="AE16" s="48" t="str">
        <f t="shared" si="18"/>
        <v>누락</v>
      </c>
      <c r="AF16" s="7" t="s">
        <v>130</v>
      </c>
      <c r="AG16" s="1" t="s">
        <v>16</v>
      </c>
    </row>
    <row r="17" spans="1:33" x14ac:dyDescent="0.45">
      <c r="A17" s="3"/>
      <c r="B17" s="24" t="str">
        <f t="shared" si="11"/>
        <v/>
      </c>
      <c r="C17" s="7" t="str">
        <f t="shared" ref="C17:C28" si="19">IF(B17="","",
  IF(MOD($B17,1)=0,
    "Dimensions: L W H",
    "-"
  )
)</f>
        <v/>
      </c>
      <c r="D17" s="6" t="str">
        <f t="shared" si="1"/>
        <v/>
      </c>
      <c r="E17" s="24"/>
      <c r="F17" s="49" t="str">
        <f t="shared" ref="F17:F21" si="20">IF(NOT(LEN($A17)=0),IF(F16+1&gt;15,"버교체요망",F16+1),"")</f>
        <v/>
      </c>
      <c r="G17" s="49" t="str">
        <f t="shared" ref="G17:G21" si="21">IF(NOT(LEN($I17)=0),G16,"")</f>
        <v/>
      </c>
      <c r="H17" s="49" t="str">
        <f t="shared" ref="H17:H21" si="22">IF(NOT(LEN($I17)=0),H16,"")</f>
        <v/>
      </c>
      <c r="I17" s="49" t="str">
        <f t="shared" ref="I17:I21" si="23">IF(NOT(LEN($A17)=0),IF(I16+1&gt;15,"버교체요망",I16+1),"")</f>
        <v/>
      </c>
      <c r="J17" s="1"/>
      <c r="K17" s="49" t="str">
        <f t="shared" si="7"/>
        <v/>
      </c>
      <c r="L17" s="49" t="str">
        <f t="shared" si="8"/>
        <v/>
      </c>
      <c r="M17" s="49" t="str">
        <f t="shared" si="9"/>
        <v/>
      </c>
      <c r="N17" s="49" t="str">
        <f t="shared" si="10"/>
        <v/>
      </c>
      <c r="O17" s="24" t="str">
        <f>IF(LEN(A17)&gt;0, 종합!$C$27, "")</f>
        <v/>
      </c>
      <c r="P17" s="1"/>
      <c r="Q17" s="48" t="str">
        <f t="shared" si="18"/>
        <v/>
      </c>
      <c r="R17" s="48" t="str">
        <f t="shared" si="18"/>
        <v/>
      </c>
      <c r="S17" s="48" t="str">
        <f t="shared" si="18"/>
        <v/>
      </c>
      <c r="T17" s="48" t="str">
        <f t="shared" si="18"/>
        <v/>
      </c>
      <c r="U17" s="48" t="str">
        <f t="shared" si="18"/>
        <v/>
      </c>
      <c r="V17" s="48" t="str">
        <f t="shared" si="18"/>
        <v/>
      </c>
      <c r="W17" s="48" t="str">
        <f t="shared" si="18"/>
        <v/>
      </c>
      <c r="X17" s="48" t="str">
        <f t="shared" si="18"/>
        <v/>
      </c>
      <c r="Y17" s="48" t="str">
        <f t="shared" si="18"/>
        <v/>
      </c>
      <c r="Z17" s="48" t="str">
        <f t="shared" si="18"/>
        <v/>
      </c>
      <c r="AA17" s="48" t="str">
        <f t="shared" si="18"/>
        <v/>
      </c>
      <c r="AB17" s="48" t="str">
        <f t="shared" si="18"/>
        <v/>
      </c>
      <c r="AC17" s="48" t="str">
        <f t="shared" si="18"/>
        <v/>
      </c>
      <c r="AD17" s="48" t="str">
        <f t="shared" si="18"/>
        <v/>
      </c>
      <c r="AE17" s="48" t="str">
        <f t="shared" si="18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/>
      <c r="F18" s="49" t="str">
        <f t="shared" si="20"/>
        <v/>
      </c>
      <c r="G18" s="49" t="str">
        <f t="shared" si="21"/>
        <v/>
      </c>
      <c r="H18" s="49" t="str">
        <f t="shared" si="22"/>
        <v/>
      </c>
      <c r="I18" s="49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si="18"/>
        <v/>
      </c>
      <c r="R18" s="48" t="str">
        <f t="shared" si="18"/>
        <v/>
      </c>
      <c r="S18" s="48" t="str">
        <f t="shared" si="18"/>
        <v/>
      </c>
      <c r="T18" s="48" t="str">
        <f t="shared" si="18"/>
        <v/>
      </c>
      <c r="U18" s="48" t="str">
        <f t="shared" si="18"/>
        <v/>
      </c>
      <c r="V18" s="48" t="str">
        <f t="shared" si="18"/>
        <v/>
      </c>
      <c r="W18" s="48" t="str">
        <f t="shared" si="18"/>
        <v/>
      </c>
      <c r="X18" s="48" t="str">
        <f t="shared" si="18"/>
        <v/>
      </c>
      <c r="Y18" s="48" t="str">
        <f t="shared" si="18"/>
        <v/>
      </c>
      <c r="Z18" s="48" t="str">
        <f t="shared" si="18"/>
        <v/>
      </c>
      <c r="AA18" s="48" t="str">
        <f t="shared" si="18"/>
        <v/>
      </c>
      <c r="AB18" s="48" t="str">
        <f t="shared" si="18"/>
        <v/>
      </c>
      <c r="AC18" s="48" t="str">
        <f t="shared" si="18"/>
        <v/>
      </c>
      <c r="AD18" s="48" t="str">
        <f t="shared" si="18"/>
        <v/>
      </c>
      <c r="AE18" s="48" t="str">
        <f t="shared" si="18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/>
      <c r="F19" s="49" t="str">
        <f t="shared" si="20"/>
        <v/>
      </c>
      <c r="G19" s="49" t="str">
        <f t="shared" si="21"/>
        <v/>
      </c>
      <c r="H19" s="49" t="str">
        <f t="shared" si="22"/>
        <v/>
      </c>
      <c r="I19" s="49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18"/>
        <v/>
      </c>
      <c r="R19" s="48" t="str">
        <f t="shared" si="18"/>
        <v/>
      </c>
      <c r="S19" s="48" t="str">
        <f t="shared" si="18"/>
        <v/>
      </c>
      <c r="T19" s="48" t="str">
        <f t="shared" si="18"/>
        <v/>
      </c>
      <c r="U19" s="48" t="str">
        <f t="shared" si="18"/>
        <v/>
      </c>
      <c r="V19" s="48" t="str">
        <f t="shared" si="18"/>
        <v/>
      </c>
      <c r="W19" s="48" t="str">
        <f t="shared" si="18"/>
        <v/>
      </c>
      <c r="X19" s="48" t="str">
        <f t="shared" si="18"/>
        <v/>
      </c>
      <c r="Y19" s="48" t="str">
        <f t="shared" si="18"/>
        <v/>
      </c>
      <c r="Z19" s="48" t="str">
        <f t="shared" si="18"/>
        <v/>
      </c>
      <c r="AA19" s="48" t="str">
        <f t="shared" si="18"/>
        <v/>
      </c>
      <c r="AB19" s="48" t="str">
        <f t="shared" si="18"/>
        <v/>
      </c>
      <c r="AC19" s="48" t="str">
        <f t="shared" si="18"/>
        <v/>
      </c>
      <c r="AD19" s="48" t="str">
        <f t="shared" si="18"/>
        <v/>
      </c>
      <c r="AE19" s="48" t="str">
        <f t="shared" si="18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/>
      <c r="F20" s="49" t="str">
        <f t="shared" si="20"/>
        <v/>
      </c>
      <c r="G20" s="49" t="str">
        <f t="shared" si="21"/>
        <v/>
      </c>
      <c r="H20" s="49" t="str">
        <f t="shared" si="22"/>
        <v/>
      </c>
      <c r="I20" s="49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18"/>
        <v/>
      </c>
      <c r="R20" s="48" t="str">
        <f t="shared" si="18"/>
        <v/>
      </c>
      <c r="S20" s="48" t="str">
        <f t="shared" si="18"/>
        <v/>
      </c>
      <c r="T20" s="48" t="str">
        <f t="shared" si="18"/>
        <v/>
      </c>
      <c r="U20" s="48" t="str">
        <f t="shared" si="18"/>
        <v/>
      </c>
      <c r="V20" s="48" t="str">
        <f t="shared" si="18"/>
        <v/>
      </c>
      <c r="W20" s="48" t="str">
        <f t="shared" si="18"/>
        <v/>
      </c>
      <c r="X20" s="48" t="str">
        <f t="shared" si="18"/>
        <v/>
      </c>
      <c r="Y20" s="48" t="str">
        <f t="shared" si="18"/>
        <v/>
      </c>
      <c r="Z20" s="48" t="str">
        <f t="shared" si="18"/>
        <v/>
      </c>
      <c r="AA20" s="48" t="str">
        <f t="shared" si="18"/>
        <v/>
      </c>
      <c r="AB20" s="48" t="str">
        <f t="shared" si="18"/>
        <v/>
      </c>
      <c r="AC20" s="48" t="str">
        <f t="shared" si="18"/>
        <v/>
      </c>
      <c r="AD20" s="48" t="str">
        <f t="shared" si="18"/>
        <v/>
      </c>
      <c r="AE20" s="48" t="str">
        <f t="shared" si="18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/>
      <c r="F21" s="49" t="str">
        <f t="shared" si="20"/>
        <v/>
      </c>
      <c r="G21" s="49" t="str">
        <f t="shared" si="21"/>
        <v/>
      </c>
      <c r="H21" s="49" t="str">
        <f t="shared" si="22"/>
        <v/>
      </c>
      <c r="I21" s="49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18"/>
        <v/>
      </c>
      <c r="R21" s="48" t="str">
        <f t="shared" si="18"/>
        <v/>
      </c>
      <c r="S21" s="48" t="str">
        <f t="shared" si="18"/>
        <v/>
      </c>
      <c r="T21" s="48" t="str">
        <f t="shared" si="18"/>
        <v/>
      </c>
      <c r="U21" s="48" t="str">
        <f t="shared" si="18"/>
        <v/>
      </c>
      <c r="V21" s="48" t="str">
        <f t="shared" si="18"/>
        <v/>
      </c>
      <c r="W21" s="48" t="str">
        <f t="shared" si="18"/>
        <v/>
      </c>
      <c r="X21" s="48" t="str">
        <f t="shared" si="18"/>
        <v/>
      </c>
      <c r="Y21" s="48" t="str">
        <f t="shared" si="18"/>
        <v/>
      </c>
      <c r="Z21" s="48" t="str">
        <f t="shared" si="18"/>
        <v/>
      </c>
      <c r="AA21" s="48" t="str">
        <f t="shared" si="18"/>
        <v/>
      </c>
      <c r="AB21" s="48" t="str">
        <f t="shared" si="18"/>
        <v/>
      </c>
      <c r="AC21" s="48" t="str">
        <f t="shared" si="18"/>
        <v/>
      </c>
      <c r="AD21" s="48" t="str">
        <f t="shared" si="18"/>
        <v/>
      </c>
      <c r="AE21" s="48" t="str">
        <f t="shared" si="18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8"/>
        <v/>
      </c>
      <c r="R28" s="48" t="str">
        <f t="shared" si="18"/>
        <v/>
      </c>
      <c r="S28" s="48" t="str">
        <f t="shared" si="18"/>
        <v/>
      </c>
      <c r="T28" s="48" t="str">
        <f t="shared" si="18"/>
        <v/>
      </c>
      <c r="U28" s="48" t="str">
        <f t="shared" si="18"/>
        <v/>
      </c>
      <c r="V28" s="48" t="str">
        <f t="shared" si="18"/>
        <v/>
      </c>
      <c r="W28" s="48" t="str">
        <f t="shared" si="18"/>
        <v/>
      </c>
      <c r="X28" s="48" t="str">
        <f t="shared" si="18"/>
        <v/>
      </c>
      <c r="Y28" s="48" t="str">
        <f t="shared" si="18"/>
        <v/>
      </c>
      <c r="Z28" s="48" t="str">
        <f t="shared" si="18"/>
        <v/>
      </c>
      <c r="AA28" s="48" t="str">
        <f t="shared" si="18"/>
        <v/>
      </c>
      <c r="AB28" s="48" t="str">
        <f t="shared" si="18"/>
        <v/>
      </c>
      <c r="AC28" s="48" t="str">
        <f t="shared" si="18"/>
        <v/>
      </c>
      <c r="AD28" s="48" t="str">
        <f t="shared" si="18"/>
        <v/>
      </c>
      <c r="AE28" s="48" t="str">
        <f t="shared" si="18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906" priority="169" operator="containsText" text="진행중">
      <formula>NOT(ISERROR(SEARCH("진행중",D29)))</formula>
    </cfRule>
  </conditionalFormatting>
  <conditionalFormatting sqref="K8:K28">
    <cfRule type="containsText" dxfId="905" priority="117" operator="containsText" text="완료">
      <formula>NOT(ISERROR(SEARCH("완료",K8)))</formula>
    </cfRule>
    <cfRule type="containsText" dxfId="904" priority="118" operator="containsText" text="중단">
      <formula>NOT(ISERROR(SEARCH("중단",K8)))</formula>
    </cfRule>
  </conditionalFormatting>
  <conditionalFormatting sqref="K8:K28">
    <cfRule type="containsText" dxfId="903" priority="115" operator="containsText" text="완료">
      <formula>NOT(ISERROR(SEARCH("완료",K8)))</formula>
    </cfRule>
    <cfRule type="containsText" dxfId="902" priority="116" operator="containsText" text="중단">
      <formula>NOT(ISERROR(SEARCH("중단",K8)))</formula>
    </cfRule>
  </conditionalFormatting>
  <conditionalFormatting sqref="K8:K28">
    <cfRule type="containsText" dxfId="901" priority="114" operator="containsText" text="진행중">
      <formula>NOT(ISERROR(SEARCH("진행중",K8)))</formula>
    </cfRule>
  </conditionalFormatting>
  <conditionalFormatting sqref="L8:L28">
    <cfRule type="containsText" dxfId="900" priority="112" operator="containsText" text="완료">
      <formula>NOT(ISERROR(SEARCH("완료",L8)))</formula>
    </cfRule>
    <cfRule type="containsText" dxfId="899" priority="113" operator="containsText" text="중단">
      <formula>NOT(ISERROR(SEARCH("중단",L8)))</formula>
    </cfRule>
  </conditionalFormatting>
  <conditionalFormatting sqref="L8:L28">
    <cfRule type="containsText" dxfId="898" priority="110" operator="containsText" text="완료">
      <formula>NOT(ISERROR(SEARCH("완료",L8)))</formula>
    </cfRule>
    <cfRule type="containsText" dxfId="897" priority="111" operator="containsText" text="중단">
      <formula>NOT(ISERROR(SEARCH("중단",L8)))</formula>
    </cfRule>
  </conditionalFormatting>
  <conditionalFormatting sqref="L8:L28">
    <cfRule type="containsText" dxfId="896" priority="109" operator="containsText" text="진행중">
      <formula>NOT(ISERROR(SEARCH("진행중",L8)))</formula>
    </cfRule>
  </conditionalFormatting>
  <conditionalFormatting sqref="M8:N28">
    <cfRule type="containsText" dxfId="895" priority="107" operator="containsText" text="완료">
      <formula>NOT(ISERROR(SEARCH("완료",M8)))</formula>
    </cfRule>
    <cfRule type="containsText" dxfId="894" priority="108" operator="containsText" text="중단">
      <formula>NOT(ISERROR(SEARCH("중단",M8)))</formula>
    </cfRule>
  </conditionalFormatting>
  <conditionalFormatting sqref="M8:N28">
    <cfRule type="containsText" dxfId="893" priority="105" operator="containsText" text="완료">
      <formula>NOT(ISERROR(SEARCH("완료",M8)))</formula>
    </cfRule>
    <cfRule type="containsText" dxfId="892" priority="106" operator="containsText" text="중단">
      <formula>NOT(ISERROR(SEARCH("중단",M8)))</formula>
    </cfRule>
  </conditionalFormatting>
  <conditionalFormatting sqref="M8:N28">
    <cfRule type="containsText" dxfId="891" priority="104" operator="containsText" text="진행중">
      <formula>NOT(ISERROR(SEARCH("진행중",M8)))</formula>
    </cfRule>
  </conditionalFormatting>
  <conditionalFormatting sqref="Q16:Q28">
    <cfRule type="containsText" dxfId="890" priority="97" operator="containsText" text="완료">
      <formula>NOT(ISERROR(SEARCH("완료",Q16)))</formula>
    </cfRule>
    <cfRule type="containsText" dxfId="889" priority="98" operator="containsText" text="중단">
      <formula>NOT(ISERROR(SEARCH("중단",Q16)))</formula>
    </cfRule>
  </conditionalFormatting>
  <conditionalFormatting sqref="Q16:Q28">
    <cfRule type="containsText" dxfId="888" priority="95" operator="containsText" text="완료">
      <formula>NOT(ISERROR(SEARCH("완료",Q16)))</formula>
    </cfRule>
    <cfRule type="containsText" dxfId="887" priority="96" operator="containsText" text="중단">
      <formula>NOT(ISERROR(SEARCH("중단",Q16)))</formula>
    </cfRule>
  </conditionalFormatting>
  <conditionalFormatting sqref="Q16:Q28">
    <cfRule type="containsText" dxfId="886" priority="94" operator="containsText" text="진행중">
      <formula>NOT(ISERROR(SEARCH("진행중",Q16)))</formula>
    </cfRule>
  </conditionalFormatting>
  <conditionalFormatting sqref="R16:R28">
    <cfRule type="containsText" dxfId="885" priority="92" operator="containsText" text="완료">
      <formula>NOT(ISERROR(SEARCH("완료",R16)))</formula>
    </cfRule>
    <cfRule type="containsText" dxfId="884" priority="93" operator="containsText" text="중단">
      <formula>NOT(ISERROR(SEARCH("중단",R16)))</formula>
    </cfRule>
  </conditionalFormatting>
  <conditionalFormatting sqref="R16:R28">
    <cfRule type="containsText" dxfId="883" priority="90" operator="containsText" text="완료">
      <formula>NOT(ISERROR(SEARCH("완료",R16)))</formula>
    </cfRule>
    <cfRule type="containsText" dxfId="882" priority="91" operator="containsText" text="중단">
      <formula>NOT(ISERROR(SEARCH("중단",R16)))</formula>
    </cfRule>
  </conditionalFormatting>
  <conditionalFormatting sqref="R16:R28">
    <cfRule type="containsText" dxfId="881" priority="89" operator="containsText" text="진행중">
      <formula>NOT(ISERROR(SEARCH("진행중",R16)))</formula>
    </cfRule>
  </conditionalFormatting>
  <conditionalFormatting sqref="S16:S28">
    <cfRule type="containsText" dxfId="880" priority="87" operator="containsText" text="완료">
      <formula>NOT(ISERROR(SEARCH("완료",S16)))</formula>
    </cfRule>
    <cfRule type="containsText" dxfId="879" priority="88" operator="containsText" text="중단">
      <formula>NOT(ISERROR(SEARCH("중단",S16)))</formula>
    </cfRule>
  </conditionalFormatting>
  <conditionalFormatting sqref="S16:S28">
    <cfRule type="containsText" dxfId="878" priority="85" operator="containsText" text="완료">
      <formula>NOT(ISERROR(SEARCH("완료",S16)))</formula>
    </cfRule>
    <cfRule type="containsText" dxfId="877" priority="86" operator="containsText" text="중단">
      <formula>NOT(ISERROR(SEARCH("중단",S16)))</formula>
    </cfRule>
  </conditionalFormatting>
  <conditionalFormatting sqref="S16:S28">
    <cfRule type="containsText" dxfId="876" priority="84" operator="containsText" text="진행중">
      <formula>NOT(ISERROR(SEARCH("진행중",S16)))</formula>
    </cfRule>
  </conditionalFormatting>
  <conditionalFormatting sqref="T16:T28">
    <cfRule type="containsText" dxfId="875" priority="82" operator="containsText" text="완료">
      <formula>NOT(ISERROR(SEARCH("완료",T16)))</formula>
    </cfRule>
    <cfRule type="containsText" dxfId="874" priority="83" operator="containsText" text="중단">
      <formula>NOT(ISERROR(SEARCH("중단",T16)))</formula>
    </cfRule>
  </conditionalFormatting>
  <conditionalFormatting sqref="T16:T28">
    <cfRule type="containsText" dxfId="873" priority="80" operator="containsText" text="완료">
      <formula>NOT(ISERROR(SEARCH("완료",T16)))</formula>
    </cfRule>
    <cfRule type="containsText" dxfId="872" priority="81" operator="containsText" text="중단">
      <formula>NOT(ISERROR(SEARCH("중단",T16)))</formula>
    </cfRule>
  </conditionalFormatting>
  <conditionalFormatting sqref="T16:T28">
    <cfRule type="containsText" dxfId="871" priority="79" operator="containsText" text="진행중">
      <formula>NOT(ISERROR(SEARCH("진행중",T16)))</formula>
    </cfRule>
  </conditionalFormatting>
  <conditionalFormatting sqref="U16:AC28">
    <cfRule type="containsText" dxfId="870" priority="77" operator="containsText" text="완료">
      <formula>NOT(ISERROR(SEARCH("완료",U16)))</formula>
    </cfRule>
    <cfRule type="containsText" dxfId="869" priority="78" operator="containsText" text="중단">
      <formula>NOT(ISERROR(SEARCH("중단",U16)))</formula>
    </cfRule>
  </conditionalFormatting>
  <conditionalFormatting sqref="U16:AC28">
    <cfRule type="containsText" dxfId="868" priority="75" operator="containsText" text="완료">
      <formula>NOT(ISERROR(SEARCH("완료",U16)))</formula>
    </cfRule>
    <cfRule type="containsText" dxfId="867" priority="76" operator="containsText" text="중단">
      <formula>NOT(ISERROR(SEARCH("중단",U16)))</formula>
    </cfRule>
  </conditionalFormatting>
  <conditionalFormatting sqref="U16:AC28">
    <cfRule type="containsText" dxfId="866" priority="74" operator="containsText" text="진행중">
      <formula>NOT(ISERROR(SEARCH("진행중",U16)))</formula>
    </cfRule>
  </conditionalFormatting>
  <conditionalFormatting sqref="AD16:AD28">
    <cfRule type="containsText" dxfId="865" priority="72" operator="containsText" text="완료">
      <formula>NOT(ISERROR(SEARCH("완료",AD16)))</formula>
    </cfRule>
    <cfRule type="containsText" dxfId="864" priority="73" operator="containsText" text="중단">
      <formula>NOT(ISERROR(SEARCH("중단",AD16)))</formula>
    </cfRule>
  </conditionalFormatting>
  <conditionalFormatting sqref="AD16:AD28">
    <cfRule type="containsText" dxfId="863" priority="70" operator="containsText" text="완료">
      <formula>NOT(ISERROR(SEARCH("완료",AD16)))</formula>
    </cfRule>
    <cfRule type="containsText" dxfId="862" priority="71" operator="containsText" text="중단">
      <formula>NOT(ISERROR(SEARCH("중단",AD16)))</formula>
    </cfRule>
  </conditionalFormatting>
  <conditionalFormatting sqref="AD16:AD28">
    <cfRule type="containsText" dxfId="861" priority="69" operator="containsText" text="진행중">
      <formula>NOT(ISERROR(SEARCH("진행중",AD16)))</formula>
    </cfRule>
  </conditionalFormatting>
  <conditionalFormatting sqref="AE16:AE28">
    <cfRule type="containsText" dxfId="860" priority="67" operator="containsText" text="완료">
      <formula>NOT(ISERROR(SEARCH("완료",AE16)))</formula>
    </cfRule>
    <cfRule type="containsText" dxfId="859" priority="68" operator="containsText" text="중단">
      <formula>NOT(ISERROR(SEARCH("중단",AE16)))</formula>
    </cfRule>
  </conditionalFormatting>
  <conditionalFormatting sqref="AE16:AE28">
    <cfRule type="containsText" dxfId="858" priority="65" operator="containsText" text="완료">
      <formula>NOT(ISERROR(SEARCH("완료",AE16)))</formula>
    </cfRule>
    <cfRule type="containsText" dxfId="857" priority="66" operator="containsText" text="중단">
      <formula>NOT(ISERROR(SEARCH("중단",AE16)))</formula>
    </cfRule>
  </conditionalFormatting>
  <conditionalFormatting sqref="AE16:AE28">
    <cfRule type="containsText" dxfId="856" priority="64" operator="containsText" text="진행중">
      <formula>NOT(ISERROR(SEARCH("진행중",AE16)))</formula>
    </cfRule>
  </conditionalFormatting>
  <conditionalFormatting sqref="H7:H9 F7:F9">
    <cfRule type="containsText" dxfId="855" priority="62" operator="containsText" text="신품">
      <formula>NOT(ISERROR(SEARCH("신품",F7)))</formula>
    </cfRule>
    <cfRule type="containsText" dxfId="854" priority="63" operator="containsText" text="중고">
      <formula>NOT(ISERROR(SEARCH("중고",F7)))</formula>
    </cfRule>
  </conditionalFormatting>
  <conditionalFormatting sqref="I7:I9">
    <cfRule type="containsText" dxfId="853" priority="60" operator="containsText" text="신품">
      <formula>NOT(ISERROR(SEARCH("신품",I7)))</formula>
    </cfRule>
    <cfRule type="containsText" dxfId="852" priority="61" operator="containsText" text="중고">
      <formula>NOT(ISERROR(SEARCH("중고",I7)))</formula>
    </cfRule>
  </conditionalFormatting>
  <conditionalFormatting sqref="H10 F10">
    <cfRule type="containsText" dxfId="851" priority="58" operator="containsText" text="신품">
      <formula>NOT(ISERROR(SEARCH("신품",F10)))</formula>
    </cfRule>
    <cfRule type="containsText" dxfId="850" priority="59" operator="containsText" text="중고">
      <formula>NOT(ISERROR(SEARCH("중고",F10)))</formula>
    </cfRule>
  </conditionalFormatting>
  <conditionalFormatting sqref="I10">
    <cfRule type="containsText" dxfId="849" priority="56" operator="containsText" text="신품">
      <formula>NOT(ISERROR(SEARCH("신품",I10)))</formula>
    </cfRule>
    <cfRule type="containsText" dxfId="848" priority="57" operator="containsText" text="중고">
      <formula>NOT(ISERROR(SEARCH("중고",I10)))</formula>
    </cfRule>
  </conditionalFormatting>
  <conditionalFormatting sqref="H11">
    <cfRule type="containsText" dxfId="847" priority="54" operator="containsText" text="신품">
      <formula>NOT(ISERROR(SEARCH("신품",H11)))</formula>
    </cfRule>
    <cfRule type="containsText" dxfId="846" priority="55" operator="containsText" text="중고">
      <formula>NOT(ISERROR(SEARCH("중고",H11)))</formula>
    </cfRule>
  </conditionalFormatting>
  <conditionalFormatting sqref="H12:H15">
    <cfRule type="containsText" dxfId="845" priority="52" operator="containsText" text="신품">
      <formula>NOT(ISERROR(SEARCH("신품",H12)))</formula>
    </cfRule>
    <cfRule type="containsText" dxfId="844" priority="53" operator="containsText" text="중고">
      <formula>NOT(ISERROR(SEARCH("중고",H12)))</formula>
    </cfRule>
  </conditionalFormatting>
  <conditionalFormatting sqref="F12:F28">
    <cfRule type="containsText" dxfId="843" priority="50" operator="containsText" text="완료">
      <formula>NOT(ISERROR(SEARCH("완료",F12)))</formula>
    </cfRule>
    <cfRule type="containsText" dxfId="842" priority="51" operator="containsText" text="중단">
      <formula>NOT(ISERROR(SEARCH("중단",F12)))</formula>
    </cfRule>
  </conditionalFormatting>
  <conditionalFormatting sqref="F12:F28">
    <cfRule type="containsText" dxfId="841" priority="48" operator="containsText" text="완료">
      <formula>NOT(ISERROR(SEARCH("완료",F12)))</formula>
    </cfRule>
    <cfRule type="containsText" dxfId="840" priority="49" operator="containsText" text="중단">
      <formula>NOT(ISERROR(SEARCH("중단",F12)))</formula>
    </cfRule>
  </conditionalFormatting>
  <conditionalFormatting sqref="F12:F28">
    <cfRule type="containsText" dxfId="839" priority="47" operator="containsText" text="진행중">
      <formula>NOT(ISERROR(SEARCH("진행중",F12)))</formula>
    </cfRule>
  </conditionalFormatting>
  <conditionalFormatting sqref="F11">
    <cfRule type="containsText" dxfId="838" priority="45" operator="containsText" text="완료">
      <formula>NOT(ISERROR(SEARCH("완료",F11)))</formula>
    </cfRule>
    <cfRule type="containsText" dxfId="837" priority="46" operator="containsText" text="중단">
      <formula>NOT(ISERROR(SEARCH("중단",F11)))</formula>
    </cfRule>
  </conditionalFormatting>
  <conditionalFormatting sqref="F11">
    <cfRule type="containsText" dxfId="836" priority="43" operator="containsText" text="완료">
      <formula>NOT(ISERROR(SEARCH("완료",F11)))</formula>
    </cfRule>
    <cfRule type="containsText" dxfId="835" priority="44" operator="containsText" text="중단">
      <formula>NOT(ISERROR(SEARCH("중단",F11)))</formula>
    </cfRule>
  </conditionalFormatting>
  <conditionalFormatting sqref="F11">
    <cfRule type="containsText" dxfId="834" priority="42" operator="containsText" text="진행중">
      <formula>NOT(ISERROR(SEARCH("진행중",F11)))</formula>
    </cfRule>
  </conditionalFormatting>
  <conditionalFormatting sqref="I12:I28">
    <cfRule type="containsText" dxfId="833" priority="40" operator="containsText" text="완료">
      <formula>NOT(ISERROR(SEARCH("완료",I12)))</formula>
    </cfRule>
    <cfRule type="containsText" dxfId="832" priority="41" operator="containsText" text="중단">
      <formula>NOT(ISERROR(SEARCH("중단",I12)))</formula>
    </cfRule>
  </conditionalFormatting>
  <conditionalFormatting sqref="I12:I28">
    <cfRule type="containsText" dxfId="831" priority="38" operator="containsText" text="완료">
      <formula>NOT(ISERROR(SEARCH("완료",I12)))</formula>
    </cfRule>
    <cfRule type="containsText" dxfId="830" priority="39" operator="containsText" text="중단">
      <formula>NOT(ISERROR(SEARCH("중단",I12)))</formula>
    </cfRule>
  </conditionalFormatting>
  <conditionalFormatting sqref="I12:I28">
    <cfRule type="containsText" dxfId="829" priority="37" operator="containsText" text="진행중">
      <formula>NOT(ISERROR(SEARCH("진행중",I12)))</formula>
    </cfRule>
  </conditionalFormatting>
  <conditionalFormatting sqref="I11">
    <cfRule type="containsText" dxfId="828" priority="35" operator="containsText" text="완료">
      <formula>NOT(ISERROR(SEARCH("완료",I11)))</formula>
    </cfRule>
    <cfRule type="containsText" dxfId="827" priority="36" operator="containsText" text="중단">
      <formula>NOT(ISERROR(SEARCH("중단",I11)))</formula>
    </cfRule>
  </conditionalFormatting>
  <conditionalFormatting sqref="I11">
    <cfRule type="containsText" dxfId="826" priority="33" operator="containsText" text="완료">
      <formula>NOT(ISERROR(SEARCH("완료",I11)))</formula>
    </cfRule>
    <cfRule type="containsText" dxfId="825" priority="34" operator="containsText" text="중단">
      <formula>NOT(ISERROR(SEARCH("중단",I11)))</formula>
    </cfRule>
  </conditionalFormatting>
  <conditionalFormatting sqref="I11">
    <cfRule type="containsText" dxfId="824" priority="32" operator="containsText" text="진행중">
      <formula>NOT(ISERROR(SEARCH("진행중",I11)))</formula>
    </cfRule>
  </conditionalFormatting>
  <conditionalFormatting sqref="D8:D19">
    <cfRule type="containsText" dxfId="823" priority="30" operator="containsText" text="완료">
      <formula>NOT(ISERROR(SEARCH("완료",D8)))</formula>
    </cfRule>
    <cfRule type="containsText" dxfId="822" priority="31" operator="containsText" text="중단">
      <formula>NOT(ISERROR(SEARCH("중단",D8)))</formula>
    </cfRule>
  </conditionalFormatting>
  <conditionalFormatting sqref="D11">
    <cfRule type="containsText" dxfId="821" priority="28" operator="containsText" text="완료">
      <formula>NOT(ISERROR(SEARCH("완료",D11)))</formula>
    </cfRule>
    <cfRule type="containsText" dxfId="820" priority="29" operator="containsText" text="중단">
      <formula>NOT(ISERROR(SEARCH("중단",D11)))</formula>
    </cfRule>
  </conditionalFormatting>
  <conditionalFormatting sqref="D12:D19">
    <cfRule type="containsText" dxfId="819" priority="26" operator="containsText" text="완료">
      <formula>NOT(ISERROR(SEARCH("완료",D12)))</formula>
    </cfRule>
    <cfRule type="containsText" dxfId="818" priority="27" operator="containsText" text="중단">
      <formula>NOT(ISERROR(SEARCH("중단",D12)))</formula>
    </cfRule>
  </conditionalFormatting>
  <conditionalFormatting sqref="D13:D19">
    <cfRule type="containsText" dxfId="817" priority="24" operator="containsText" text="완료">
      <formula>NOT(ISERROR(SEARCH("완료",D13)))</formula>
    </cfRule>
    <cfRule type="containsText" dxfId="816" priority="25" operator="containsText" text="중단">
      <formula>NOT(ISERROR(SEARCH("중단",D13)))</formula>
    </cfRule>
  </conditionalFormatting>
  <conditionalFormatting sqref="D8:D19">
    <cfRule type="containsText" dxfId="815" priority="23" operator="containsText" text="진행중">
      <formula>NOT(ISERROR(SEARCH("진행중",D8)))</formula>
    </cfRule>
  </conditionalFormatting>
  <conditionalFormatting sqref="D8:D28">
    <cfRule type="containsText" dxfId="814" priority="21" operator="containsText" text="완료">
      <formula>NOT(ISERROR(SEARCH("완료",D8)))</formula>
    </cfRule>
    <cfRule type="containsText" dxfId="813" priority="22" operator="containsText" text="중단">
      <formula>NOT(ISERROR(SEARCH("중단",D8)))</formula>
    </cfRule>
  </conditionalFormatting>
  <conditionalFormatting sqref="D8:D28">
    <cfRule type="containsText" dxfId="812" priority="19" operator="containsText" text="완료">
      <formula>NOT(ISERROR(SEARCH("완료",D8)))</formula>
    </cfRule>
    <cfRule type="containsText" dxfId="811" priority="20" operator="containsText" text="중단">
      <formula>NOT(ISERROR(SEARCH("중단",D8)))</formula>
    </cfRule>
  </conditionalFormatting>
  <conditionalFormatting sqref="D8:D28">
    <cfRule type="containsText" dxfId="810" priority="18" operator="containsText" text="진행중">
      <formula>NOT(ISERROR(SEARCH("진행중",D8)))</formula>
    </cfRule>
  </conditionalFormatting>
  <conditionalFormatting sqref="D7">
    <cfRule type="containsText" dxfId="809" priority="16" operator="containsText" text="완료">
      <formula>NOT(ISERROR(SEARCH("완료",D7)))</formula>
    </cfRule>
    <cfRule type="containsText" dxfId="808" priority="17" operator="containsText" text="중단">
      <formula>NOT(ISERROR(SEARCH("중단",D7)))</formula>
    </cfRule>
  </conditionalFormatting>
  <conditionalFormatting sqref="D7">
    <cfRule type="containsText" dxfId="807" priority="14" operator="containsText" text="완료">
      <formula>NOT(ISERROR(SEARCH("완료",D7)))</formula>
    </cfRule>
    <cfRule type="containsText" dxfId="806" priority="15" operator="containsText" text="중단">
      <formula>NOT(ISERROR(SEARCH("중단",D7)))</formula>
    </cfRule>
  </conditionalFormatting>
  <conditionalFormatting sqref="D7">
    <cfRule type="containsText" dxfId="805" priority="13" operator="containsText" text="진행중">
      <formula>NOT(ISERROR(SEARCH("진행중",D7)))</formula>
    </cfRule>
  </conditionalFormatting>
  <conditionalFormatting sqref="G16:G28">
    <cfRule type="containsText" dxfId="804" priority="11" operator="containsText" text="완료">
      <formula>NOT(ISERROR(SEARCH("완료",G16)))</formula>
    </cfRule>
    <cfRule type="containsText" dxfId="803" priority="12" operator="containsText" text="중단">
      <formula>NOT(ISERROR(SEARCH("중단",G16)))</formula>
    </cfRule>
  </conditionalFormatting>
  <conditionalFormatting sqref="G16:G28">
    <cfRule type="containsText" dxfId="802" priority="9" operator="containsText" text="완료">
      <formula>NOT(ISERROR(SEARCH("완료",G16)))</formula>
    </cfRule>
    <cfRule type="containsText" dxfId="801" priority="10" operator="containsText" text="중단">
      <formula>NOT(ISERROR(SEARCH("중단",G16)))</formula>
    </cfRule>
  </conditionalFormatting>
  <conditionalFormatting sqref="G16:G28">
    <cfRule type="containsText" dxfId="800" priority="8" operator="containsText" text="진행중">
      <formula>NOT(ISERROR(SEARCH("진행중",G16)))</formula>
    </cfRule>
  </conditionalFormatting>
  <conditionalFormatting sqref="H16:H28">
    <cfRule type="containsText" dxfId="799" priority="6" operator="containsText" text="완료">
      <formula>NOT(ISERROR(SEARCH("완료",H16)))</formula>
    </cfRule>
    <cfRule type="containsText" dxfId="798" priority="7" operator="containsText" text="중단">
      <formula>NOT(ISERROR(SEARCH("중단",H16)))</formula>
    </cfRule>
  </conditionalFormatting>
  <conditionalFormatting sqref="H16:H28">
    <cfRule type="containsText" dxfId="797" priority="4" operator="containsText" text="완료">
      <formula>NOT(ISERROR(SEARCH("완료",H16)))</formula>
    </cfRule>
    <cfRule type="containsText" dxfId="796" priority="5" operator="containsText" text="중단">
      <formula>NOT(ISERROR(SEARCH("중단",H16)))</formula>
    </cfRule>
  </conditionalFormatting>
  <conditionalFormatting sqref="H16:H28">
    <cfRule type="containsText" dxfId="795" priority="3" operator="containsText" text="진행중">
      <formula>NOT(ISERROR(SEARCH("진행중",H16)))</formula>
    </cfRule>
  </conditionalFormatting>
  <conditionalFormatting sqref="A1:AG29">
    <cfRule type="containsText" dxfId="794" priority="2" operator="containsText" text="누락">
      <formula>NOT(ISERROR(SEARCH("누락",A1)))</formula>
    </cfRule>
  </conditionalFormatting>
  <conditionalFormatting sqref="F7:I28">
    <cfRule type="cellIs" dxfId="0" priority="1" operator="greaterThanOrEqual">
      <formula>15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/>
  </sheetPr>
  <dimension ref="A1:AP29"/>
  <sheetViews>
    <sheetView tabSelected="1" zoomScale="55" zoomScaleNormal="55" workbookViewId="0">
      <selection activeCell="F7" sqref="F7:I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4">IF(NOT(LEN($I8)=0),K7,"")</f>
        <v>VITA</v>
      </c>
      <c r="L8" s="49" t="str">
        <f t="shared" ref="L8:L17" si="5">IF(NOT(LEN($I8)=0),L7,"")</f>
        <v>MARK II</v>
      </c>
      <c r="M8" s="49">
        <f t="shared" ref="M8:N8" si="6">IF(NOT(LEN($I8)=0),M7,"")</f>
        <v>160</v>
      </c>
      <c r="N8" s="49" t="str">
        <f t="shared" si="6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49" t="str">
        <f t="shared" si="4"/>
        <v>VITA</v>
      </c>
      <c r="L9" s="49" t="str">
        <f t="shared" si="5"/>
        <v>MARK II</v>
      </c>
      <c r="M9" s="49">
        <f t="shared" ref="M9:M18" si="11">IF(NOT(LEN($I9)=0),M8,"")</f>
        <v>160</v>
      </c>
      <c r="N9" s="49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49" t="str">
        <f t="shared" si="4"/>
        <v>VITA</v>
      </c>
      <c r="L10" s="49" t="str">
        <f t="shared" si="5"/>
        <v>MARK II</v>
      </c>
      <c r="M10" s="49">
        <f t="shared" si="11"/>
        <v>160</v>
      </c>
      <c r="N10" s="49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49" t="str">
        <f t="shared" si="4"/>
        <v>VITA</v>
      </c>
      <c r="L11" s="49" t="str">
        <f t="shared" si="5"/>
        <v>MARK II</v>
      </c>
      <c r="M11" s="49">
        <f t="shared" si="11"/>
        <v>160</v>
      </c>
      <c r="N11" s="49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76</v>
      </c>
      <c r="V11" s="7" t="s">
        <v>77</v>
      </c>
      <c r="W11" s="7" t="s">
        <v>78</v>
      </c>
      <c r="X11" s="7" t="s">
        <v>79</v>
      </c>
      <c r="Y11" s="7" t="s">
        <v>80</v>
      </c>
      <c r="Z11" s="7" t="s">
        <v>81</v>
      </c>
      <c r="AA11" s="7" t="s">
        <v>82</v>
      </c>
      <c r="AB11" s="7" t="s">
        <v>83</v>
      </c>
      <c r="AC11" s="7" t="s">
        <v>67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49" t="str">
        <f t="shared" si="4"/>
        <v>VITA</v>
      </c>
      <c r="L12" s="49" t="str">
        <f t="shared" si="5"/>
        <v>MARK II</v>
      </c>
      <c r="M12" s="49">
        <f t="shared" si="11"/>
        <v>160</v>
      </c>
      <c r="N12" s="49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3">IFERROR(IF(MOD($B12,5)=0, "스핀들유격: ","-" ),"-")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si="13"/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 t="shared" si="13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49" t="str">
        <f t="shared" si="4"/>
        <v>VITA</v>
      </c>
      <c r="L13" s="49" t="str">
        <f t="shared" si="5"/>
        <v>MARK II</v>
      </c>
      <c r="M13" s="49">
        <f t="shared" si="11"/>
        <v>160</v>
      </c>
      <c r="N13" s="49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 t="shared" si="13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49" t="str">
        <f t="shared" si="4"/>
        <v>VITA</v>
      </c>
      <c r="L14" s="49" t="str">
        <f t="shared" si="5"/>
        <v>MARK II</v>
      </c>
      <c r="M14" s="49">
        <f t="shared" si="11"/>
        <v>160</v>
      </c>
      <c r="N14" s="49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 t="shared" si="13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4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5">IF(NOT(LEN($A15)=0),IF(I14+1&gt;15,"버교체요망",I14+1),"")</f>
        <v>2</v>
      </c>
      <c r="J15" s="1"/>
      <c r="K15" s="49" t="str">
        <f t="shared" si="4"/>
        <v>VITA</v>
      </c>
      <c r="L15" s="49" t="str">
        <f t="shared" si="5"/>
        <v>MARK II</v>
      </c>
      <c r="M15" s="49">
        <f t="shared" si="11"/>
        <v>160</v>
      </c>
      <c r="N15" s="49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 t="shared" si="13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4"/>
        <v>3</v>
      </c>
      <c r="G16" s="49" t="str">
        <f t="shared" si="9"/>
        <v>-</v>
      </c>
      <c r="H16" s="49" t="str">
        <f t="shared" si="10"/>
        <v>-</v>
      </c>
      <c r="I16" s="49">
        <f t="shared" si="15"/>
        <v>3</v>
      </c>
      <c r="J16" s="1"/>
      <c r="K16" s="49" t="str">
        <f t="shared" si="4"/>
        <v>VITA</v>
      </c>
      <c r="L16" s="49" t="str">
        <f t="shared" si="5"/>
        <v>MARK II</v>
      </c>
      <c r="M16" s="49">
        <f t="shared" si="11"/>
        <v>160</v>
      </c>
      <c r="N16" s="49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3"/>
        <v xml:space="preserve">스핀들유격: </v>
      </c>
      <c r="R16" s="7" t="str">
        <f t="shared" si="13"/>
        <v xml:space="preserve">스핀들유격: </v>
      </c>
      <c r="S16" s="7" t="str">
        <f t="shared" si="13"/>
        <v xml:space="preserve">스핀들유격: </v>
      </c>
      <c r="T16" s="7" t="str">
        <f t="shared" si="13"/>
        <v xml:space="preserve">스핀들유격: </v>
      </c>
      <c r="U16" s="7" t="str">
        <f t="shared" si="13"/>
        <v xml:space="preserve">스핀들유격: </v>
      </c>
      <c r="V16" s="7" t="str">
        <f t="shared" si="13"/>
        <v xml:space="preserve">스핀들유격: </v>
      </c>
      <c r="W16" s="7" t="str">
        <f t="shared" si="13"/>
        <v xml:space="preserve">스핀들유격: </v>
      </c>
      <c r="X16" s="7" t="str">
        <f t="shared" si="13"/>
        <v xml:space="preserve">스핀들유격: </v>
      </c>
      <c r="Y16" s="7" t="str">
        <f t="shared" si="13"/>
        <v xml:space="preserve">스핀들유격: </v>
      </c>
      <c r="Z16" s="7" t="str">
        <f t="shared" si="13"/>
        <v xml:space="preserve">스핀들유격: </v>
      </c>
      <c r="AA16" s="7" t="str">
        <f t="shared" si="13"/>
        <v xml:space="preserve">스핀들유격: </v>
      </c>
      <c r="AB16" s="7" t="str">
        <f t="shared" si="13"/>
        <v xml:space="preserve">스핀들유격: </v>
      </c>
      <c r="AC16" s="7" t="str">
        <f t="shared" si="13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4"/>
        <v>4</v>
      </c>
      <c r="G17" s="49" t="str">
        <f t="shared" si="9"/>
        <v>-</v>
      </c>
      <c r="H17" s="49" t="str">
        <f t="shared" si="10"/>
        <v>-</v>
      </c>
      <c r="I17" s="49">
        <f t="shared" si="15"/>
        <v>4</v>
      </c>
      <c r="J17" s="1"/>
      <c r="K17" s="49" t="str">
        <f t="shared" si="4"/>
        <v>VITA</v>
      </c>
      <c r="L17" s="49" t="str">
        <f t="shared" si="5"/>
        <v>MARK II</v>
      </c>
      <c r="M17" s="49">
        <f t="shared" si="11"/>
        <v>160</v>
      </c>
      <c r="N17" s="49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3"/>
        <v>-</v>
      </c>
      <c r="R17" s="7" t="str">
        <f t="shared" si="13"/>
        <v>-</v>
      </c>
      <c r="S17" s="7" t="str">
        <f t="shared" si="13"/>
        <v>-</v>
      </c>
      <c r="T17" s="7" t="str">
        <f t="shared" si="13"/>
        <v>-</v>
      </c>
      <c r="U17" s="7" t="str">
        <f t="shared" si="13"/>
        <v>-</v>
      </c>
      <c r="V17" s="7" t="str">
        <f t="shared" si="13"/>
        <v>-</v>
      </c>
      <c r="W17" s="7" t="str">
        <f t="shared" si="13"/>
        <v>-</v>
      </c>
      <c r="X17" s="7" t="str">
        <f t="shared" si="13"/>
        <v>-</v>
      </c>
      <c r="Y17" s="7" t="str">
        <f t="shared" si="13"/>
        <v>-</v>
      </c>
      <c r="Z17" s="7" t="str">
        <f t="shared" si="13"/>
        <v>-</v>
      </c>
      <c r="AA17" s="7" t="str">
        <f t="shared" si="13"/>
        <v>-</v>
      </c>
      <c r="AB17" s="7" t="str">
        <f t="shared" si="13"/>
        <v>-</v>
      </c>
      <c r="AC17" s="7" t="str">
        <f t="shared" si="13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4"/>
        <v>5</v>
      </c>
      <c r="G18" s="49" t="str">
        <f t="shared" si="9"/>
        <v>-</v>
      </c>
      <c r="H18" s="49" t="str">
        <f t="shared" si="10"/>
        <v>-</v>
      </c>
      <c r="I18" s="49">
        <f t="shared" si="15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1"/>
        <v>160</v>
      </c>
      <c r="N18" s="49" t="str">
        <f t="shared" si="12"/>
        <v>-</v>
      </c>
      <c r="O18" s="24">
        <f>IF(LEN(A18)&gt;0, 종합!$C$27, "")</f>
        <v>2.2599999999999998</v>
      </c>
      <c r="Q18" s="7" t="str">
        <f t="shared" ref="Q18:T21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1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1" si="18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4"/>
        <v>6</v>
      </c>
      <c r="G19" s="49" t="str">
        <f t="shared" si="9"/>
        <v>-</v>
      </c>
      <c r="H19" s="49" t="str">
        <f t="shared" si="10"/>
        <v>-</v>
      </c>
      <c r="I19" s="49">
        <f t="shared" si="15"/>
        <v>6</v>
      </c>
      <c r="K19" s="49" t="str">
        <f t="shared" ref="K19:K21" si="19">IF(NOT(LEN($I19)=0),K18,"")</f>
        <v>VITA</v>
      </c>
      <c r="L19" s="49" t="str">
        <f t="shared" ref="L19:L21" si="20">IF(NOT(LEN($I19)=0),L18,"")</f>
        <v>MARK II</v>
      </c>
      <c r="M19" s="49">
        <f t="shared" ref="M19:M21" si="21">IF(NOT(LEN($I19)=0),M18,"")</f>
        <v>160</v>
      </c>
      <c r="N19" s="49" t="str">
        <f t="shared" ref="N19:N21" si="22">IF(NOT(LEN($I19)=0),N18,"")</f>
        <v>-</v>
      </c>
      <c r="O19" s="24">
        <f>IF(LEN(A19)&gt;0, 종합!$C$27, "")</f>
        <v>2.2599999999999998</v>
      </c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4"/>
        <v>7</v>
      </c>
      <c r="G20" s="49" t="str">
        <f t="shared" ref="G20:G21" si="23">IF(NOT(LEN($I20)=0),G19,"")</f>
        <v>-</v>
      </c>
      <c r="H20" s="49" t="str">
        <f t="shared" ref="H20:H21" si="24">IF(NOT(LEN($I20)=0),H19,"")</f>
        <v>-</v>
      </c>
      <c r="I20" s="49">
        <f t="shared" si="15"/>
        <v>7</v>
      </c>
      <c r="K20" s="49" t="str">
        <f t="shared" si="19"/>
        <v>VITA</v>
      </c>
      <c r="L20" s="49" t="str">
        <f t="shared" si="20"/>
        <v>MARK II</v>
      </c>
      <c r="M20" s="49">
        <f t="shared" si="21"/>
        <v>160</v>
      </c>
      <c r="N20" s="49" t="str">
        <f t="shared" si="22"/>
        <v>-</v>
      </c>
      <c r="O20" s="24">
        <f>IF(LEN(A20)&gt;0, 종합!$C$27, "")</f>
        <v>2.2599999999999998</v>
      </c>
      <c r="Q20" s="7" t="str">
        <f t="shared" si="16"/>
        <v>-</v>
      </c>
      <c r="R20" s="7" t="str">
        <f t="shared" si="16"/>
        <v>-</v>
      </c>
      <c r="S20" s="7" t="str">
        <f t="shared" si="16"/>
        <v>-</v>
      </c>
      <c r="T20" s="7" t="str">
        <f t="shared" si="16"/>
        <v>-</v>
      </c>
      <c r="U20" s="7" t="str">
        <f t="shared" si="17"/>
        <v>-</v>
      </c>
      <c r="V20" s="7" t="str">
        <f t="shared" si="17"/>
        <v>-</v>
      </c>
      <c r="W20" s="7" t="str">
        <f t="shared" si="17"/>
        <v>-</v>
      </c>
      <c r="X20" s="7" t="str">
        <f t="shared" si="17"/>
        <v>-</v>
      </c>
      <c r="Y20" s="7" t="str">
        <f t="shared" si="17"/>
        <v>-</v>
      </c>
      <c r="Z20" s="7" t="str">
        <f t="shared" si="17"/>
        <v>-</v>
      </c>
      <c r="AA20" s="7" t="str">
        <f t="shared" si="17"/>
        <v>-</v>
      </c>
      <c r="AB20" s="7" t="str">
        <f t="shared" si="17"/>
        <v>-</v>
      </c>
      <c r="AC20" s="7" t="str">
        <f t="shared" si="18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tr">
        <f>IF(NOT(LEN(B21)=0),IF(LEN(D28)=0,"진행중","완료"),"")</f>
        <v>진행중</v>
      </c>
      <c r="E21" s="49">
        <v>23</v>
      </c>
      <c r="F21" s="49">
        <f t="shared" si="14"/>
        <v>8</v>
      </c>
      <c r="G21" s="49" t="str">
        <f t="shared" si="23"/>
        <v>-</v>
      </c>
      <c r="H21" s="49" t="str">
        <f t="shared" si="24"/>
        <v>-</v>
      </c>
      <c r="I21" s="49">
        <f t="shared" si="15"/>
        <v>8</v>
      </c>
      <c r="K21" s="49" t="str">
        <f t="shared" si="19"/>
        <v>VITA</v>
      </c>
      <c r="L21" s="49" t="str">
        <f t="shared" si="20"/>
        <v>MARK II</v>
      </c>
      <c r="M21" s="49">
        <f t="shared" si="21"/>
        <v>160</v>
      </c>
      <c r="N21" s="49" t="str">
        <f t="shared" si="22"/>
        <v>-</v>
      </c>
      <c r="O21" s="24">
        <f>IF(LEN(A21)&gt;0, 종합!$C$27, "")</f>
        <v>2.2599999999999998</v>
      </c>
      <c r="Q21" s="7" t="str">
        <f t="shared" si="16"/>
        <v xml:space="preserve">스핀들유격: </v>
      </c>
      <c r="R21" s="7" t="str">
        <f t="shared" si="16"/>
        <v xml:space="preserve">스핀들유격: </v>
      </c>
      <c r="S21" s="7" t="str">
        <f t="shared" si="16"/>
        <v xml:space="preserve">스핀들유격: </v>
      </c>
      <c r="T21" s="7" t="str">
        <f t="shared" si="16"/>
        <v xml:space="preserve">스핀들유격: </v>
      </c>
      <c r="U21" s="7" t="str">
        <f t="shared" si="17"/>
        <v>000-000</v>
      </c>
      <c r="V21" s="7" t="str">
        <f t="shared" si="17"/>
        <v>000-000</v>
      </c>
      <c r="W21" s="7" t="str">
        <f t="shared" si="17"/>
        <v>000-000</v>
      </c>
      <c r="X21" s="7" t="str">
        <f t="shared" si="17"/>
        <v>000-000</v>
      </c>
      <c r="Y21" s="7" t="str">
        <f t="shared" si="17"/>
        <v>000-000</v>
      </c>
      <c r="Z21" s="7" t="str">
        <f t="shared" si="17"/>
        <v>000-000</v>
      </c>
      <c r="AA21" s="7" t="str">
        <f t="shared" si="17"/>
        <v>000-000</v>
      </c>
      <c r="AB21" s="7" t="str">
        <f t="shared" si="17"/>
        <v>000-000</v>
      </c>
      <c r="AC21" s="7" t="str">
        <f t="shared" si="18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49"/>
      <c r="L22" s="49"/>
      <c r="M22" s="49"/>
      <c r="N22" s="49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49"/>
      <c r="L23" s="49"/>
      <c r="M23" s="49"/>
      <c r="N23" s="49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49"/>
      <c r="L24" s="49"/>
      <c r="M24" s="49"/>
      <c r="N24" s="49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49"/>
      <c r="L25" s="49"/>
      <c r="M25" s="49"/>
      <c r="N25" s="49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49"/>
      <c r="L26" s="49"/>
      <c r="M26" s="49"/>
      <c r="N26" s="49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49"/>
      <c r="L27" s="49"/>
      <c r="M27" s="49"/>
      <c r="N27" s="49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5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6">IF(NOT(LEN($A28)=0),"누락","")</f>
        <v/>
      </c>
      <c r="R28" s="48" t="str">
        <f t="shared" si="26"/>
        <v/>
      </c>
      <c r="S28" s="48" t="str">
        <f t="shared" si="26"/>
        <v/>
      </c>
      <c r="T28" s="48" t="str">
        <f t="shared" si="26"/>
        <v/>
      </c>
      <c r="U28" s="48" t="str">
        <f t="shared" si="26"/>
        <v/>
      </c>
      <c r="V28" s="48" t="str">
        <f t="shared" si="26"/>
        <v/>
      </c>
      <c r="W28" s="48" t="str">
        <f t="shared" si="26"/>
        <v/>
      </c>
      <c r="X28" s="48" t="str">
        <f t="shared" si="26"/>
        <v/>
      </c>
      <c r="Y28" s="48" t="str">
        <f t="shared" si="26"/>
        <v/>
      </c>
      <c r="Z28" s="48" t="str">
        <f t="shared" si="26"/>
        <v/>
      </c>
      <c r="AA28" s="48" t="str">
        <f t="shared" si="26"/>
        <v/>
      </c>
      <c r="AB28" s="48" t="str">
        <f t="shared" si="26"/>
        <v/>
      </c>
      <c r="AC28" s="48" t="str">
        <f t="shared" si="26"/>
        <v/>
      </c>
      <c r="AD28" s="48" t="str">
        <f t="shared" si="26"/>
        <v/>
      </c>
      <c r="AE28" s="48" t="str">
        <f t="shared" si="26"/>
        <v/>
      </c>
      <c r="AF28" s="48" t="str">
        <f t="shared" si="26"/>
        <v/>
      </c>
      <c r="AG28" s="48" t="str">
        <f t="shared" si="26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93" priority="300" operator="containsText" text="완료">
      <formula>NOT(ISERROR(SEARCH("완료",D8)))</formula>
    </cfRule>
    <cfRule type="containsText" dxfId="792" priority="301" operator="containsText" text="중단">
      <formula>NOT(ISERROR(SEARCH("중단",D8)))</formula>
    </cfRule>
  </conditionalFormatting>
  <conditionalFormatting sqref="H7 F7:F10">
    <cfRule type="containsText" dxfId="791" priority="297" operator="containsText" text="신품">
      <formula>NOT(ISERROR(SEARCH("신품",F7)))</formula>
    </cfRule>
    <cfRule type="containsText" dxfId="790" priority="299" operator="containsText" text="중고">
      <formula>NOT(ISERROR(SEARCH("중고",F7)))</formula>
    </cfRule>
  </conditionalFormatting>
  <conditionalFormatting sqref="I7:I10">
    <cfRule type="containsText" dxfId="789" priority="295" operator="containsText" text="신품">
      <formula>NOT(ISERROR(SEARCH("신품",I7)))</formula>
    </cfRule>
    <cfRule type="containsText" dxfId="788" priority="296" operator="containsText" text="중고">
      <formula>NOT(ISERROR(SEARCH("중고",I7)))</formula>
    </cfRule>
  </conditionalFormatting>
  <conditionalFormatting sqref="D11">
    <cfRule type="containsText" dxfId="787" priority="291" operator="containsText" text="완료">
      <formula>NOT(ISERROR(SEARCH("완료",D11)))</formula>
    </cfRule>
    <cfRule type="containsText" dxfId="786" priority="292" operator="containsText" text="중단">
      <formula>NOT(ISERROR(SEARCH("중단",D11)))</formula>
    </cfRule>
  </conditionalFormatting>
  <conditionalFormatting sqref="F11">
    <cfRule type="containsText" dxfId="785" priority="289" operator="containsText" text="신품">
      <formula>NOT(ISERROR(SEARCH("신품",F11)))</formula>
    </cfRule>
    <cfRule type="containsText" dxfId="784" priority="290" operator="containsText" text="중고">
      <formula>NOT(ISERROR(SEARCH("중고",F11)))</formula>
    </cfRule>
  </conditionalFormatting>
  <conditionalFormatting sqref="I11">
    <cfRule type="containsText" dxfId="783" priority="287" operator="containsText" text="신품">
      <formula>NOT(ISERROR(SEARCH("신품",I11)))</formula>
    </cfRule>
    <cfRule type="containsText" dxfId="782" priority="288" operator="containsText" text="중고">
      <formula>NOT(ISERROR(SEARCH("중고",I11)))</formula>
    </cfRule>
  </conditionalFormatting>
  <conditionalFormatting sqref="D12:D19">
    <cfRule type="containsText" dxfId="781" priority="285" operator="containsText" text="완료">
      <formula>NOT(ISERROR(SEARCH("완료",D12)))</formula>
    </cfRule>
    <cfRule type="containsText" dxfId="780" priority="286" operator="containsText" text="중단">
      <formula>NOT(ISERROR(SEARCH("중단",D12)))</formula>
    </cfRule>
  </conditionalFormatting>
  <conditionalFormatting sqref="F12">
    <cfRule type="containsText" dxfId="779" priority="283" operator="containsText" text="신품">
      <formula>NOT(ISERROR(SEARCH("신품",F12)))</formula>
    </cfRule>
    <cfRule type="containsText" dxfId="778" priority="284" operator="containsText" text="중고">
      <formula>NOT(ISERROR(SEARCH("중고",F12)))</formula>
    </cfRule>
  </conditionalFormatting>
  <conditionalFormatting sqref="I12">
    <cfRule type="containsText" dxfId="777" priority="281" operator="containsText" text="신품">
      <formula>NOT(ISERROR(SEARCH("신품",I12)))</formula>
    </cfRule>
    <cfRule type="containsText" dxfId="776" priority="282" operator="containsText" text="중고">
      <formula>NOT(ISERROR(SEARCH("중고",I12)))</formula>
    </cfRule>
  </conditionalFormatting>
  <conditionalFormatting sqref="D13:D19">
    <cfRule type="containsText" dxfId="775" priority="279" operator="containsText" text="완료">
      <formula>NOT(ISERROR(SEARCH("완료",D13)))</formula>
    </cfRule>
    <cfRule type="containsText" dxfId="774" priority="280" operator="containsText" text="중단">
      <formula>NOT(ISERROR(SEARCH("중단",D13)))</formula>
    </cfRule>
  </conditionalFormatting>
  <conditionalFormatting sqref="D29 D8:D19">
    <cfRule type="containsText" dxfId="773" priority="274" operator="containsText" text="진행중">
      <formula>NOT(ISERROR(SEARCH("진행중",D8)))</formula>
    </cfRule>
  </conditionalFormatting>
  <conditionalFormatting sqref="D8:D28">
    <cfRule type="containsText" dxfId="772" priority="260" operator="containsText" text="완료">
      <formula>NOT(ISERROR(SEARCH("완료",D8)))</formula>
    </cfRule>
    <cfRule type="containsText" dxfId="771" priority="261" operator="containsText" text="중단">
      <formula>NOT(ISERROR(SEARCH("중단",D8)))</formula>
    </cfRule>
  </conditionalFormatting>
  <conditionalFormatting sqref="D8:D28">
    <cfRule type="containsText" dxfId="770" priority="258" operator="containsText" text="완료">
      <formula>NOT(ISERROR(SEARCH("완료",D8)))</formula>
    </cfRule>
    <cfRule type="containsText" dxfId="769" priority="259" operator="containsText" text="중단">
      <formula>NOT(ISERROR(SEARCH("중단",D8)))</formula>
    </cfRule>
  </conditionalFormatting>
  <conditionalFormatting sqref="D8:D28">
    <cfRule type="containsText" dxfId="768" priority="257" operator="containsText" text="진행중">
      <formula>NOT(ISERROR(SEARCH("진행중",D8)))</formula>
    </cfRule>
  </conditionalFormatting>
  <conditionalFormatting sqref="F14:F28">
    <cfRule type="containsText" dxfId="767" priority="250" operator="containsText" text="완료">
      <formula>NOT(ISERROR(SEARCH("완료",F14)))</formula>
    </cfRule>
    <cfRule type="containsText" dxfId="766" priority="251" operator="containsText" text="중단">
      <formula>NOT(ISERROR(SEARCH("중단",F14)))</formula>
    </cfRule>
  </conditionalFormatting>
  <conditionalFormatting sqref="F14:F28">
    <cfRule type="containsText" dxfId="765" priority="248" operator="containsText" text="완료">
      <formula>NOT(ISERROR(SEARCH("완료",F14)))</formula>
    </cfRule>
    <cfRule type="containsText" dxfId="764" priority="249" operator="containsText" text="중단">
      <formula>NOT(ISERROR(SEARCH("중단",F14)))</formula>
    </cfRule>
  </conditionalFormatting>
  <conditionalFormatting sqref="F14:F28">
    <cfRule type="containsText" dxfId="763" priority="247" operator="containsText" text="진행중">
      <formula>NOT(ISERROR(SEARCH("진행중",F14)))</formula>
    </cfRule>
  </conditionalFormatting>
  <conditionalFormatting sqref="K8:K17">
    <cfRule type="containsText" dxfId="762" priority="140" operator="containsText" text="완료">
      <formula>NOT(ISERROR(SEARCH("완료",K8)))</formula>
    </cfRule>
    <cfRule type="containsText" dxfId="761" priority="141" operator="containsText" text="중단">
      <formula>NOT(ISERROR(SEARCH("중단",K8)))</formula>
    </cfRule>
  </conditionalFormatting>
  <conditionalFormatting sqref="K8:K17">
    <cfRule type="containsText" dxfId="760" priority="138" operator="containsText" text="완료">
      <formula>NOT(ISERROR(SEARCH("완료",K8)))</formula>
    </cfRule>
    <cfRule type="containsText" dxfId="759" priority="139" operator="containsText" text="중단">
      <formula>NOT(ISERROR(SEARCH("중단",K8)))</formula>
    </cfRule>
  </conditionalFormatting>
  <conditionalFormatting sqref="K8:K17">
    <cfRule type="containsText" dxfId="758" priority="137" operator="containsText" text="진행중">
      <formula>NOT(ISERROR(SEARCH("진행중",K8)))</formula>
    </cfRule>
  </conditionalFormatting>
  <conditionalFormatting sqref="L8:L17">
    <cfRule type="containsText" dxfId="757" priority="135" operator="containsText" text="완료">
      <formula>NOT(ISERROR(SEARCH("완료",L8)))</formula>
    </cfRule>
    <cfRule type="containsText" dxfId="756" priority="136" operator="containsText" text="중단">
      <formula>NOT(ISERROR(SEARCH("중단",L8)))</formula>
    </cfRule>
  </conditionalFormatting>
  <conditionalFormatting sqref="L8:L17">
    <cfRule type="containsText" dxfId="755" priority="133" operator="containsText" text="완료">
      <formula>NOT(ISERROR(SEARCH("완료",L8)))</formula>
    </cfRule>
    <cfRule type="containsText" dxfId="754" priority="134" operator="containsText" text="중단">
      <formula>NOT(ISERROR(SEARCH("중단",L8)))</formula>
    </cfRule>
  </conditionalFormatting>
  <conditionalFormatting sqref="L8:L17">
    <cfRule type="containsText" dxfId="753" priority="132" operator="containsText" text="진행중">
      <formula>NOT(ISERROR(SEARCH("진행중",L8)))</formula>
    </cfRule>
  </conditionalFormatting>
  <conditionalFormatting sqref="M8:N28">
    <cfRule type="containsText" dxfId="752" priority="125" operator="containsText" text="완료">
      <formula>NOT(ISERROR(SEARCH("완료",M8)))</formula>
    </cfRule>
    <cfRule type="containsText" dxfId="751" priority="126" operator="containsText" text="중단">
      <formula>NOT(ISERROR(SEARCH("중단",M8)))</formula>
    </cfRule>
  </conditionalFormatting>
  <conditionalFormatting sqref="M8:N28">
    <cfRule type="containsText" dxfId="750" priority="123" operator="containsText" text="완료">
      <formula>NOT(ISERROR(SEARCH("완료",M8)))</formula>
    </cfRule>
    <cfRule type="containsText" dxfId="749" priority="124" operator="containsText" text="중단">
      <formula>NOT(ISERROR(SEARCH("중단",M8)))</formula>
    </cfRule>
  </conditionalFormatting>
  <conditionalFormatting sqref="M8:N28">
    <cfRule type="containsText" dxfId="748" priority="122" operator="containsText" text="진행중">
      <formula>NOT(ISERROR(SEARCH("진행중",M8)))</formula>
    </cfRule>
  </conditionalFormatting>
  <conditionalFormatting sqref="E19">
    <cfRule type="containsText" dxfId="747" priority="115" operator="containsText" text="완료">
      <formula>NOT(ISERROR(SEARCH("완료",E19)))</formula>
    </cfRule>
    <cfRule type="containsText" dxfId="746" priority="116" operator="containsText" text="중단">
      <formula>NOT(ISERROR(SEARCH("중단",E19)))</formula>
    </cfRule>
  </conditionalFormatting>
  <conditionalFormatting sqref="E19">
    <cfRule type="containsText" dxfId="745" priority="113" operator="containsText" text="완료">
      <formula>NOT(ISERROR(SEARCH("완료",E19)))</formula>
    </cfRule>
    <cfRule type="containsText" dxfId="744" priority="114" operator="containsText" text="중단">
      <formula>NOT(ISERROR(SEARCH("중단",E19)))</formula>
    </cfRule>
  </conditionalFormatting>
  <conditionalFormatting sqref="E19">
    <cfRule type="containsText" dxfId="743" priority="112" operator="containsText" text="진행중">
      <formula>NOT(ISERROR(SEARCH("진행중",E19)))</formula>
    </cfRule>
  </conditionalFormatting>
  <conditionalFormatting sqref="I14:I28">
    <cfRule type="containsText" dxfId="742" priority="205" operator="containsText" text="완료">
      <formula>NOT(ISERROR(SEARCH("완료",I14)))</formula>
    </cfRule>
    <cfRule type="containsText" dxfId="741" priority="206" operator="containsText" text="중단">
      <formula>NOT(ISERROR(SEARCH("중단",I14)))</formula>
    </cfRule>
  </conditionalFormatting>
  <conditionalFormatting sqref="I14:I28">
    <cfRule type="containsText" dxfId="740" priority="203" operator="containsText" text="완료">
      <formula>NOT(ISERROR(SEARCH("완료",I14)))</formula>
    </cfRule>
    <cfRule type="containsText" dxfId="739" priority="204" operator="containsText" text="중단">
      <formula>NOT(ISERROR(SEARCH("중단",I14)))</formula>
    </cfRule>
  </conditionalFormatting>
  <conditionalFormatting sqref="I14:I28">
    <cfRule type="containsText" dxfId="738" priority="202" operator="containsText" text="진행중">
      <formula>NOT(ISERROR(SEARCH("진행중",I14)))</formula>
    </cfRule>
  </conditionalFormatting>
  <conditionalFormatting sqref="F13">
    <cfRule type="containsText" dxfId="737" priority="200" operator="containsText" text="완료">
      <formula>NOT(ISERROR(SEARCH("완료",F13)))</formula>
    </cfRule>
    <cfRule type="containsText" dxfId="736" priority="201" operator="containsText" text="중단">
      <formula>NOT(ISERROR(SEARCH("중단",F13)))</formula>
    </cfRule>
  </conditionalFormatting>
  <conditionalFormatting sqref="F13">
    <cfRule type="containsText" dxfId="735" priority="198" operator="containsText" text="완료">
      <formula>NOT(ISERROR(SEARCH("완료",F13)))</formula>
    </cfRule>
    <cfRule type="containsText" dxfId="734" priority="199" operator="containsText" text="중단">
      <formula>NOT(ISERROR(SEARCH("중단",F13)))</formula>
    </cfRule>
  </conditionalFormatting>
  <conditionalFormatting sqref="F13">
    <cfRule type="containsText" dxfId="733" priority="197" operator="containsText" text="진행중">
      <formula>NOT(ISERROR(SEARCH("진행중",F13)))</formula>
    </cfRule>
  </conditionalFormatting>
  <conditionalFormatting sqref="I13">
    <cfRule type="containsText" dxfId="732" priority="195" operator="containsText" text="완료">
      <formula>NOT(ISERROR(SEARCH("완료",I13)))</formula>
    </cfRule>
    <cfRule type="containsText" dxfId="731" priority="196" operator="containsText" text="중단">
      <formula>NOT(ISERROR(SEARCH("중단",I13)))</formula>
    </cfRule>
  </conditionalFormatting>
  <conditionalFormatting sqref="I13">
    <cfRule type="containsText" dxfId="730" priority="193" operator="containsText" text="완료">
      <formula>NOT(ISERROR(SEARCH("완료",I13)))</formula>
    </cfRule>
    <cfRule type="containsText" dxfId="729" priority="194" operator="containsText" text="중단">
      <formula>NOT(ISERROR(SEARCH("중단",I13)))</formula>
    </cfRule>
  </conditionalFormatting>
  <conditionalFormatting sqref="I13">
    <cfRule type="containsText" dxfId="728" priority="192" operator="containsText" text="진행중">
      <formula>NOT(ISERROR(SEARCH("진행중",I13)))</formula>
    </cfRule>
  </conditionalFormatting>
  <conditionalFormatting sqref="E20:E28">
    <cfRule type="containsText" dxfId="727" priority="105" operator="containsText" text="완료">
      <formula>NOT(ISERROR(SEARCH("완료",E20)))</formula>
    </cfRule>
    <cfRule type="containsText" dxfId="726" priority="106" operator="containsText" text="중단">
      <formula>NOT(ISERROR(SEARCH("중단",E20)))</formula>
    </cfRule>
  </conditionalFormatting>
  <conditionalFormatting sqref="E20:E28">
    <cfRule type="containsText" dxfId="725" priority="103" operator="containsText" text="완료">
      <formula>NOT(ISERROR(SEARCH("완료",E20)))</formula>
    </cfRule>
    <cfRule type="containsText" dxfId="724" priority="104" operator="containsText" text="중단">
      <formula>NOT(ISERROR(SEARCH("중단",E20)))</formula>
    </cfRule>
  </conditionalFormatting>
  <conditionalFormatting sqref="E20:E28">
    <cfRule type="containsText" dxfId="723" priority="102" operator="containsText" text="진행중">
      <formula>NOT(ISERROR(SEARCH("진행중",E20)))</formula>
    </cfRule>
  </conditionalFormatting>
  <conditionalFormatting sqref="K18:K28">
    <cfRule type="containsText" dxfId="722" priority="185" operator="containsText" text="완료">
      <formula>NOT(ISERROR(SEARCH("완료",K18)))</formula>
    </cfRule>
    <cfRule type="containsText" dxfId="721" priority="186" operator="containsText" text="중단">
      <formula>NOT(ISERROR(SEARCH("중단",K18)))</formula>
    </cfRule>
  </conditionalFormatting>
  <conditionalFormatting sqref="K18:K28">
    <cfRule type="containsText" dxfId="720" priority="183" operator="containsText" text="완료">
      <formula>NOT(ISERROR(SEARCH("완료",K18)))</formula>
    </cfRule>
    <cfRule type="containsText" dxfId="719" priority="184" operator="containsText" text="중단">
      <formula>NOT(ISERROR(SEARCH("중단",K18)))</formula>
    </cfRule>
  </conditionalFormatting>
  <conditionalFormatting sqref="K18:K28">
    <cfRule type="containsText" dxfId="718" priority="182" operator="containsText" text="진행중">
      <formula>NOT(ISERROR(SEARCH("진행중",K18)))</formula>
    </cfRule>
  </conditionalFormatting>
  <conditionalFormatting sqref="L18:L28">
    <cfRule type="containsText" dxfId="717" priority="175" operator="containsText" text="완료">
      <formula>NOT(ISERROR(SEARCH("완료",L18)))</formula>
    </cfRule>
    <cfRule type="containsText" dxfId="716" priority="176" operator="containsText" text="중단">
      <formula>NOT(ISERROR(SEARCH("중단",L18)))</formula>
    </cfRule>
  </conditionalFormatting>
  <conditionalFormatting sqref="L18:L28">
    <cfRule type="containsText" dxfId="715" priority="173" operator="containsText" text="완료">
      <formula>NOT(ISERROR(SEARCH("완료",L18)))</formula>
    </cfRule>
    <cfRule type="containsText" dxfId="714" priority="174" operator="containsText" text="중단">
      <formula>NOT(ISERROR(SEARCH("중단",L18)))</formula>
    </cfRule>
  </conditionalFormatting>
  <conditionalFormatting sqref="L18:L28">
    <cfRule type="containsText" dxfId="713" priority="172" operator="containsText" text="진행중">
      <formula>NOT(ISERROR(SEARCH("진행중",L18)))</formula>
    </cfRule>
  </conditionalFormatting>
  <conditionalFormatting sqref="G8:G21">
    <cfRule type="containsText" dxfId="712" priority="100" operator="containsText" text="완료">
      <formula>NOT(ISERROR(SEARCH("완료",G8)))</formula>
    </cfRule>
    <cfRule type="containsText" dxfId="711" priority="101" operator="containsText" text="중단">
      <formula>NOT(ISERROR(SEARCH("중단",G8)))</formula>
    </cfRule>
  </conditionalFormatting>
  <conditionalFormatting sqref="G8:G21">
    <cfRule type="containsText" dxfId="710" priority="98" operator="containsText" text="완료">
      <formula>NOT(ISERROR(SEARCH("완료",G8)))</formula>
    </cfRule>
    <cfRule type="containsText" dxfId="709" priority="99" operator="containsText" text="중단">
      <formula>NOT(ISERROR(SEARCH("중단",G8)))</formula>
    </cfRule>
  </conditionalFormatting>
  <conditionalFormatting sqref="G8:G21">
    <cfRule type="containsText" dxfId="708" priority="97" operator="containsText" text="진행중">
      <formula>NOT(ISERROR(SEARCH("진행중",G8)))</formula>
    </cfRule>
  </conditionalFormatting>
  <conditionalFormatting sqref="H8:H21">
    <cfRule type="containsText" dxfId="707" priority="95" operator="containsText" text="완료">
      <formula>NOT(ISERROR(SEARCH("완료",H8)))</formula>
    </cfRule>
    <cfRule type="containsText" dxfId="706" priority="96" operator="containsText" text="중단">
      <formula>NOT(ISERROR(SEARCH("중단",H8)))</formula>
    </cfRule>
  </conditionalFormatting>
  <conditionalFormatting sqref="H8:H21">
    <cfRule type="containsText" dxfId="705" priority="93" operator="containsText" text="완료">
      <formula>NOT(ISERROR(SEARCH("완료",H8)))</formula>
    </cfRule>
    <cfRule type="containsText" dxfId="704" priority="94" operator="containsText" text="중단">
      <formula>NOT(ISERROR(SEARCH("중단",H8)))</formula>
    </cfRule>
  </conditionalFormatting>
  <conditionalFormatting sqref="H8:H21">
    <cfRule type="containsText" dxfId="703" priority="92" operator="containsText" text="진행중">
      <formula>NOT(ISERROR(SEARCH("진행중",H8)))</formula>
    </cfRule>
  </conditionalFormatting>
  <conditionalFormatting sqref="Q20:Q28">
    <cfRule type="containsText" dxfId="702" priority="70" operator="containsText" text="완료">
      <formula>NOT(ISERROR(SEARCH("완료",Q20)))</formula>
    </cfRule>
    <cfRule type="containsText" dxfId="701" priority="71" operator="containsText" text="중단">
      <formula>NOT(ISERROR(SEARCH("중단",Q20)))</formula>
    </cfRule>
  </conditionalFormatting>
  <conditionalFormatting sqref="Q20:Q28">
    <cfRule type="containsText" dxfId="700" priority="68" operator="containsText" text="완료">
      <formula>NOT(ISERROR(SEARCH("완료",Q20)))</formula>
    </cfRule>
    <cfRule type="containsText" dxfId="699" priority="69" operator="containsText" text="중단">
      <formula>NOT(ISERROR(SEARCH("중단",Q20)))</formula>
    </cfRule>
  </conditionalFormatting>
  <conditionalFormatting sqref="Q20:Q28">
    <cfRule type="containsText" dxfId="698" priority="67" operator="containsText" text="진행중">
      <formula>NOT(ISERROR(SEARCH("진행중",Q20)))</formula>
    </cfRule>
  </conditionalFormatting>
  <conditionalFormatting sqref="R20:R28">
    <cfRule type="containsText" dxfId="697" priority="65" operator="containsText" text="완료">
      <formula>NOT(ISERROR(SEARCH("완료",R20)))</formula>
    </cfRule>
    <cfRule type="containsText" dxfId="696" priority="66" operator="containsText" text="중단">
      <formula>NOT(ISERROR(SEARCH("중단",R20)))</formula>
    </cfRule>
  </conditionalFormatting>
  <conditionalFormatting sqref="R20:R28">
    <cfRule type="containsText" dxfId="695" priority="63" operator="containsText" text="완료">
      <formula>NOT(ISERROR(SEARCH("완료",R20)))</formula>
    </cfRule>
    <cfRule type="containsText" dxfId="694" priority="64" operator="containsText" text="중단">
      <formula>NOT(ISERROR(SEARCH("중단",R20)))</formula>
    </cfRule>
  </conditionalFormatting>
  <conditionalFormatting sqref="R20:R28">
    <cfRule type="containsText" dxfId="693" priority="62" operator="containsText" text="진행중">
      <formula>NOT(ISERROR(SEARCH("진행중",R20)))</formula>
    </cfRule>
  </conditionalFormatting>
  <conditionalFormatting sqref="S20:S28">
    <cfRule type="containsText" dxfId="692" priority="60" operator="containsText" text="완료">
      <formula>NOT(ISERROR(SEARCH("완료",S20)))</formula>
    </cfRule>
    <cfRule type="containsText" dxfId="691" priority="61" operator="containsText" text="중단">
      <formula>NOT(ISERROR(SEARCH("중단",S20)))</formula>
    </cfRule>
  </conditionalFormatting>
  <conditionalFormatting sqref="S20:S28">
    <cfRule type="containsText" dxfId="690" priority="58" operator="containsText" text="완료">
      <formula>NOT(ISERROR(SEARCH("완료",S20)))</formula>
    </cfRule>
    <cfRule type="containsText" dxfId="689" priority="59" operator="containsText" text="중단">
      <formula>NOT(ISERROR(SEARCH("중단",S20)))</formula>
    </cfRule>
  </conditionalFormatting>
  <conditionalFormatting sqref="S20:S28">
    <cfRule type="containsText" dxfId="688" priority="57" operator="containsText" text="진행중">
      <formula>NOT(ISERROR(SEARCH("진행중",S20)))</formula>
    </cfRule>
  </conditionalFormatting>
  <conditionalFormatting sqref="T20:T28">
    <cfRule type="containsText" dxfId="687" priority="55" operator="containsText" text="완료">
      <formula>NOT(ISERROR(SEARCH("완료",T20)))</formula>
    </cfRule>
    <cfRule type="containsText" dxfId="686" priority="56" operator="containsText" text="중단">
      <formula>NOT(ISERROR(SEARCH("중단",T20)))</formula>
    </cfRule>
  </conditionalFormatting>
  <conditionalFormatting sqref="T20:T28">
    <cfRule type="containsText" dxfId="685" priority="53" operator="containsText" text="완료">
      <formula>NOT(ISERROR(SEARCH("완료",T20)))</formula>
    </cfRule>
    <cfRule type="containsText" dxfId="684" priority="54" operator="containsText" text="중단">
      <formula>NOT(ISERROR(SEARCH("중단",T20)))</formula>
    </cfRule>
  </conditionalFormatting>
  <conditionalFormatting sqref="T20:T28">
    <cfRule type="containsText" dxfId="683" priority="52" operator="containsText" text="진행중">
      <formula>NOT(ISERROR(SEARCH("진행중",T20)))</formula>
    </cfRule>
  </conditionalFormatting>
  <conditionalFormatting sqref="U20:AC28">
    <cfRule type="containsText" dxfId="682" priority="45" operator="containsText" text="완료">
      <formula>NOT(ISERROR(SEARCH("완료",U20)))</formula>
    </cfRule>
    <cfRule type="containsText" dxfId="681" priority="46" operator="containsText" text="중단">
      <formula>NOT(ISERROR(SEARCH("중단",U20)))</formula>
    </cfRule>
  </conditionalFormatting>
  <conditionalFormatting sqref="U20:AC28">
    <cfRule type="containsText" dxfId="680" priority="43" operator="containsText" text="완료">
      <formula>NOT(ISERROR(SEARCH("완료",U20)))</formula>
    </cfRule>
    <cfRule type="containsText" dxfId="679" priority="44" operator="containsText" text="중단">
      <formula>NOT(ISERROR(SEARCH("중단",U20)))</formula>
    </cfRule>
  </conditionalFormatting>
  <conditionalFormatting sqref="U20:AC28">
    <cfRule type="containsText" dxfId="678" priority="42" operator="containsText" text="진행중">
      <formula>NOT(ISERROR(SEARCH("진행중",U20)))</formula>
    </cfRule>
  </conditionalFormatting>
  <conditionalFormatting sqref="AD20:AD28">
    <cfRule type="containsText" dxfId="677" priority="40" operator="containsText" text="완료">
      <formula>NOT(ISERROR(SEARCH("완료",AD20)))</formula>
    </cfRule>
    <cfRule type="containsText" dxfId="676" priority="41" operator="containsText" text="중단">
      <formula>NOT(ISERROR(SEARCH("중단",AD20)))</formula>
    </cfRule>
  </conditionalFormatting>
  <conditionalFormatting sqref="AD20:AD28">
    <cfRule type="containsText" dxfId="675" priority="38" operator="containsText" text="완료">
      <formula>NOT(ISERROR(SEARCH("완료",AD20)))</formula>
    </cfRule>
    <cfRule type="containsText" dxfId="674" priority="39" operator="containsText" text="중단">
      <formula>NOT(ISERROR(SEARCH("중단",AD20)))</formula>
    </cfRule>
  </conditionalFormatting>
  <conditionalFormatting sqref="AD20:AD28">
    <cfRule type="containsText" dxfId="673" priority="37" operator="containsText" text="진행중">
      <formula>NOT(ISERROR(SEARCH("진행중",AD20)))</formula>
    </cfRule>
  </conditionalFormatting>
  <conditionalFormatting sqref="AE20:AE28">
    <cfRule type="containsText" dxfId="672" priority="35" operator="containsText" text="완료">
      <formula>NOT(ISERROR(SEARCH("완료",AE20)))</formula>
    </cfRule>
    <cfRule type="containsText" dxfId="671" priority="36" operator="containsText" text="중단">
      <formula>NOT(ISERROR(SEARCH("중단",AE20)))</formula>
    </cfRule>
  </conditionalFormatting>
  <conditionalFormatting sqref="AE20:AE28">
    <cfRule type="containsText" dxfId="670" priority="33" operator="containsText" text="완료">
      <formula>NOT(ISERROR(SEARCH("완료",AE20)))</formula>
    </cfRule>
    <cfRule type="containsText" dxfId="669" priority="34" operator="containsText" text="중단">
      <formula>NOT(ISERROR(SEARCH("중단",AE20)))</formula>
    </cfRule>
  </conditionalFormatting>
  <conditionalFormatting sqref="AE20:AE28">
    <cfRule type="containsText" dxfId="668" priority="32" operator="containsText" text="진행중">
      <formula>NOT(ISERROR(SEARCH("진행중",AE20)))</formula>
    </cfRule>
  </conditionalFormatting>
  <conditionalFormatting sqref="D7">
    <cfRule type="containsText" dxfId="667" priority="30" operator="containsText" text="완료">
      <formula>NOT(ISERROR(SEARCH("완료",D7)))</formula>
    </cfRule>
    <cfRule type="containsText" dxfId="666" priority="31" operator="containsText" text="중단">
      <formula>NOT(ISERROR(SEARCH("중단",D7)))</formula>
    </cfRule>
  </conditionalFormatting>
  <conditionalFormatting sqref="D7">
    <cfRule type="containsText" dxfId="665" priority="28" operator="containsText" text="완료">
      <formula>NOT(ISERROR(SEARCH("완료",D7)))</formula>
    </cfRule>
    <cfRule type="containsText" dxfId="664" priority="29" operator="containsText" text="중단">
      <formula>NOT(ISERROR(SEARCH("중단",D7)))</formula>
    </cfRule>
  </conditionalFormatting>
  <conditionalFormatting sqref="D7">
    <cfRule type="containsText" dxfId="663" priority="27" operator="containsText" text="진행중">
      <formula>NOT(ISERROR(SEARCH("진행중",D7)))</formula>
    </cfRule>
  </conditionalFormatting>
  <conditionalFormatting sqref="A1:AG29">
    <cfRule type="containsText" dxfId="662" priority="26" operator="containsText" text="누락">
      <formula>NOT(ISERROR(SEARCH("누락",A1)))</formula>
    </cfRule>
  </conditionalFormatting>
  <conditionalFormatting sqref="AF21:AF27">
    <cfRule type="containsText" dxfId="661" priority="24" operator="containsText" text="완료">
      <formula>NOT(ISERROR(SEARCH("완료",AF21)))</formula>
    </cfRule>
    <cfRule type="containsText" dxfId="660" priority="25" operator="containsText" text="중단">
      <formula>NOT(ISERROR(SEARCH("중단",AF21)))</formula>
    </cfRule>
  </conditionalFormatting>
  <conditionalFormatting sqref="AF21:AF27">
    <cfRule type="containsText" dxfId="659" priority="22" operator="containsText" text="완료">
      <formula>NOT(ISERROR(SEARCH("완료",AF21)))</formula>
    </cfRule>
    <cfRule type="containsText" dxfId="658" priority="23" operator="containsText" text="중단">
      <formula>NOT(ISERROR(SEARCH("중단",AF21)))</formula>
    </cfRule>
  </conditionalFormatting>
  <conditionalFormatting sqref="AF21:AF27">
    <cfRule type="containsText" dxfId="657" priority="21" operator="containsText" text="진행중">
      <formula>NOT(ISERROR(SEARCH("진행중",AF21)))</formula>
    </cfRule>
  </conditionalFormatting>
  <conditionalFormatting sqref="AG21:AG27">
    <cfRule type="containsText" dxfId="656" priority="19" operator="containsText" text="완료">
      <formula>NOT(ISERROR(SEARCH("완료",AG21)))</formula>
    </cfRule>
    <cfRule type="containsText" dxfId="655" priority="20" operator="containsText" text="중단">
      <formula>NOT(ISERROR(SEARCH("중단",AG21)))</formula>
    </cfRule>
  </conditionalFormatting>
  <conditionalFormatting sqref="AG21:AG27">
    <cfRule type="containsText" dxfId="654" priority="17" operator="containsText" text="완료">
      <formula>NOT(ISERROR(SEARCH("완료",AG21)))</formula>
    </cfRule>
    <cfRule type="containsText" dxfId="653" priority="18" operator="containsText" text="중단">
      <formula>NOT(ISERROR(SEARCH("중단",AG21)))</formula>
    </cfRule>
  </conditionalFormatting>
  <conditionalFormatting sqref="AG21:AG27">
    <cfRule type="containsText" dxfId="652" priority="16" operator="containsText" text="진행중">
      <formula>NOT(ISERROR(SEARCH("진행중",AG21)))</formula>
    </cfRule>
  </conditionalFormatting>
  <conditionalFormatting sqref="AG21:AG27">
    <cfRule type="containsText" dxfId="651" priority="14" operator="containsText" text="완료">
      <formula>NOT(ISERROR(SEARCH("완료",AG21)))</formula>
    </cfRule>
    <cfRule type="containsText" dxfId="650" priority="15" operator="containsText" text="중단">
      <formula>NOT(ISERROR(SEARCH("중단",AG21)))</formula>
    </cfRule>
  </conditionalFormatting>
  <conditionalFormatting sqref="AG21:AG27">
    <cfRule type="containsText" dxfId="649" priority="12" operator="containsText" text="완료">
      <formula>NOT(ISERROR(SEARCH("완료",AG21)))</formula>
    </cfRule>
    <cfRule type="containsText" dxfId="648" priority="13" operator="containsText" text="중단">
      <formula>NOT(ISERROR(SEARCH("중단",AG21)))</formula>
    </cfRule>
  </conditionalFormatting>
  <conditionalFormatting sqref="AG21:AG27">
    <cfRule type="containsText" dxfId="647" priority="11" operator="containsText" text="진행중">
      <formula>NOT(ISERROR(SEARCH("진행중",AG21)))</formula>
    </cfRule>
  </conditionalFormatting>
  <conditionalFormatting sqref="AF28">
    <cfRule type="containsText" dxfId="646" priority="9" operator="containsText" text="완료">
      <formula>NOT(ISERROR(SEARCH("완료",AF28)))</formula>
    </cfRule>
    <cfRule type="containsText" dxfId="645" priority="10" operator="containsText" text="중단">
      <formula>NOT(ISERROR(SEARCH("중단",AF28)))</formula>
    </cfRule>
  </conditionalFormatting>
  <conditionalFormatting sqref="AF28">
    <cfRule type="containsText" dxfId="644" priority="7" operator="containsText" text="완료">
      <formula>NOT(ISERROR(SEARCH("완료",AF28)))</formula>
    </cfRule>
    <cfRule type="containsText" dxfId="643" priority="8" operator="containsText" text="중단">
      <formula>NOT(ISERROR(SEARCH("중단",AF28)))</formula>
    </cfRule>
  </conditionalFormatting>
  <conditionalFormatting sqref="AF28">
    <cfRule type="containsText" dxfId="642" priority="6" operator="containsText" text="진행중">
      <formula>NOT(ISERROR(SEARCH("진행중",AF28)))</formula>
    </cfRule>
  </conditionalFormatting>
  <conditionalFormatting sqref="AG28">
    <cfRule type="containsText" dxfId="641" priority="4" operator="containsText" text="완료">
      <formula>NOT(ISERROR(SEARCH("완료",AG28)))</formula>
    </cfRule>
    <cfRule type="containsText" dxfId="640" priority="5" operator="containsText" text="중단">
      <formula>NOT(ISERROR(SEARCH("중단",AG28)))</formula>
    </cfRule>
  </conditionalFormatting>
  <conditionalFormatting sqref="AG28">
    <cfRule type="containsText" dxfId="639" priority="2" operator="containsText" text="완료">
      <formula>NOT(ISERROR(SEARCH("완료",AG28)))</formula>
    </cfRule>
    <cfRule type="containsText" dxfId="638" priority="3" operator="containsText" text="중단">
      <formula>NOT(ISERROR(SEARCH("중단",AG28)))</formula>
    </cfRule>
  </conditionalFormatting>
  <conditionalFormatting sqref="AG28">
    <cfRule type="containsText" dxfId="637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rgb="FFFF0000"/>
  </sheetPr>
  <dimension ref="A1:AP29"/>
  <sheetViews>
    <sheetView zoomScale="55" zoomScaleNormal="55" workbookViewId="0">
      <selection activeCell="F7" sqref="F7:I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8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5">IF(NOT(LEN($I8)=0),K7,"")</f>
        <v>VITA</v>
      </c>
      <c r="L8" s="50" t="str">
        <f t="shared" ref="L8:L17" si="6">IF(NOT(LEN($I8)=0),L7,"")</f>
        <v>MARK II</v>
      </c>
      <c r="M8" s="50">
        <f t="shared" ref="M8" si="7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8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9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10">IF(NOT(LEN($I9)=0),G8,"")</f>
        <v>-</v>
      </c>
      <c r="H9" s="49" t="str">
        <f t="shared" ref="H9:H19" si="11">IF(NOT(LEN($I9)=0),H8,"")</f>
        <v>-</v>
      </c>
      <c r="I9" s="49" t="s">
        <v>40</v>
      </c>
      <c r="J9" s="1"/>
      <c r="K9" s="50" t="str">
        <f t="shared" si="5"/>
        <v>VITA</v>
      </c>
      <c r="L9" s="50" t="str">
        <f t="shared" si="6"/>
        <v>MARK II</v>
      </c>
      <c r="M9" s="50">
        <f t="shared" ref="M9:M18" si="12">IF(NOT(LEN($I9)=0),M8,"")</f>
        <v>160</v>
      </c>
      <c r="N9" s="50" t="str">
        <f t="shared" ref="N9:N18" si="13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8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9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10"/>
        <v>-</v>
      </c>
      <c r="H10" s="49" t="str">
        <f t="shared" si="11"/>
        <v>-</v>
      </c>
      <c r="I10" s="49" t="s">
        <v>40</v>
      </c>
      <c r="J10" s="1"/>
      <c r="K10" s="50" t="str">
        <f t="shared" si="5"/>
        <v>VITA</v>
      </c>
      <c r="L10" s="50" t="str">
        <f t="shared" si="6"/>
        <v>MARK II</v>
      </c>
      <c r="M10" s="50">
        <f t="shared" si="12"/>
        <v>160</v>
      </c>
      <c r="N10" s="50" t="str">
        <f t="shared" si="13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8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9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10"/>
        <v>-</v>
      </c>
      <c r="H11" s="49" t="str">
        <f t="shared" si="11"/>
        <v>-</v>
      </c>
      <c r="I11" s="49" t="s">
        <v>40</v>
      </c>
      <c r="J11" s="1"/>
      <c r="K11" s="50" t="str">
        <f t="shared" si="5"/>
        <v>VITA</v>
      </c>
      <c r="L11" s="50" t="str">
        <f t="shared" si="6"/>
        <v>MARK II</v>
      </c>
      <c r="M11" s="50">
        <f t="shared" si="12"/>
        <v>160</v>
      </c>
      <c r="N11" s="50" t="str">
        <f t="shared" si="13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84</v>
      </c>
      <c r="V11" s="7" t="s">
        <v>85</v>
      </c>
      <c r="W11" s="7" t="s">
        <v>86</v>
      </c>
      <c r="X11" s="7" t="s">
        <v>87</v>
      </c>
      <c r="Y11" s="7" t="s">
        <v>88</v>
      </c>
      <c r="Z11" s="7" t="s">
        <v>89</v>
      </c>
      <c r="AA11" s="7" t="s">
        <v>90</v>
      </c>
      <c r="AB11" s="7" t="s">
        <v>91</v>
      </c>
      <c r="AC11" s="7" t="s">
        <v>67</v>
      </c>
      <c r="AD11" s="7" t="str">
        <f t="shared" si="4"/>
        <v>-</v>
      </c>
      <c r="AE11" s="7" t="str">
        <f t="shared" si="8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10"/>
        <v>-</v>
      </c>
      <c r="H12" s="49" t="str">
        <f t="shared" si="11"/>
        <v>-</v>
      </c>
      <c r="I12" s="49" t="s">
        <v>40</v>
      </c>
      <c r="J12" s="1"/>
      <c r="K12" s="50" t="str">
        <f t="shared" si="5"/>
        <v>VITA</v>
      </c>
      <c r="L12" s="50" t="str">
        <f t="shared" si="6"/>
        <v>MARK II</v>
      </c>
      <c r="M12" s="50">
        <f t="shared" si="12"/>
        <v>160</v>
      </c>
      <c r="N12" s="50" t="str">
        <f t="shared" si="13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4">IF(MOD($B12,5)=0, "스핀들유격: ","-" 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ref="U12:AB15" si="15">IF(MOD($B12,5)=0, "000-000","-" )</f>
        <v>-</v>
      </c>
      <c r="V12" s="7" t="str">
        <f t="shared" si="15"/>
        <v>-</v>
      </c>
      <c r="W12" s="7" t="str">
        <f t="shared" si="15"/>
        <v>-</v>
      </c>
      <c r="X12" s="7" t="str">
        <f t="shared" si="15"/>
        <v>-</v>
      </c>
      <c r="Y12" s="7" t="str">
        <f t="shared" si="15"/>
        <v>-</v>
      </c>
      <c r="Z12" s="7" t="str">
        <f t="shared" si="15"/>
        <v>-</v>
      </c>
      <c r="AA12" s="7" t="str">
        <f t="shared" si="15"/>
        <v>-</v>
      </c>
      <c r="AB12" s="7" t="str">
        <f t="shared" si="15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8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10"/>
        <v>-</v>
      </c>
      <c r="H13" s="49" t="str">
        <f t="shared" si="11"/>
        <v>-</v>
      </c>
      <c r="I13" s="49">
        <v>0</v>
      </c>
      <c r="J13" s="1"/>
      <c r="K13" s="50" t="str">
        <f t="shared" si="5"/>
        <v>VITA</v>
      </c>
      <c r="L13" s="50" t="str">
        <f t="shared" si="6"/>
        <v>MARK II</v>
      </c>
      <c r="M13" s="50">
        <f t="shared" si="12"/>
        <v>160</v>
      </c>
      <c r="N13" s="50" t="str">
        <f t="shared" si="13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5"/>
        <v>-</v>
      </c>
      <c r="V13" s="7" t="str">
        <f t="shared" si="15"/>
        <v>-</v>
      </c>
      <c r="W13" s="7" t="str">
        <f t="shared" si="15"/>
        <v>-</v>
      </c>
      <c r="X13" s="7" t="str">
        <f t="shared" si="15"/>
        <v>-</v>
      </c>
      <c r="Y13" s="7" t="str">
        <f t="shared" si="15"/>
        <v>-</v>
      </c>
      <c r="Z13" s="7" t="str">
        <f t="shared" si="15"/>
        <v>-</v>
      </c>
      <c r="AA13" s="7" t="str">
        <f t="shared" si="15"/>
        <v>-</v>
      </c>
      <c r="AB13" s="7" t="str">
        <f t="shared" si="15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8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10"/>
        <v>-</v>
      </c>
      <c r="H14" s="49" t="str">
        <f t="shared" si="11"/>
        <v>-</v>
      </c>
      <c r="I14" s="49">
        <f>IF(NOT(LEN($A14)=0),IF(I13+1&gt;15,"버교체요망",I13+1),"")</f>
        <v>1</v>
      </c>
      <c r="J14" s="1"/>
      <c r="K14" s="50" t="str">
        <f t="shared" si="5"/>
        <v>VITA</v>
      </c>
      <c r="L14" s="50" t="str">
        <f t="shared" si="6"/>
        <v>MARK II</v>
      </c>
      <c r="M14" s="50">
        <f t="shared" si="12"/>
        <v>160</v>
      </c>
      <c r="N14" s="50" t="str">
        <f t="shared" si="13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5"/>
        <v>-</v>
      </c>
      <c r="V14" s="7" t="str">
        <f t="shared" si="15"/>
        <v>-</v>
      </c>
      <c r="W14" s="7" t="str">
        <f t="shared" si="15"/>
        <v>-</v>
      </c>
      <c r="X14" s="7" t="str">
        <f t="shared" si="15"/>
        <v>-</v>
      </c>
      <c r="Y14" s="7" t="str">
        <f t="shared" si="15"/>
        <v>-</v>
      </c>
      <c r="Z14" s="7" t="str">
        <f t="shared" si="15"/>
        <v>-</v>
      </c>
      <c r="AA14" s="7" t="str">
        <f t="shared" si="15"/>
        <v>-</v>
      </c>
      <c r="AB14" s="7" t="str">
        <f t="shared" si="15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8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9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6">IF(NOT(LEN($A15)=0),IF(F14+1&gt;15,"버교체요망",F14+1),"")</f>
        <v>2</v>
      </c>
      <c r="G15" s="49" t="str">
        <f t="shared" si="10"/>
        <v>-</v>
      </c>
      <c r="H15" s="49" t="str">
        <f t="shared" si="11"/>
        <v>-</v>
      </c>
      <c r="I15" s="49">
        <f t="shared" ref="I15:I21" si="17">IF(NOT(LEN($A15)=0),IF(I14+1&gt;15,"버교체요망",I14+1),"")</f>
        <v>2</v>
      </c>
      <c r="J15" s="1"/>
      <c r="K15" s="50" t="str">
        <f t="shared" si="5"/>
        <v>VITA</v>
      </c>
      <c r="L15" s="50" t="str">
        <f t="shared" si="6"/>
        <v>MARK II</v>
      </c>
      <c r="M15" s="50">
        <f t="shared" si="12"/>
        <v>160</v>
      </c>
      <c r="N15" s="50" t="str">
        <f t="shared" si="13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5"/>
        <v>-</v>
      </c>
      <c r="V15" s="7" t="str">
        <f t="shared" si="15"/>
        <v>-</v>
      </c>
      <c r="W15" s="7" t="str">
        <f t="shared" si="15"/>
        <v>-</v>
      </c>
      <c r="X15" s="7" t="str">
        <f t="shared" si="15"/>
        <v>-</v>
      </c>
      <c r="Y15" s="7" t="str">
        <f t="shared" si="15"/>
        <v>-</v>
      </c>
      <c r="Z15" s="7" t="str">
        <f t="shared" si="15"/>
        <v>-</v>
      </c>
      <c r="AA15" s="7" t="str">
        <f t="shared" si="15"/>
        <v>-</v>
      </c>
      <c r="AB15" s="7" t="str">
        <f t="shared" si="15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8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9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6"/>
        <v>3</v>
      </c>
      <c r="G16" s="49" t="str">
        <f t="shared" si="10"/>
        <v>-</v>
      </c>
      <c r="H16" s="49" t="str">
        <f t="shared" si="11"/>
        <v>-</v>
      </c>
      <c r="I16" s="49">
        <f t="shared" si="17"/>
        <v>3</v>
      </c>
      <c r="J16" s="1"/>
      <c r="K16" s="50" t="str">
        <f t="shared" si="5"/>
        <v>VITA</v>
      </c>
      <c r="L16" s="50" t="str">
        <f t="shared" si="6"/>
        <v>MARK II</v>
      </c>
      <c r="M16" s="50">
        <f t="shared" si="12"/>
        <v>160</v>
      </c>
      <c r="N16" s="50" t="str">
        <f t="shared" si="13"/>
        <v>-</v>
      </c>
      <c r="O16" s="24">
        <f>IF(LEN(A16)&gt;0, 종합!$C$27, "")</f>
        <v>2.2599999999999998</v>
      </c>
      <c r="P16" s="1" t="s">
        <v>16</v>
      </c>
      <c r="Q16" s="7" t="str">
        <f t="shared" ref="Q16:AC17" si="18">IFERROR(IF(MOD($B16,5)=0, "스핀들유격: ","-" ),"-")</f>
        <v xml:space="preserve">스핀들유격: </v>
      </c>
      <c r="R16" s="7" t="str">
        <f t="shared" si="18"/>
        <v xml:space="preserve">스핀들유격: </v>
      </c>
      <c r="S16" s="7" t="str">
        <f t="shared" si="18"/>
        <v xml:space="preserve">스핀들유격: </v>
      </c>
      <c r="T16" s="7" t="str">
        <f t="shared" si="18"/>
        <v xml:space="preserve">스핀들유격: </v>
      </c>
      <c r="U16" s="7" t="str">
        <f t="shared" si="18"/>
        <v xml:space="preserve">스핀들유격: </v>
      </c>
      <c r="V16" s="7" t="str">
        <f t="shared" si="18"/>
        <v xml:space="preserve">스핀들유격: </v>
      </c>
      <c r="W16" s="7" t="str">
        <f t="shared" si="18"/>
        <v xml:space="preserve">스핀들유격: </v>
      </c>
      <c r="X16" s="7" t="str">
        <f t="shared" si="18"/>
        <v xml:space="preserve">스핀들유격: </v>
      </c>
      <c r="Y16" s="7" t="str">
        <f t="shared" si="18"/>
        <v xml:space="preserve">스핀들유격: </v>
      </c>
      <c r="Z16" s="7" t="str">
        <f t="shared" si="18"/>
        <v xml:space="preserve">스핀들유격: </v>
      </c>
      <c r="AA16" s="7" t="str">
        <f t="shared" si="18"/>
        <v xml:space="preserve">스핀들유격: </v>
      </c>
      <c r="AB16" s="7" t="str">
        <f t="shared" si="18"/>
        <v xml:space="preserve">스핀들유격: </v>
      </c>
      <c r="AC16" s="7" t="str">
        <f t="shared" si="18"/>
        <v xml:space="preserve">스핀들유격: </v>
      </c>
      <c r="AD16" s="7" t="str">
        <f t="shared" si="4"/>
        <v>-</v>
      </c>
      <c r="AE16" s="7" t="str">
        <f t="shared" ref="AE16:AE18" si="19">IF($B16="","-",
  IFERROR(
    IF(AND($B16&lt;&gt;0, MOD($B16,160)=0),
       "TENSION (XL : / ZL : / XR : / ZR : / Y : )" &amp; CHAR(10) &amp; "필터교체",
       "-"
    ),
    "-"
  )
)</f>
        <v>-</v>
      </c>
      <c r="AF16" s="46" t="s">
        <v>115</v>
      </c>
      <c r="AG16" s="2"/>
    </row>
    <row r="17" spans="1:33" x14ac:dyDescent="0.45">
      <c r="A17" s="3">
        <v>45973</v>
      </c>
      <c r="B17" s="24">
        <f t="shared" si="9"/>
        <v>11</v>
      </c>
      <c r="C17" s="7" t="str">
        <f t="shared" ref="C17:C28" si="20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6"/>
        <v>4</v>
      </c>
      <c r="G17" s="49" t="str">
        <f t="shared" si="10"/>
        <v>-</v>
      </c>
      <c r="H17" s="49" t="str">
        <f t="shared" si="11"/>
        <v>-</v>
      </c>
      <c r="I17" s="49">
        <f t="shared" si="17"/>
        <v>4</v>
      </c>
      <c r="J17" s="1"/>
      <c r="K17" s="50" t="str">
        <f t="shared" si="5"/>
        <v>VITA</v>
      </c>
      <c r="L17" s="50" t="str">
        <f t="shared" si="6"/>
        <v>MARK II</v>
      </c>
      <c r="M17" s="50">
        <f t="shared" si="12"/>
        <v>160</v>
      </c>
      <c r="N17" s="50" t="str">
        <f t="shared" si="13"/>
        <v>-</v>
      </c>
      <c r="O17" s="24">
        <f>IF(LEN(A17)&gt;0, 종합!$C$27, "")</f>
        <v>2.2599999999999998</v>
      </c>
      <c r="P17" s="1" t="s">
        <v>16</v>
      </c>
      <c r="Q17" s="7" t="str">
        <f t="shared" si="18"/>
        <v>-</v>
      </c>
      <c r="R17" s="7" t="str">
        <f t="shared" si="18"/>
        <v>-</v>
      </c>
      <c r="S17" s="7" t="str">
        <f t="shared" si="18"/>
        <v>-</v>
      </c>
      <c r="T17" s="7" t="str">
        <f t="shared" si="18"/>
        <v>-</v>
      </c>
      <c r="U17" s="7" t="str">
        <f t="shared" si="18"/>
        <v>-</v>
      </c>
      <c r="V17" s="7" t="str">
        <f t="shared" si="18"/>
        <v>-</v>
      </c>
      <c r="W17" s="7" t="str">
        <f t="shared" si="18"/>
        <v>-</v>
      </c>
      <c r="X17" s="7" t="str">
        <f t="shared" si="18"/>
        <v>-</v>
      </c>
      <c r="Y17" s="7" t="str">
        <f t="shared" si="18"/>
        <v>-</v>
      </c>
      <c r="Z17" s="7" t="str">
        <f t="shared" si="18"/>
        <v>-</v>
      </c>
      <c r="AA17" s="7" t="str">
        <f t="shared" si="18"/>
        <v>-</v>
      </c>
      <c r="AB17" s="7" t="str">
        <f t="shared" si="18"/>
        <v>-</v>
      </c>
      <c r="AC17" s="7" t="str">
        <f t="shared" si="18"/>
        <v>-</v>
      </c>
      <c r="AD17" s="7" t="str">
        <f t="shared" si="4"/>
        <v>-</v>
      </c>
      <c r="AE17" s="7" t="str">
        <f t="shared" si="19"/>
        <v>-</v>
      </c>
      <c r="AF17" s="47" t="s">
        <v>127</v>
      </c>
      <c r="AG17" s="2"/>
    </row>
    <row r="18" spans="1:33" x14ac:dyDescent="0.45">
      <c r="A18" s="3">
        <v>45973</v>
      </c>
      <c r="B18" s="24">
        <f t="shared" si="9"/>
        <v>12</v>
      </c>
      <c r="C18" s="7" t="str">
        <f t="shared" si="20"/>
        <v>Dimensions: L W H</v>
      </c>
      <c r="D18" s="6" t="str">
        <f t="shared" si="1"/>
        <v>완료</v>
      </c>
      <c r="E18" s="24">
        <v>21</v>
      </c>
      <c r="F18" s="49">
        <f t="shared" si="16"/>
        <v>5</v>
      </c>
      <c r="G18" s="49" t="str">
        <f t="shared" si="10"/>
        <v>-</v>
      </c>
      <c r="H18" s="49" t="str">
        <f t="shared" si="11"/>
        <v>-</v>
      </c>
      <c r="I18" s="49">
        <f t="shared" si="17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2"/>
        <v>160</v>
      </c>
      <c r="N18" s="50" t="str">
        <f t="shared" si="13"/>
        <v>-</v>
      </c>
      <c r="O18" s="24">
        <f>IF(LEN(A18)&gt;0, 종합!$C$27, "")</f>
        <v>2.2599999999999998</v>
      </c>
      <c r="P18" s="1"/>
      <c r="Q18" s="7" t="str">
        <f t="shared" ref="Q18:T18" si="21">IF(MOD($B18,5)=0, "스핀들유격: ","-" )</f>
        <v>-</v>
      </c>
      <c r="R18" s="7" t="str">
        <f t="shared" si="21"/>
        <v>-</v>
      </c>
      <c r="S18" s="7" t="str">
        <f t="shared" si="21"/>
        <v>-</v>
      </c>
      <c r="T18" s="7" t="str">
        <f t="shared" si="21"/>
        <v>-</v>
      </c>
      <c r="U18" s="7" t="str">
        <f t="shared" ref="U18:AB18" si="22">IF(MOD($B18,5)=0, "000-000","-" )</f>
        <v>-</v>
      </c>
      <c r="V18" s="7" t="str">
        <f t="shared" si="22"/>
        <v>-</v>
      </c>
      <c r="W18" s="7" t="str">
        <f t="shared" si="22"/>
        <v>-</v>
      </c>
      <c r="X18" s="7" t="str">
        <f t="shared" si="22"/>
        <v>-</v>
      </c>
      <c r="Y18" s="7" t="str">
        <f t="shared" si="22"/>
        <v>-</v>
      </c>
      <c r="Z18" s="7" t="str">
        <f t="shared" si="22"/>
        <v>-</v>
      </c>
      <c r="AA18" s="7" t="str">
        <f t="shared" si="22"/>
        <v>-</v>
      </c>
      <c r="AB18" s="7" t="str">
        <f t="shared" si="22"/>
        <v>-</v>
      </c>
      <c r="AC18" s="7" t="str">
        <f t="shared" ref="AC18" si="23">IF(MOD($B18,5)=0, "스핀들소음 :","-" )</f>
        <v>-</v>
      </c>
      <c r="AD18" s="7" t="str">
        <f t="shared" si="4"/>
        <v>-</v>
      </c>
      <c r="AE18" s="7" t="str">
        <f t="shared" si="19"/>
        <v>-</v>
      </c>
      <c r="AF18" s="1"/>
      <c r="AG18" s="2"/>
    </row>
    <row r="19" spans="1:33" x14ac:dyDescent="0.45">
      <c r="A19" s="3">
        <v>45973</v>
      </c>
      <c r="B19" s="24">
        <f t="shared" si="9"/>
        <v>13</v>
      </c>
      <c r="C19" s="7" t="str">
        <f t="shared" si="20"/>
        <v>Dimensions: L W H</v>
      </c>
      <c r="D19" s="6" t="s">
        <v>21</v>
      </c>
      <c r="E19" s="48" t="str">
        <f>IF(NOT(LEN(C19)=0),"누락","")</f>
        <v>누락</v>
      </c>
      <c r="F19" s="49">
        <f t="shared" si="16"/>
        <v>6</v>
      </c>
      <c r="G19" s="49" t="str">
        <f t="shared" si="10"/>
        <v>-</v>
      </c>
      <c r="H19" s="49" t="str">
        <f t="shared" si="11"/>
        <v>-</v>
      </c>
      <c r="I19" s="49">
        <f t="shared" si="17"/>
        <v>6</v>
      </c>
      <c r="J19" s="1"/>
      <c r="K19" s="50" t="str">
        <f t="shared" ref="K19:K21" si="24">IF(NOT(LEN($I19)=0),K18,"")</f>
        <v>VITA</v>
      </c>
      <c r="L19" s="50" t="str">
        <f t="shared" ref="L19:L21" si="25">IF(NOT(LEN($I19)=0),L18,"")</f>
        <v>MARK II</v>
      </c>
      <c r="M19" s="50">
        <f t="shared" ref="M19:M21" si="26">IF(NOT(LEN($I19)=0),M18,"")</f>
        <v>160</v>
      </c>
      <c r="N19" s="50" t="str">
        <f t="shared" ref="N19:N21" si="27">IF(NOT(LEN($I19)=0),N18,"")</f>
        <v>-</v>
      </c>
      <c r="O19" s="24">
        <f>IF(LEN(A19)&gt;0, 종합!$C$27, "")</f>
        <v>2.2599999999999998</v>
      </c>
      <c r="P19" s="1"/>
      <c r="Q19" s="48" t="str">
        <f t="shared" ref="Q19:AE28" si="28">IF(NOT(LEN($A19)=0),"누락","")</f>
        <v>누락</v>
      </c>
      <c r="R19" s="48" t="str">
        <f t="shared" si="28"/>
        <v>누락</v>
      </c>
      <c r="S19" s="48" t="str">
        <f t="shared" si="28"/>
        <v>누락</v>
      </c>
      <c r="T19" s="48" t="str">
        <f t="shared" si="28"/>
        <v>누락</v>
      </c>
      <c r="U19" s="48" t="str">
        <f t="shared" si="28"/>
        <v>누락</v>
      </c>
      <c r="V19" s="48" t="str">
        <f t="shared" si="28"/>
        <v>누락</v>
      </c>
      <c r="W19" s="48" t="str">
        <f t="shared" si="28"/>
        <v>누락</v>
      </c>
      <c r="X19" s="48" t="str">
        <f t="shared" si="28"/>
        <v>누락</v>
      </c>
      <c r="Y19" s="48" t="str">
        <f t="shared" si="28"/>
        <v>누락</v>
      </c>
      <c r="Z19" s="48" t="str">
        <f t="shared" si="28"/>
        <v>누락</v>
      </c>
      <c r="AA19" s="48" t="str">
        <f t="shared" si="28"/>
        <v>누락</v>
      </c>
      <c r="AB19" s="48" t="str">
        <f t="shared" si="28"/>
        <v>누락</v>
      </c>
      <c r="AC19" s="48" t="str">
        <f t="shared" si="28"/>
        <v>누락</v>
      </c>
      <c r="AD19" s="48" t="str">
        <f t="shared" si="28"/>
        <v>누락</v>
      </c>
      <c r="AE19" s="48" t="str">
        <f t="shared" si="28"/>
        <v>누락</v>
      </c>
      <c r="AF19" s="47" t="s">
        <v>129</v>
      </c>
      <c r="AG19" s="2"/>
    </row>
    <row r="20" spans="1:33" x14ac:dyDescent="0.45">
      <c r="A20" s="23"/>
      <c r="B20" s="24" t="str">
        <f t="shared" si="9"/>
        <v/>
      </c>
      <c r="C20" s="7" t="str">
        <f t="shared" si="20"/>
        <v/>
      </c>
      <c r="D20" s="6" t="str">
        <f t="shared" ref="D20:D28" si="29">IF(NOT(LEN(B20)=0),"진행중","")</f>
        <v/>
      </c>
      <c r="E20" s="48" t="str">
        <f>IF(NOT(LEN($A20)=0),"누락","")</f>
        <v/>
      </c>
      <c r="F20" s="49" t="str">
        <f t="shared" si="16"/>
        <v/>
      </c>
      <c r="G20" s="54"/>
      <c r="H20" s="54"/>
      <c r="I20" s="49" t="str">
        <f t="shared" si="17"/>
        <v/>
      </c>
      <c r="J20" s="1"/>
      <c r="K20" s="50" t="str">
        <f t="shared" si="24"/>
        <v/>
      </c>
      <c r="L20" s="50" t="str">
        <f t="shared" si="25"/>
        <v/>
      </c>
      <c r="M20" s="50" t="str">
        <f t="shared" si="26"/>
        <v/>
      </c>
      <c r="N20" s="50" t="str">
        <f t="shared" si="27"/>
        <v/>
      </c>
      <c r="O20" s="24" t="str">
        <f>IF(LEN(A20)&gt;0, 종합!$C$27, "")</f>
        <v/>
      </c>
      <c r="P20" s="1"/>
      <c r="Q20" s="48" t="str">
        <f t="shared" si="28"/>
        <v/>
      </c>
      <c r="R20" s="48" t="str">
        <f t="shared" si="28"/>
        <v/>
      </c>
      <c r="S20" s="48" t="str">
        <f t="shared" si="28"/>
        <v/>
      </c>
      <c r="T20" s="48" t="str">
        <f t="shared" si="28"/>
        <v/>
      </c>
      <c r="U20" s="48" t="str">
        <f t="shared" si="28"/>
        <v/>
      </c>
      <c r="V20" s="48" t="str">
        <f t="shared" si="28"/>
        <v/>
      </c>
      <c r="W20" s="48" t="str">
        <f t="shared" si="28"/>
        <v/>
      </c>
      <c r="X20" s="48" t="str">
        <f t="shared" si="28"/>
        <v/>
      </c>
      <c r="Y20" s="48" t="str">
        <f t="shared" si="28"/>
        <v/>
      </c>
      <c r="Z20" s="48" t="str">
        <f t="shared" si="28"/>
        <v/>
      </c>
      <c r="AA20" s="48" t="str">
        <f t="shared" si="28"/>
        <v/>
      </c>
      <c r="AB20" s="48" t="str">
        <f t="shared" si="28"/>
        <v/>
      </c>
      <c r="AC20" s="48" t="str">
        <f t="shared" si="28"/>
        <v/>
      </c>
      <c r="AD20" s="48" t="str">
        <f t="shared" si="28"/>
        <v/>
      </c>
      <c r="AE20" s="48" t="str">
        <f t="shared" si="28"/>
        <v/>
      </c>
      <c r="AF20" s="1"/>
      <c r="AG20" s="2"/>
    </row>
    <row r="21" spans="1:33" x14ac:dyDescent="0.45">
      <c r="B21" s="24" t="str">
        <f t="shared" si="9"/>
        <v/>
      </c>
      <c r="C21" s="7" t="str">
        <f t="shared" si="20"/>
        <v/>
      </c>
      <c r="D21" s="6" t="str">
        <f t="shared" si="29"/>
        <v/>
      </c>
      <c r="E21" s="48" t="str">
        <f t="shared" ref="E21:E28" si="30">IF(NOT(LEN($A21)=0),"누락","")</f>
        <v/>
      </c>
      <c r="F21" s="49" t="str">
        <f t="shared" si="16"/>
        <v/>
      </c>
      <c r="G21" s="53"/>
      <c r="H21" s="53"/>
      <c r="I21" s="49" t="str">
        <f t="shared" si="17"/>
        <v/>
      </c>
      <c r="K21" s="50" t="str">
        <f t="shared" si="24"/>
        <v/>
      </c>
      <c r="L21" s="50" t="str">
        <f t="shared" si="25"/>
        <v/>
      </c>
      <c r="M21" s="50" t="str">
        <f t="shared" si="26"/>
        <v/>
      </c>
      <c r="N21" s="50" t="str">
        <f t="shared" si="27"/>
        <v/>
      </c>
      <c r="O21" s="24" t="str">
        <f>IF(LEN(A21)&gt;0, 종합!$C$27, "")</f>
        <v/>
      </c>
      <c r="Q21" s="48" t="str">
        <f t="shared" si="28"/>
        <v/>
      </c>
      <c r="R21" s="48" t="str">
        <f t="shared" si="28"/>
        <v/>
      </c>
      <c r="S21" s="48" t="str">
        <f t="shared" si="28"/>
        <v/>
      </c>
      <c r="T21" s="48" t="str">
        <f t="shared" si="28"/>
        <v/>
      </c>
      <c r="U21" s="48" t="str">
        <f t="shared" si="28"/>
        <v/>
      </c>
      <c r="V21" s="48" t="str">
        <f t="shared" si="28"/>
        <v/>
      </c>
      <c r="W21" s="48" t="str">
        <f t="shared" si="28"/>
        <v/>
      </c>
      <c r="X21" s="48" t="str">
        <f t="shared" si="28"/>
        <v/>
      </c>
      <c r="Y21" s="48" t="str">
        <f t="shared" si="28"/>
        <v/>
      </c>
      <c r="Z21" s="48" t="str">
        <f t="shared" si="28"/>
        <v/>
      </c>
      <c r="AA21" s="48" t="str">
        <f t="shared" si="28"/>
        <v/>
      </c>
      <c r="AB21" s="48" t="str">
        <f t="shared" si="28"/>
        <v/>
      </c>
      <c r="AC21" s="48" t="str">
        <f t="shared" si="28"/>
        <v/>
      </c>
      <c r="AD21" s="48" t="str">
        <f t="shared" si="28"/>
        <v/>
      </c>
      <c r="AE21" s="48" t="str">
        <f t="shared" si="28"/>
        <v/>
      </c>
      <c r="AF21" s="1"/>
    </row>
    <row r="22" spans="1:33" x14ac:dyDescent="0.45">
      <c r="B22" s="24"/>
      <c r="C22" s="7"/>
      <c r="D22" s="6"/>
      <c r="E22" s="48"/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48"/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48"/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48"/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48"/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48"/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20"/>
        <v/>
      </c>
      <c r="D28" s="6" t="str">
        <f t="shared" si="29"/>
        <v/>
      </c>
      <c r="E28" s="48" t="str">
        <f t="shared" si="3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8"/>
        <v/>
      </c>
      <c r="R28" s="48" t="str">
        <f t="shared" si="28"/>
        <v/>
      </c>
      <c r="S28" s="48" t="str">
        <f t="shared" si="28"/>
        <v/>
      </c>
      <c r="T28" s="48" t="str">
        <f t="shared" si="28"/>
        <v/>
      </c>
      <c r="U28" s="48" t="str">
        <f t="shared" si="28"/>
        <v/>
      </c>
      <c r="V28" s="48" t="str">
        <f t="shared" si="28"/>
        <v/>
      </c>
      <c r="W28" s="48" t="str">
        <f t="shared" si="28"/>
        <v/>
      </c>
      <c r="X28" s="48" t="str">
        <f t="shared" si="28"/>
        <v/>
      </c>
      <c r="Y28" s="48" t="str">
        <f t="shared" si="28"/>
        <v/>
      </c>
      <c r="Z28" s="48" t="str">
        <f t="shared" si="28"/>
        <v/>
      </c>
      <c r="AA28" s="48" t="str">
        <f t="shared" si="28"/>
        <v/>
      </c>
      <c r="AB28" s="48" t="str">
        <f t="shared" si="28"/>
        <v/>
      </c>
      <c r="AC28" s="48" t="str">
        <f t="shared" si="28"/>
        <v/>
      </c>
      <c r="AD28" s="48" t="str">
        <f t="shared" si="28"/>
        <v/>
      </c>
      <c r="AE28" s="48" t="str">
        <f t="shared" si="28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636" priority="328" operator="containsText" text="신품">
      <formula>NOT(ISERROR(SEARCH("신품",F7)))</formula>
    </cfRule>
    <cfRule type="containsText" dxfId="635" priority="329" operator="containsText" text="중고">
      <formula>NOT(ISERROR(SEARCH("중고",F7)))</formula>
    </cfRule>
  </conditionalFormatting>
  <conditionalFormatting sqref="I7:I9">
    <cfRule type="containsText" dxfId="634" priority="326" operator="containsText" text="신품">
      <formula>NOT(ISERROR(SEARCH("신품",I7)))</formula>
    </cfRule>
    <cfRule type="containsText" dxfId="633" priority="327" operator="containsText" text="중고">
      <formula>NOT(ISERROR(SEARCH("중고",I7)))</formula>
    </cfRule>
  </conditionalFormatting>
  <conditionalFormatting sqref="F10">
    <cfRule type="containsText" dxfId="632" priority="322" operator="containsText" text="신품">
      <formula>NOT(ISERROR(SEARCH("신품",F10)))</formula>
    </cfRule>
    <cfRule type="containsText" dxfId="631" priority="323" operator="containsText" text="중고">
      <formula>NOT(ISERROR(SEARCH("중고",F10)))</formula>
    </cfRule>
  </conditionalFormatting>
  <conditionalFormatting sqref="I10">
    <cfRule type="containsText" dxfId="630" priority="320" operator="containsText" text="신품">
      <formula>NOT(ISERROR(SEARCH("신품",I10)))</formula>
    </cfRule>
    <cfRule type="containsText" dxfId="629" priority="321" operator="containsText" text="중고">
      <formula>NOT(ISERROR(SEARCH("중고",I10)))</formula>
    </cfRule>
  </conditionalFormatting>
  <conditionalFormatting sqref="F11">
    <cfRule type="containsText" dxfId="628" priority="316" operator="containsText" text="신품">
      <formula>NOT(ISERROR(SEARCH("신품",F11)))</formula>
    </cfRule>
    <cfRule type="containsText" dxfId="627" priority="317" operator="containsText" text="중고">
      <formula>NOT(ISERROR(SEARCH("중고",F11)))</formula>
    </cfRule>
  </conditionalFormatting>
  <conditionalFormatting sqref="I11">
    <cfRule type="containsText" dxfId="626" priority="314" operator="containsText" text="신품">
      <formula>NOT(ISERROR(SEARCH("신품",I11)))</formula>
    </cfRule>
    <cfRule type="containsText" dxfId="625" priority="315" operator="containsText" text="중고">
      <formula>NOT(ISERROR(SEARCH("중고",I11)))</formula>
    </cfRule>
  </conditionalFormatting>
  <conditionalFormatting sqref="H20 F12">
    <cfRule type="containsText" dxfId="624" priority="310" operator="containsText" text="신품">
      <formula>NOT(ISERROR(SEARCH("신품",F12)))</formula>
    </cfRule>
    <cfRule type="containsText" dxfId="623" priority="311" operator="containsText" text="중고">
      <formula>NOT(ISERROR(SEARCH("중고",F12)))</formula>
    </cfRule>
  </conditionalFormatting>
  <conditionalFormatting sqref="I12">
    <cfRule type="containsText" dxfId="622" priority="308" operator="containsText" text="신품">
      <formula>NOT(ISERROR(SEARCH("신품",I12)))</formula>
    </cfRule>
    <cfRule type="containsText" dxfId="621" priority="309" operator="containsText" text="중고">
      <formula>NOT(ISERROR(SEARCH("중고",I12)))</formula>
    </cfRule>
  </conditionalFormatting>
  <conditionalFormatting sqref="D7:D28">
    <cfRule type="containsText" dxfId="620" priority="300" operator="containsText" text="완료">
      <formula>NOT(ISERROR(SEARCH("완료",D7)))</formula>
    </cfRule>
    <cfRule type="containsText" dxfId="619" priority="301" operator="containsText" text="중단">
      <formula>NOT(ISERROR(SEARCH("중단",D7)))</formula>
    </cfRule>
  </conditionalFormatting>
  <conditionalFormatting sqref="D11">
    <cfRule type="containsText" dxfId="618" priority="298" operator="containsText" text="완료">
      <formula>NOT(ISERROR(SEARCH("완료",D11)))</formula>
    </cfRule>
    <cfRule type="containsText" dxfId="617" priority="299" operator="containsText" text="중단">
      <formula>NOT(ISERROR(SEARCH("중단",D11)))</formula>
    </cfRule>
  </conditionalFormatting>
  <conditionalFormatting sqref="D8:D28">
    <cfRule type="containsText" dxfId="616" priority="296" operator="containsText" text="완료">
      <formula>NOT(ISERROR(SEARCH("완료",D8)))</formula>
    </cfRule>
    <cfRule type="containsText" dxfId="615" priority="297" operator="containsText" text="중단">
      <formula>NOT(ISERROR(SEARCH("중단",D8)))</formula>
    </cfRule>
  </conditionalFormatting>
  <conditionalFormatting sqref="D8:D28">
    <cfRule type="containsText" dxfId="614" priority="294" operator="containsText" text="완료">
      <formula>NOT(ISERROR(SEARCH("완료",D8)))</formula>
    </cfRule>
    <cfRule type="containsText" dxfId="613" priority="295" operator="containsText" text="중단">
      <formula>NOT(ISERROR(SEARCH("중단",D8)))</formula>
    </cfRule>
  </conditionalFormatting>
  <conditionalFormatting sqref="D7:D29">
    <cfRule type="containsText" dxfId="612" priority="293" operator="containsText" text="진행중">
      <formula>NOT(ISERROR(SEARCH("진행중",D7)))</formula>
    </cfRule>
  </conditionalFormatting>
  <conditionalFormatting sqref="F14:F28">
    <cfRule type="containsText" dxfId="611" priority="284" operator="containsText" text="완료">
      <formula>NOT(ISERROR(SEARCH("완료",F14)))</formula>
    </cfRule>
    <cfRule type="containsText" dxfId="610" priority="285" operator="containsText" text="중단">
      <formula>NOT(ISERROR(SEARCH("중단",F14)))</formula>
    </cfRule>
  </conditionalFormatting>
  <conditionalFormatting sqref="F14:F28">
    <cfRule type="containsText" dxfId="609" priority="282" operator="containsText" text="완료">
      <formula>NOT(ISERROR(SEARCH("완료",F14)))</formula>
    </cfRule>
    <cfRule type="containsText" dxfId="608" priority="283" operator="containsText" text="중단">
      <formula>NOT(ISERROR(SEARCH("중단",F14)))</formula>
    </cfRule>
  </conditionalFormatting>
  <conditionalFormatting sqref="F14:F28">
    <cfRule type="containsText" dxfId="607" priority="280" operator="containsText" text="완료">
      <formula>NOT(ISERROR(SEARCH("완료",F14)))</formula>
    </cfRule>
    <cfRule type="containsText" dxfId="606" priority="281" operator="containsText" text="중단">
      <formula>NOT(ISERROR(SEARCH("중단",F14)))</formula>
    </cfRule>
  </conditionalFormatting>
  <conditionalFormatting sqref="F14:F28">
    <cfRule type="containsText" dxfId="605" priority="279" operator="containsText" text="진행중">
      <formula>NOT(ISERROR(SEARCH("진행중",F14)))</formula>
    </cfRule>
  </conditionalFormatting>
  <conditionalFormatting sqref="N8:N28">
    <cfRule type="containsText" dxfId="604" priority="158" operator="containsText" text="완료">
      <formula>NOT(ISERROR(SEARCH("완료",N8)))</formula>
    </cfRule>
    <cfRule type="containsText" dxfId="603" priority="159" operator="containsText" text="중단">
      <formula>NOT(ISERROR(SEARCH("중단",N8)))</formula>
    </cfRule>
  </conditionalFormatting>
  <conditionalFormatting sqref="N8:N28">
    <cfRule type="containsText" dxfId="602" priority="156" operator="containsText" text="완료">
      <formula>NOT(ISERROR(SEARCH("완료",N8)))</formula>
    </cfRule>
    <cfRule type="containsText" dxfId="601" priority="157" operator="containsText" text="중단">
      <formula>NOT(ISERROR(SEARCH("중단",N8)))</formula>
    </cfRule>
  </conditionalFormatting>
  <conditionalFormatting sqref="K8:K17">
    <cfRule type="containsText" dxfId="600" priority="130" operator="containsText" text="완료">
      <formula>NOT(ISERROR(SEARCH("완료",K8)))</formula>
    </cfRule>
    <cfRule type="containsText" dxfId="599" priority="131" operator="containsText" text="중단">
      <formula>NOT(ISERROR(SEARCH("중단",K8)))</formula>
    </cfRule>
  </conditionalFormatting>
  <conditionalFormatting sqref="K8:K17">
    <cfRule type="containsText" dxfId="598" priority="128" operator="containsText" text="완료">
      <formula>NOT(ISERROR(SEARCH("완료",K8)))</formula>
    </cfRule>
    <cfRule type="containsText" dxfId="597" priority="129" operator="containsText" text="중단">
      <formula>NOT(ISERROR(SEARCH("중단",K8)))</formula>
    </cfRule>
  </conditionalFormatting>
  <conditionalFormatting sqref="L8:L17">
    <cfRule type="containsText" dxfId="596" priority="123" operator="containsText" text="완료">
      <formula>NOT(ISERROR(SEARCH("완료",L8)))</formula>
    </cfRule>
    <cfRule type="containsText" dxfId="595" priority="124" operator="containsText" text="중단">
      <formula>NOT(ISERROR(SEARCH("중단",L8)))</formula>
    </cfRule>
  </conditionalFormatting>
  <conditionalFormatting sqref="L8:L17">
    <cfRule type="containsText" dxfId="594" priority="121" operator="containsText" text="완료">
      <formula>NOT(ISERROR(SEARCH("완료",L8)))</formula>
    </cfRule>
    <cfRule type="containsText" dxfId="593" priority="122" operator="containsText" text="중단">
      <formula>NOT(ISERROR(SEARCH("중단",L8)))</formula>
    </cfRule>
  </conditionalFormatting>
  <conditionalFormatting sqref="M8:M28">
    <cfRule type="containsText" dxfId="592" priority="116" operator="containsText" text="완료">
      <formula>NOT(ISERROR(SEARCH("완료",M8)))</formula>
    </cfRule>
    <cfRule type="containsText" dxfId="591" priority="117" operator="containsText" text="중단">
      <formula>NOT(ISERROR(SEARCH("중단",M8)))</formula>
    </cfRule>
  </conditionalFormatting>
  <conditionalFormatting sqref="M8:M28">
    <cfRule type="containsText" dxfId="590" priority="114" operator="containsText" text="완료">
      <formula>NOT(ISERROR(SEARCH("완료",M8)))</formula>
    </cfRule>
    <cfRule type="containsText" dxfId="589" priority="115" operator="containsText" text="중단">
      <formula>NOT(ISERROR(SEARCH("중단",M8)))</formula>
    </cfRule>
  </conditionalFormatting>
  <conditionalFormatting sqref="I14:I28">
    <cfRule type="containsText" dxfId="588" priority="221" operator="containsText" text="완료">
      <formula>NOT(ISERROR(SEARCH("완료",I14)))</formula>
    </cfRule>
    <cfRule type="containsText" dxfId="587" priority="222" operator="containsText" text="중단">
      <formula>NOT(ISERROR(SEARCH("중단",I14)))</formula>
    </cfRule>
  </conditionalFormatting>
  <conditionalFormatting sqref="I14:I28">
    <cfRule type="containsText" dxfId="586" priority="219" operator="containsText" text="완료">
      <formula>NOT(ISERROR(SEARCH("완료",I14)))</formula>
    </cfRule>
    <cfRule type="containsText" dxfId="585" priority="220" operator="containsText" text="중단">
      <formula>NOT(ISERROR(SEARCH("중단",I14)))</formula>
    </cfRule>
  </conditionalFormatting>
  <conditionalFormatting sqref="I14:I28">
    <cfRule type="containsText" dxfId="584" priority="217" operator="containsText" text="완료">
      <formula>NOT(ISERROR(SEARCH("완료",I14)))</formula>
    </cfRule>
    <cfRule type="containsText" dxfId="583" priority="218" operator="containsText" text="중단">
      <formula>NOT(ISERROR(SEARCH("중단",I14)))</formula>
    </cfRule>
  </conditionalFormatting>
  <conditionalFormatting sqref="I14:I28">
    <cfRule type="containsText" dxfId="582" priority="216" operator="containsText" text="진행중">
      <formula>NOT(ISERROR(SEARCH("진행중",I14)))</formula>
    </cfRule>
  </conditionalFormatting>
  <conditionalFormatting sqref="F13">
    <cfRule type="containsText" dxfId="581" priority="214" operator="containsText" text="완료">
      <formula>NOT(ISERROR(SEARCH("완료",F13)))</formula>
    </cfRule>
    <cfRule type="containsText" dxfId="580" priority="215" operator="containsText" text="중단">
      <formula>NOT(ISERROR(SEARCH("중단",F13)))</formula>
    </cfRule>
  </conditionalFormatting>
  <conditionalFormatting sqref="F13">
    <cfRule type="containsText" dxfId="579" priority="212" operator="containsText" text="완료">
      <formula>NOT(ISERROR(SEARCH("완료",F13)))</formula>
    </cfRule>
    <cfRule type="containsText" dxfId="578" priority="213" operator="containsText" text="중단">
      <formula>NOT(ISERROR(SEARCH("중단",F13)))</formula>
    </cfRule>
  </conditionalFormatting>
  <conditionalFormatting sqref="F13">
    <cfRule type="containsText" dxfId="577" priority="210" operator="containsText" text="완료">
      <formula>NOT(ISERROR(SEARCH("완료",F13)))</formula>
    </cfRule>
    <cfRule type="containsText" dxfId="576" priority="211" operator="containsText" text="중단">
      <formula>NOT(ISERROR(SEARCH("중단",F13)))</formula>
    </cfRule>
  </conditionalFormatting>
  <conditionalFormatting sqref="F13">
    <cfRule type="containsText" dxfId="575" priority="209" operator="containsText" text="진행중">
      <formula>NOT(ISERROR(SEARCH("진행중",F13)))</formula>
    </cfRule>
  </conditionalFormatting>
  <conditionalFormatting sqref="I13">
    <cfRule type="containsText" dxfId="574" priority="207" operator="containsText" text="완료">
      <formula>NOT(ISERROR(SEARCH("완료",I13)))</formula>
    </cfRule>
    <cfRule type="containsText" dxfId="573" priority="208" operator="containsText" text="중단">
      <formula>NOT(ISERROR(SEARCH("중단",I13)))</formula>
    </cfRule>
  </conditionalFormatting>
  <conditionalFormatting sqref="I13">
    <cfRule type="containsText" dxfId="572" priority="205" operator="containsText" text="완료">
      <formula>NOT(ISERROR(SEARCH("완료",I13)))</formula>
    </cfRule>
    <cfRule type="containsText" dxfId="571" priority="206" operator="containsText" text="중단">
      <formula>NOT(ISERROR(SEARCH("중단",I13)))</formula>
    </cfRule>
  </conditionalFormatting>
  <conditionalFormatting sqref="I13">
    <cfRule type="containsText" dxfId="570" priority="203" operator="containsText" text="완료">
      <formula>NOT(ISERROR(SEARCH("완료",I13)))</formula>
    </cfRule>
    <cfRule type="containsText" dxfId="569" priority="204" operator="containsText" text="중단">
      <formula>NOT(ISERROR(SEARCH("중단",I13)))</formula>
    </cfRule>
  </conditionalFormatting>
  <conditionalFormatting sqref="I13">
    <cfRule type="containsText" dxfId="568" priority="202" operator="containsText" text="진행중">
      <formula>NOT(ISERROR(SEARCH("진행중",I13)))</formula>
    </cfRule>
  </conditionalFormatting>
  <conditionalFormatting sqref="E19:E28">
    <cfRule type="containsText" dxfId="567" priority="109" operator="containsText" text="완료">
      <formula>NOT(ISERROR(SEARCH("완료",E19)))</formula>
    </cfRule>
    <cfRule type="containsText" dxfId="566" priority="110" operator="containsText" text="중단">
      <formula>NOT(ISERROR(SEARCH("중단",E19)))</formula>
    </cfRule>
  </conditionalFormatting>
  <conditionalFormatting sqref="E19:E28">
    <cfRule type="containsText" dxfId="565" priority="107" operator="containsText" text="완료">
      <formula>NOT(ISERROR(SEARCH("완료",E19)))</formula>
    </cfRule>
    <cfRule type="containsText" dxfId="564" priority="108" operator="containsText" text="중단">
      <formula>NOT(ISERROR(SEARCH("중단",E19)))</formula>
    </cfRule>
  </conditionalFormatting>
  <conditionalFormatting sqref="E19:E28">
    <cfRule type="containsText" dxfId="563" priority="106" operator="containsText" text="진행중">
      <formula>NOT(ISERROR(SEARCH("진행중",E19)))</formula>
    </cfRule>
  </conditionalFormatting>
  <conditionalFormatting sqref="K18:K28">
    <cfRule type="containsText" dxfId="562" priority="193" operator="containsText" text="완료">
      <formula>NOT(ISERROR(SEARCH("완료",K18)))</formula>
    </cfRule>
    <cfRule type="containsText" dxfId="561" priority="194" operator="containsText" text="중단">
      <formula>NOT(ISERROR(SEARCH("중단",K18)))</formula>
    </cfRule>
  </conditionalFormatting>
  <conditionalFormatting sqref="K18:K28">
    <cfRule type="containsText" dxfId="560" priority="191" operator="containsText" text="완료">
      <formula>NOT(ISERROR(SEARCH("완료",K18)))</formula>
    </cfRule>
    <cfRule type="containsText" dxfId="559" priority="192" operator="containsText" text="중단">
      <formula>NOT(ISERROR(SEARCH("중단",K18)))</formula>
    </cfRule>
  </conditionalFormatting>
  <conditionalFormatting sqref="K18:K28">
    <cfRule type="containsText" dxfId="558" priority="189" operator="containsText" text="완료">
      <formula>NOT(ISERROR(SEARCH("완료",K18)))</formula>
    </cfRule>
    <cfRule type="containsText" dxfId="557" priority="190" operator="containsText" text="중단">
      <formula>NOT(ISERROR(SEARCH("중단",K18)))</formula>
    </cfRule>
  </conditionalFormatting>
  <conditionalFormatting sqref="K18:K28">
    <cfRule type="containsText" dxfId="556" priority="188" operator="containsText" text="진행중">
      <formula>NOT(ISERROR(SEARCH("진행중",K18)))</formula>
    </cfRule>
  </conditionalFormatting>
  <conditionalFormatting sqref="L18:L28">
    <cfRule type="containsText" dxfId="555" priority="179" operator="containsText" text="완료">
      <formula>NOT(ISERROR(SEARCH("완료",L18)))</formula>
    </cfRule>
    <cfRule type="containsText" dxfId="554" priority="180" operator="containsText" text="중단">
      <formula>NOT(ISERROR(SEARCH("중단",L18)))</formula>
    </cfRule>
  </conditionalFormatting>
  <conditionalFormatting sqref="L18:L28">
    <cfRule type="containsText" dxfId="553" priority="177" operator="containsText" text="완료">
      <formula>NOT(ISERROR(SEARCH("완료",L18)))</formula>
    </cfRule>
    <cfRule type="containsText" dxfId="552" priority="178" operator="containsText" text="중단">
      <formula>NOT(ISERROR(SEARCH("중단",L18)))</formula>
    </cfRule>
  </conditionalFormatting>
  <conditionalFormatting sqref="L18:L28">
    <cfRule type="containsText" dxfId="551" priority="175" operator="containsText" text="완료">
      <formula>NOT(ISERROR(SEARCH("완료",L18)))</formula>
    </cfRule>
    <cfRule type="containsText" dxfId="550" priority="176" operator="containsText" text="중단">
      <formula>NOT(ISERROR(SEARCH("중단",L18)))</formula>
    </cfRule>
  </conditionalFormatting>
  <conditionalFormatting sqref="L18:L28">
    <cfRule type="containsText" dxfId="549" priority="174" operator="containsText" text="진행중">
      <formula>NOT(ISERROR(SEARCH("진행중",L18)))</formula>
    </cfRule>
  </conditionalFormatting>
  <conditionalFormatting sqref="N8:N28">
    <cfRule type="containsText" dxfId="548" priority="154" operator="containsText" text="완료">
      <formula>NOT(ISERROR(SEARCH("완료",N8)))</formula>
    </cfRule>
    <cfRule type="containsText" dxfId="547" priority="155" operator="containsText" text="중단">
      <formula>NOT(ISERROR(SEARCH("중단",N8)))</formula>
    </cfRule>
  </conditionalFormatting>
  <conditionalFormatting sqref="N8:N28">
    <cfRule type="containsText" dxfId="546" priority="153" operator="containsText" text="진행중">
      <formula>NOT(ISERROR(SEARCH("진행중",N8)))</formula>
    </cfRule>
  </conditionalFormatting>
  <conditionalFormatting sqref="K8:K17">
    <cfRule type="containsText" dxfId="545" priority="126" operator="containsText" text="완료">
      <formula>NOT(ISERROR(SEARCH("완료",K8)))</formula>
    </cfRule>
    <cfRule type="containsText" dxfId="544" priority="127" operator="containsText" text="중단">
      <formula>NOT(ISERROR(SEARCH("중단",K8)))</formula>
    </cfRule>
  </conditionalFormatting>
  <conditionalFormatting sqref="K8:K17">
    <cfRule type="containsText" dxfId="543" priority="125" operator="containsText" text="진행중">
      <formula>NOT(ISERROR(SEARCH("진행중",K8)))</formula>
    </cfRule>
  </conditionalFormatting>
  <conditionalFormatting sqref="L8:L17">
    <cfRule type="containsText" dxfId="542" priority="119" operator="containsText" text="완료">
      <formula>NOT(ISERROR(SEARCH("완료",L8)))</formula>
    </cfRule>
    <cfRule type="containsText" dxfId="541" priority="120" operator="containsText" text="중단">
      <formula>NOT(ISERROR(SEARCH("중단",L8)))</formula>
    </cfRule>
  </conditionalFormatting>
  <conditionalFormatting sqref="L8:L17">
    <cfRule type="containsText" dxfId="540" priority="118" operator="containsText" text="진행중">
      <formula>NOT(ISERROR(SEARCH("진행중",L8)))</formula>
    </cfRule>
  </conditionalFormatting>
  <conditionalFormatting sqref="M8:M28">
    <cfRule type="containsText" dxfId="539" priority="112" operator="containsText" text="완료">
      <formula>NOT(ISERROR(SEARCH("완료",M8)))</formula>
    </cfRule>
    <cfRule type="containsText" dxfId="538" priority="113" operator="containsText" text="중단">
      <formula>NOT(ISERROR(SEARCH("중단",M8)))</formula>
    </cfRule>
  </conditionalFormatting>
  <conditionalFormatting sqref="M8:M28">
    <cfRule type="containsText" dxfId="537" priority="111" operator="containsText" text="진행중">
      <formula>NOT(ISERROR(SEARCH("진행중",M8)))</formula>
    </cfRule>
  </conditionalFormatting>
  <conditionalFormatting sqref="G8:G19">
    <cfRule type="containsText" dxfId="536" priority="104" operator="containsText" text="완료">
      <formula>NOT(ISERROR(SEARCH("완료",G8)))</formula>
    </cfRule>
    <cfRule type="containsText" dxfId="535" priority="105" operator="containsText" text="중단">
      <formula>NOT(ISERROR(SEARCH("중단",G8)))</formula>
    </cfRule>
  </conditionalFormatting>
  <conditionalFormatting sqref="G8:G19">
    <cfRule type="containsText" dxfId="534" priority="102" operator="containsText" text="완료">
      <formula>NOT(ISERROR(SEARCH("완료",G8)))</formula>
    </cfRule>
    <cfRule type="containsText" dxfId="533" priority="103" operator="containsText" text="중단">
      <formula>NOT(ISERROR(SEARCH("중단",G8)))</formula>
    </cfRule>
  </conditionalFormatting>
  <conditionalFormatting sqref="G8:G19">
    <cfRule type="containsText" dxfId="532" priority="100" operator="containsText" text="완료">
      <formula>NOT(ISERROR(SEARCH("완료",G8)))</formula>
    </cfRule>
    <cfRule type="containsText" dxfId="531" priority="101" operator="containsText" text="중단">
      <formula>NOT(ISERROR(SEARCH("중단",G8)))</formula>
    </cfRule>
  </conditionalFormatting>
  <conditionalFormatting sqref="G8:G19">
    <cfRule type="containsText" dxfId="530" priority="99" operator="containsText" text="진행중">
      <formula>NOT(ISERROR(SEARCH("진행중",G8)))</formula>
    </cfRule>
  </conditionalFormatting>
  <conditionalFormatting sqref="H8:H19">
    <cfRule type="containsText" dxfId="529" priority="97" operator="containsText" text="완료">
      <formula>NOT(ISERROR(SEARCH("완료",H8)))</formula>
    </cfRule>
    <cfRule type="containsText" dxfId="528" priority="98" operator="containsText" text="중단">
      <formula>NOT(ISERROR(SEARCH("중단",H8)))</formula>
    </cfRule>
  </conditionalFormatting>
  <conditionalFormatting sqref="H8:H19">
    <cfRule type="containsText" dxfId="527" priority="95" operator="containsText" text="완료">
      <formula>NOT(ISERROR(SEARCH("완료",H8)))</formula>
    </cfRule>
    <cfRule type="containsText" dxfId="526" priority="96" operator="containsText" text="중단">
      <formula>NOT(ISERROR(SEARCH("중단",H8)))</formula>
    </cfRule>
  </conditionalFormatting>
  <conditionalFormatting sqref="H8:H19">
    <cfRule type="containsText" dxfId="525" priority="93" operator="containsText" text="완료">
      <formula>NOT(ISERROR(SEARCH("완료",H8)))</formula>
    </cfRule>
    <cfRule type="containsText" dxfId="524" priority="94" operator="containsText" text="중단">
      <formula>NOT(ISERROR(SEARCH("중단",H8)))</formula>
    </cfRule>
  </conditionalFormatting>
  <conditionalFormatting sqref="H8:H19">
    <cfRule type="containsText" dxfId="523" priority="92" operator="containsText" text="진행중">
      <formula>NOT(ISERROR(SEARCH("진행중",H8)))</formula>
    </cfRule>
  </conditionalFormatting>
  <conditionalFormatting sqref="Q20:Q28">
    <cfRule type="containsText" dxfId="522" priority="70" operator="containsText" text="완료">
      <formula>NOT(ISERROR(SEARCH("완료",Q20)))</formula>
    </cfRule>
    <cfRule type="containsText" dxfId="521" priority="71" operator="containsText" text="중단">
      <formula>NOT(ISERROR(SEARCH("중단",Q20)))</formula>
    </cfRule>
  </conditionalFormatting>
  <conditionalFormatting sqref="Q20:Q28">
    <cfRule type="containsText" dxfId="520" priority="68" operator="containsText" text="완료">
      <formula>NOT(ISERROR(SEARCH("완료",Q20)))</formula>
    </cfRule>
    <cfRule type="containsText" dxfId="519" priority="69" operator="containsText" text="중단">
      <formula>NOT(ISERROR(SEARCH("중단",Q20)))</formula>
    </cfRule>
  </conditionalFormatting>
  <conditionalFormatting sqref="Q20:Q28">
    <cfRule type="containsText" dxfId="518" priority="67" operator="containsText" text="진행중">
      <formula>NOT(ISERROR(SEARCH("진행중",Q20)))</formula>
    </cfRule>
  </conditionalFormatting>
  <conditionalFormatting sqref="R20:R28">
    <cfRule type="containsText" dxfId="517" priority="65" operator="containsText" text="완료">
      <formula>NOT(ISERROR(SEARCH("완료",R20)))</formula>
    </cfRule>
    <cfRule type="containsText" dxfId="516" priority="66" operator="containsText" text="중단">
      <formula>NOT(ISERROR(SEARCH("중단",R20)))</formula>
    </cfRule>
  </conditionalFormatting>
  <conditionalFormatting sqref="R20:R28">
    <cfRule type="containsText" dxfId="515" priority="63" operator="containsText" text="완료">
      <formula>NOT(ISERROR(SEARCH("완료",R20)))</formula>
    </cfRule>
    <cfRule type="containsText" dxfId="514" priority="64" operator="containsText" text="중단">
      <formula>NOT(ISERROR(SEARCH("중단",R20)))</formula>
    </cfRule>
  </conditionalFormatting>
  <conditionalFormatting sqref="R20:R28">
    <cfRule type="containsText" dxfId="513" priority="62" operator="containsText" text="진행중">
      <formula>NOT(ISERROR(SEARCH("진행중",R20)))</formula>
    </cfRule>
  </conditionalFormatting>
  <conditionalFormatting sqref="S20:S28">
    <cfRule type="containsText" dxfId="512" priority="60" operator="containsText" text="완료">
      <formula>NOT(ISERROR(SEARCH("완료",S20)))</formula>
    </cfRule>
    <cfRule type="containsText" dxfId="511" priority="61" operator="containsText" text="중단">
      <formula>NOT(ISERROR(SEARCH("중단",S20)))</formula>
    </cfRule>
  </conditionalFormatting>
  <conditionalFormatting sqref="S20:S28">
    <cfRule type="containsText" dxfId="510" priority="58" operator="containsText" text="완료">
      <formula>NOT(ISERROR(SEARCH("완료",S20)))</formula>
    </cfRule>
    <cfRule type="containsText" dxfId="509" priority="59" operator="containsText" text="중단">
      <formula>NOT(ISERROR(SEARCH("중단",S20)))</formula>
    </cfRule>
  </conditionalFormatting>
  <conditionalFormatting sqref="S20:S28">
    <cfRule type="containsText" dxfId="508" priority="57" operator="containsText" text="진행중">
      <formula>NOT(ISERROR(SEARCH("진행중",S20)))</formula>
    </cfRule>
  </conditionalFormatting>
  <conditionalFormatting sqref="T20:T28">
    <cfRule type="containsText" dxfId="507" priority="55" operator="containsText" text="완료">
      <formula>NOT(ISERROR(SEARCH("완료",T20)))</formula>
    </cfRule>
    <cfRule type="containsText" dxfId="506" priority="56" operator="containsText" text="중단">
      <formula>NOT(ISERROR(SEARCH("중단",T20)))</formula>
    </cfRule>
  </conditionalFormatting>
  <conditionalFormatting sqref="T20:T28">
    <cfRule type="containsText" dxfId="505" priority="53" operator="containsText" text="완료">
      <formula>NOT(ISERROR(SEARCH("완료",T20)))</formula>
    </cfRule>
    <cfRule type="containsText" dxfId="504" priority="54" operator="containsText" text="중단">
      <formula>NOT(ISERROR(SEARCH("중단",T20)))</formula>
    </cfRule>
  </conditionalFormatting>
  <conditionalFormatting sqref="T20:T28">
    <cfRule type="containsText" dxfId="503" priority="52" operator="containsText" text="진행중">
      <formula>NOT(ISERROR(SEARCH("진행중",T20)))</formula>
    </cfRule>
  </conditionalFormatting>
  <conditionalFormatting sqref="U20:AC28">
    <cfRule type="containsText" dxfId="502" priority="50" operator="containsText" text="완료">
      <formula>NOT(ISERROR(SEARCH("완료",U20)))</formula>
    </cfRule>
    <cfRule type="containsText" dxfId="501" priority="51" operator="containsText" text="중단">
      <formula>NOT(ISERROR(SEARCH("중단",U20)))</formula>
    </cfRule>
  </conditionalFormatting>
  <conditionalFormatting sqref="U20:AC28">
    <cfRule type="containsText" dxfId="500" priority="48" operator="containsText" text="완료">
      <formula>NOT(ISERROR(SEARCH("완료",U20)))</formula>
    </cfRule>
    <cfRule type="containsText" dxfId="499" priority="49" operator="containsText" text="중단">
      <formula>NOT(ISERROR(SEARCH("중단",U20)))</formula>
    </cfRule>
  </conditionalFormatting>
  <conditionalFormatting sqref="U20:AC28">
    <cfRule type="containsText" dxfId="498" priority="47" operator="containsText" text="진행중">
      <formula>NOT(ISERROR(SEARCH("진행중",U20)))</formula>
    </cfRule>
  </conditionalFormatting>
  <conditionalFormatting sqref="AD20:AD28">
    <cfRule type="containsText" dxfId="497" priority="45" operator="containsText" text="완료">
      <formula>NOT(ISERROR(SEARCH("완료",AD20)))</formula>
    </cfRule>
    <cfRule type="containsText" dxfId="496" priority="46" operator="containsText" text="중단">
      <formula>NOT(ISERROR(SEARCH("중단",AD20)))</formula>
    </cfRule>
  </conditionalFormatting>
  <conditionalFormatting sqref="AD20:AD28">
    <cfRule type="containsText" dxfId="495" priority="43" operator="containsText" text="완료">
      <formula>NOT(ISERROR(SEARCH("완료",AD20)))</formula>
    </cfRule>
    <cfRule type="containsText" dxfId="494" priority="44" operator="containsText" text="중단">
      <formula>NOT(ISERROR(SEARCH("중단",AD20)))</formula>
    </cfRule>
  </conditionalFormatting>
  <conditionalFormatting sqref="AD20:AD28">
    <cfRule type="containsText" dxfId="493" priority="42" operator="containsText" text="진행중">
      <formula>NOT(ISERROR(SEARCH("진행중",AD20)))</formula>
    </cfRule>
  </conditionalFormatting>
  <conditionalFormatting sqref="AE20:AE28">
    <cfRule type="containsText" dxfId="492" priority="40" operator="containsText" text="완료">
      <formula>NOT(ISERROR(SEARCH("완료",AE20)))</formula>
    </cfRule>
    <cfRule type="containsText" dxfId="491" priority="41" operator="containsText" text="중단">
      <formula>NOT(ISERROR(SEARCH("중단",AE20)))</formula>
    </cfRule>
  </conditionalFormatting>
  <conditionalFormatting sqref="AE20:AE28">
    <cfRule type="containsText" dxfId="490" priority="38" operator="containsText" text="완료">
      <formula>NOT(ISERROR(SEARCH("완료",AE20)))</formula>
    </cfRule>
    <cfRule type="containsText" dxfId="489" priority="39" operator="containsText" text="중단">
      <formula>NOT(ISERROR(SEARCH("중단",AE20)))</formula>
    </cfRule>
  </conditionalFormatting>
  <conditionalFormatting sqref="AE20:AE28">
    <cfRule type="containsText" dxfId="488" priority="37" operator="containsText" text="진행중">
      <formula>NOT(ISERROR(SEARCH("진행중",AE20)))</formula>
    </cfRule>
  </conditionalFormatting>
  <conditionalFormatting sqref="A1:AG29">
    <cfRule type="containsText" dxfId="487" priority="36" operator="containsText" text="누락">
      <formula>NOT(ISERROR(SEARCH("누락",A1)))</formula>
    </cfRule>
  </conditionalFormatting>
  <conditionalFormatting sqref="Q19">
    <cfRule type="containsText" dxfId="486" priority="34" operator="containsText" text="완료">
      <formula>NOT(ISERROR(SEARCH("완료",Q19)))</formula>
    </cfRule>
    <cfRule type="containsText" dxfId="485" priority="35" operator="containsText" text="중단">
      <formula>NOT(ISERROR(SEARCH("중단",Q19)))</formula>
    </cfRule>
  </conditionalFormatting>
  <conditionalFormatting sqref="Q19">
    <cfRule type="containsText" dxfId="484" priority="32" operator="containsText" text="완료">
      <formula>NOT(ISERROR(SEARCH("완료",Q19)))</formula>
    </cfRule>
    <cfRule type="containsText" dxfId="483" priority="33" operator="containsText" text="중단">
      <formula>NOT(ISERROR(SEARCH("중단",Q19)))</formula>
    </cfRule>
  </conditionalFormatting>
  <conditionalFormatting sqref="Q19">
    <cfRule type="containsText" dxfId="482" priority="31" operator="containsText" text="진행중">
      <formula>NOT(ISERROR(SEARCH("진행중",Q19)))</formula>
    </cfRule>
  </conditionalFormatting>
  <conditionalFormatting sqref="R19">
    <cfRule type="containsText" dxfId="481" priority="29" operator="containsText" text="완료">
      <formula>NOT(ISERROR(SEARCH("완료",R19)))</formula>
    </cfRule>
    <cfRule type="containsText" dxfId="480" priority="30" operator="containsText" text="중단">
      <formula>NOT(ISERROR(SEARCH("중단",R19)))</formula>
    </cfRule>
  </conditionalFormatting>
  <conditionalFormatting sqref="R19">
    <cfRule type="containsText" dxfId="479" priority="27" operator="containsText" text="완료">
      <formula>NOT(ISERROR(SEARCH("완료",R19)))</formula>
    </cfRule>
    <cfRule type="containsText" dxfId="478" priority="28" operator="containsText" text="중단">
      <formula>NOT(ISERROR(SEARCH("중단",R19)))</formula>
    </cfRule>
  </conditionalFormatting>
  <conditionalFormatting sqref="R19">
    <cfRule type="containsText" dxfId="477" priority="26" operator="containsText" text="진행중">
      <formula>NOT(ISERROR(SEARCH("진행중",R19)))</formula>
    </cfRule>
  </conditionalFormatting>
  <conditionalFormatting sqref="S19">
    <cfRule type="containsText" dxfId="476" priority="24" operator="containsText" text="완료">
      <formula>NOT(ISERROR(SEARCH("완료",S19)))</formula>
    </cfRule>
    <cfRule type="containsText" dxfId="475" priority="25" operator="containsText" text="중단">
      <formula>NOT(ISERROR(SEARCH("중단",S19)))</formula>
    </cfRule>
  </conditionalFormatting>
  <conditionalFormatting sqref="S19">
    <cfRule type="containsText" dxfId="474" priority="22" operator="containsText" text="완료">
      <formula>NOT(ISERROR(SEARCH("완료",S19)))</formula>
    </cfRule>
    <cfRule type="containsText" dxfId="473" priority="23" operator="containsText" text="중단">
      <formula>NOT(ISERROR(SEARCH("중단",S19)))</formula>
    </cfRule>
  </conditionalFormatting>
  <conditionalFormatting sqref="S19">
    <cfRule type="containsText" dxfId="472" priority="21" operator="containsText" text="진행중">
      <formula>NOT(ISERROR(SEARCH("진행중",S19)))</formula>
    </cfRule>
  </conditionalFormatting>
  <conditionalFormatting sqref="T19">
    <cfRule type="containsText" dxfId="471" priority="19" operator="containsText" text="완료">
      <formula>NOT(ISERROR(SEARCH("완료",T19)))</formula>
    </cfRule>
    <cfRule type="containsText" dxfId="470" priority="20" operator="containsText" text="중단">
      <formula>NOT(ISERROR(SEARCH("중단",T19)))</formula>
    </cfRule>
  </conditionalFormatting>
  <conditionalFormatting sqref="T19">
    <cfRule type="containsText" dxfId="469" priority="17" operator="containsText" text="완료">
      <formula>NOT(ISERROR(SEARCH("완료",T19)))</formula>
    </cfRule>
    <cfRule type="containsText" dxfId="468" priority="18" operator="containsText" text="중단">
      <formula>NOT(ISERROR(SEARCH("중단",T19)))</formula>
    </cfRule>
  </conditionalFormatting>
  <conditionalFormatting sqref="T19">
    <cfRule type="containsText" dxfId="467" priority="16" operator="containsText" text="진행중">
      <formula>NOT(ISERROR(SEARCH("진행중",T19)))</formula>
    </cfRule>
  </conditionalFormatting>
  <conditionalFormatting sqref="U19:AC19">
    <cfRule type="containsText" dxfId="466" priority="14" operator="containsText" text="완료">
      <formula>NOT(ISERROR(SEARCH("완료",U19)))</formula>
    </cfRule>
    <cfRule type="containsText" dxfId="465" priority="15" operator="containsText" text="중단">
      <formula>NOT(ISERROR(SEARCH("중단",U19)))</formula>
    </cfRule>
  </conditionalFormatting>
  <conditionalFormatting sqref="U19:AC19">
    <cfRule type="containsText" dxfId="464" priority="12" operator="containsText" text="완료">
      <formula>NOT(ISERROR(SEARCH("완료",U19)))</formula>
    </cfRule>
    <cfRule type="containsText" dxfId="463" priority="13" operator="containsText" text="중단">
      <formula>NOT(ISERROR(SEARCH("중단",U19)))</formula>
    </cfRule>
  </conditionalFormatting>
  <conditionalFormatting sqref="U19:AC19">
    <cfRule type="containsText" dxfId="462" priority="11" operator="containsText" text="진행중">
      <formula>NOT(ISERROR(SEARCH("진행중",U19)))</formula>
    </cfRule>
  </conditionalFormatting>
  <conditionalFormatting sqref="AD19">
    <cfRule type="containsText" dxfId="461" priority="9" operator="containsText" text="완료">
      <formula>NOT(ISERROR(SEARCH("완료",AD19)))</formula>
    </cfRule>
    <cfRule type="containsText" dxfId="460" priority="10" operator="containsText" text="중단">
      <formula>NOT(ISERROR(SEARCH("중단",AD19)))</formula>
    </cfRule>
  </conditionalFormatting>
  <conditionalFormatting sqref="AD19">
    <cfRule type="containsText" dxfId="459" priority="7" operator="containsText" text="완료">
      <formula>NOT(ISERROR(SEARCH("완료",AD19)))</formula>
    </cfRule>
    <cfRule type="containsText" dxfId="458" priority="8" operator="containsText" text="중단">
      <formula>NOT(ISERROR(SEARCH("중단",AD19)))</formula>
    </cfRule>
  </conditionalFormatting>
  <conditionalFormatting sqref="AD19">
    <cfRule type="containsText" dxfId="457" priority="6" operator="containsText" text="진행중">
      <formula>NOT(ISERROR(SEARCH("진행중",AD19)))</formula>
    </cfRule>
  </conditionalFormatting>
  <conditionalFormatting sqref="AE19">
    <cfRule type="containsText" dxfId="456" priority="4" operator="containsText" text="완료">
      <formula>NOT(ISERROR(SEARCH("완료",AE19)))</formula>
    </cfRule>
    <cfRule type="containsText" dxfId="455" priority="5" operator="containsText" text="중단">
      <formula>NOT(ISERROR(SEARCH("중단",AE19)))</formula>
    </cfRule>
  </conditionalFormatting>
  <conditionalFormatting sqref="AE19">
    <cfRule type="containsText" dxfId="454" priority="2" operator="containsText" text="완료">
      <formula>NOT(ISERROR(SEARCH("완료",AE19)))</formula>
    </cfRule>
    <cfRule type="containsText" dxfId="453" priority="3" operator="containsText" text="중단">
      <formula>NOT(ISERROR(SEARCH("중단",AE19)))</formula>
    </cfRule>
  </conditionalFormatting>
  <conditionalFormatting sqref="AE19">
    <cfRule type="containsText" dxfId="452" priority="1" operator="containsText" text="진행중">
      <formula>NOT(ISERROR(SEARCH("진행중",AE19)))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/>
  </sheetPr>
  <dimension ref="A1:AP29"/>
  <sheetViews>
    <sheetView zoomScale="55" zoomScaleNormal="55" workbookViewId="0">
      <selection activeCell="F7" sqref="F7:I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11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67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4">IFERROR(IF(MOD($B12,5)=0, "스핀들유격: ","-" ),"-")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si="14"/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 t="shared" si="14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 t="shared" si="14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 t="shared" si="14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5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6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 t="shared" si="14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5"/>
        <v>3</v>
      </c>
      <c r="G16" s="49" t="str">
        <f t="shared" si="9"/>
        <v>-</v>
      </c>
      <c r="H16" s="49" t="str">
        <f t="shared" si="10"/>
        <v>-</v>
      </c>
      <c r="I16" s="49">
        <f t="shared" si="16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4"/>
        <v xml:space="preserve">스핀들유격: </v>
      </c>
      <c r="V16" s="7" t="str">
        <f t="shared" si="14"/>
        <v xml:space="preserve">스핀들유격: </v>
      </c>
      <c r="W16" s="7" t="str">
        <f t="shared" si="14"/>
        <v xml:space="preserve">스핀들유격: </v>
      </c>
      <c r="X16" s="7" t="str">
        <f t="shared" si="14"/>
        <v xml:space="preserve">스핀들유격: </v>
      </c>
      <c r="Y16" s="7" t="str">
        <f t="shared" si="14"/>
        <v xml:space="preserve">스핀들유격: </v>
      </c>
      <c r="Z16" s="7" t="str">
        <f t="shared" si="14"/>
        <v xml:space="preserve">스핀들유격: </v>
      </c>
      <c r="AA16" s="7" t="str">
        <f t="shared" si="14"/>
        <v xml:space="preserve">스핀들유격: </v>
      </c>
      <c r="AB16" s="7" t="str">
        <f t="shared" si="14"/>
        <v xml:space="preserve">스핀들유격: </v>
      </c>
      <c r="AC16" s="7" t="str">
        <f t="shared" si="14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5"/>
        <v>4</v>
      </c>
      <c r="G17" s="49" t="str">
        <f t="shared" si="9"/>
        <v>-</v>
      </c>
      <c r="H17" s="49" t="str">
        <f t="shared" si="10"/>
        <v>-</v>
      </c>
      <c r="I17" s="49">
        <f t="shared" si="16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 t="shared" si="14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5"/>
        <v>5</v>
      </c>
      <c r="G18" s="49" t="str">
        <f t="shared" si="9"/>
        <v>-</v>
      </c>
      <c r="H18" s="49" t="str">
        <f t="shared" si="10"/>
        <v>-</v>
      </c>
      <c r="I18" s="49">
        <f t="shared" si="16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1" si="17">IF(MOD($B18,5)=0, "스핀들유격: ","-" )</f>
        <v>-</v>
      </c>
      <c r="R18" s="7" t="str">
        <f t="shared" si="17"/>
        <v>-</v>
      </c>
      <c r="S18" s="7" t="str">
        <f t="shared" si="17"/>
        <v>-</v>
      </c>
      <c r="T18" s="7" t="str">
        <f t="shared" si="17"/>
        <v>-</v>
      </c>
      <c r="U18" s="7" t="str">
        <f t="shared" ref="U18:AB21" si="18">IF(MOD($B18,5)=0, "000-000","-" )</f>
        <v>-</v>
      </c>
      <c r="V18" s="7" t="str">
        <f t="shared" si="18"/>
        <v>-</v>
      </c>
      <c r="W18" s="7" t="str">
        <f t="shared" si="18"/>
        <v>-</v>
      </c>
      <c r="X18" s="7" t="str">
        <f t="shared" si="18"/>
        <v>-</v>
      </c>
      <c r="Y18" s="7" t="str">
        <f t="shared" si="18"/>
        <v>-</v>
      </c>
      <c r="Z18" s="7" t="str">
        <f t="shared" si="18"/>
        <v>-</v>
      </c>
      <c r="AA18" s="7" t="str">
        <f t="shared" si="18"/>
        <v>-</v>
      </c>
      <c r="AB18" s="7" t="str">
        <f t="shared" si="18"/>
        <v>-</v>
      </c>
      <c r="AC18" s="7" t="str">
        <f t="shared" ref="AC18:AC21" si="19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5"/>
        <v>6</v>
      </c>
      <c r="G19" s="49" t="str">
        <f t="shared" si="9"/>
        <v>-</v>
      </c>
      <c r="H19" s="49" t="str">
        <f t="shared" si="10"/>
        <v>-</v>
      </c>
      <c r="I19" s="49">
        <f t="shared" si="16"/>
        <v>6</v>
      </c>
      <c r="J19" s="1"/>
      <c r="K19" s="50" t="str">
        <f t="shared" ref="K19:K21" si="20">IF(NOT(LEN($I19)=0),K18,"")</f>
        <v>VITA</v>
      </c>
      <c r="L19" s="50" t="str">
        <f t="shared" ref="L19:L21" si="21">IF(NOT(LEN($I19)=0),L18,"")</f>
        <v>MARK II</v>
      </c>
      <c r="M19" s="50">
        <f t="shared" ref="M19:M21" si="22">IF(NOT(LEN($I19)=0),M18,"")</f>
        <v>160</v>
      </c>
      <c r="N19" s="50" t="str">
        <f t="shared" ref="N19:N21" si="23">IF(NOT(LEN($I19)=0),N18,"")</f>
        <v>-</v>
      </c>
      <c r="O19" s="24">
        <f>IF(LEN(A19)&gt;0, 종합!$C$27, "")</f>
        <v>2.2599999999999998</v>
      </c>
      <c r="P19" s="1"/>
      <c r="Q19" s="7" t="str">
        <f t="shared" si="17"/>
        <v>-</v>
      </c>
      <c r="R19" s="7" t="str">
        <f t="shared" si="17"/>
        <v>-</v>
      </c>
      <c r="S19" s="7" t="str">
        <f t="shared" si="17"/>
        <v>-</v>
      </c>
      <c r="T19" s="7" t="str">
        <f t="shared" si="17"/>
        <v>-</v>
      </c>
      <c r="U19" s="7" t="str">
        <f t="shared" si="18"/>
        <v>-</v>
      </c>
      <c r="V19" s="7" t="str">
        <f t="shared" si="18"/>
        <v>-</v>
      </c>
      <c r="W19" s="7" t="str">
        <f t="shared" si="18"/>
        <v>-</v>
      </c>
      <c r="X19" s="7" t="str">
        <f t="shared" si="18"/>
        <v>-</v>
      </c>
      <c r="Y19" s="7" t="str">
        <f t="shared" si="18"/>
        <v>-</v>
      </c>
      <c r="Z19" s="7" t="str">
        <f t="shared" si="18"/>
        <v>-</v>
      </c>
      <c r="AA19" s="7" t="str">
        <f t="shared" si="18"/>
        <v>-</v>
      </c>
      <c r="AB19" s="7" t="str">
        <f t="shared" si="18"/>
        <v>-</v>
      </c>
      <c r="AC19" s="7" t="str">
        <f t="shared" si="19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5"/>
        <v>7</v>
      </c>
      <c r="G20" s="49" t="str">
        <f t="shared" ref="G20" si="24">IF(NOT(LEN($I20)=0),G19,"")</f>
        <v>-</v>
      </c>
      <c r="H20" s="49" t="str">
        <f t="shared" ref="H20" si="25">IF(NOT(LEN($I20)=0),H19,"")</f>
        <v>-</v>
      </c>
      <c r="I20" s="49">
        <f t="shared" si="16"/>
        <v>7</v>
      </c>
      <c r="J20" s="1"/>
      <c r="K20" s="50" t="str">
        <f t="shared" si="20"/>
        <v>VITA</v>
      </c>
      <c r="L20" s="50" t="str">
        <f t="shared" si="21"/>
        <v>MARK II</v>
      </c>
      <c r="M20" s="50">
        <f t="shared" si="22"/>
        <v>160</v>
      </c>
      <c r="N20" s="50" t="str">
        <f t="shared" si="23"/>
        <v>-</v>
      </c>
      <c r="O20" s="24">
        <f>IF(LEN(A20)&gt;0, 종합!$C$27, "")</f>
        <v>2.2599999999999998</v>
      </c>
      <c r="P20" s="1"/>
      <c r="Q20" s="7" t="str">
        <f t="shared" si="17"/>
        <v>-</v>
      </c>
      <c r="R20" s="7" t="str">
        <f t="shared" si="17"/>
        <v>-</v>
      </c>
      <c r="S20" s="7" t="str">
        <f t="shared" si="17"/>
        <v>-</v>
      </c>
      <c r="T20" s="7" t="str">
        <f t="shared" si="17"/>
        <v>-</v>
      </c>
      <c r="U20" s="7" t="str">
        <f t="shared" si="18"/>
        <v>-</v>
      </c>
      <c r="V20" s="7" t="str">
        <f t="shared" si="18"/>
        <v>-</v>
      </c>
      <c r="W20" s="7" t="str">
        <f t="shared" si="18"/>
        <v>-</v>
      </c>
      <c r="X20" s="7" t="str">
        <f t="shared" si="18"/>
        <v>-</v>
      </c>
      <c r="Y20" s="7" t="str">
        <f t="shared" si="18"/>
        <v>-</v>
      </c>
      <c r="Z20" s="7" t="str">
        <f t="shared" si="18"/>
        <v>-</v>
      </c>
      <c r="AA20" s="7" t="str">
        <f t="shared" si="18"/>
        <v>-</v>
      </c>
      <c r="AB20" s="7" t="str">
        <f t="shared" si="18"/>
        <v>-</v>
      </c>
      <c r="AC20" s="7" t="str">
        <f t="shared" si="19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tr">
        <f>IF(NOT(LEN(B21)=0),IF(LEN(D28)=0,"진행중","완료"),"")</f>
        <v>진행중</v>
      </c>
      <c r="E21" s="49">
        <v>23</v>
      </c>
      <c r="F21" s="49">
        <f t="shared" si="15"/>
        <v>8</v>
      </c>
      <c r="G21" s="53"/>
      <c r="H21" s="53"/>
      <c r="I21" s="49">
        <f t="shared" si="16"/>
        <v>8</v>
      </c>
      <c r="K21" s="50" t="str">
        <f t="shared" si="20"/>
        <v>VITA</v>
      </c>
      <c r="L21" s="50" t="str">
        <f t="shared" si="21"/>
        <v>MARK II</v>
      </c>
      <c r="M21" s="50">
        <f t="shared" si="22"/>
        <v>160</v>
      </c>
      <c r="N21" s="50" t="str">
        <f t="shared" si="23"/>
        <v>-</v>
      </c>
      <c r="O21" s="24">
        <f>IF(LEN(A21)&gt;0, 종합!$C$27, "")</f>
        <v>2.2599999999999998</v>
      </c>
      <c r="Q21" s="7" t="str">
        <f t="shared" si="17"/>
        <v xml:space="preserve">스핀들유격: </v>
      </c>
      <c r="R21" s="7" t="str">
        <f t="shared" si="17"/>
        <v xml:space="preserve">스핀들유격: </v>
      </c>
      <c r="S21" s="7" t="str">
        <f t="shared" si="17"/>
        <v xml:space="preserve">스핀들유격: </v>
      </c>
      <c r="T21" s="7" t="str">
        <f t="shared" si="17"/>
        <v xml:space="preserve">스핀들유격: </v>
      </c>
      <c r="U21" s="7" t="str">
        <f t="shared" si="18"/>
        <v>000-000</v>
      </c>
      <c r="V21" s="7" t="str">
        <f t="shared" si="18"/>
        <v>000-000</v>
      </c>
      <c r="W21" s="7" t="str">
        <f t="shared" si="18"/>
        <v>000-000</v>
      </c>
      <c r="X21" s="7" t="str">
        <f t="shared" si="18"/>
        <v>000-000</v>
      </c>
      <c r="Y21" s="7" t="str">
        <f t="shared" si="18"/>
        <v>000-000</v>
      </c>
      <c r="Z21" s="7" t="str">
        <f t="shared" si="18"/>
        <v>000-000</v>
      </c>
      <c r="AA21" s="7" t="str">
        <f t="shared" si="18"/>
        <v>000-000</v>
      </c>
      <c r="AB21" s="7" t="str">
        <f t="shared" si="18"/>
        <v>000-000</v>
      </c>
      <c r="AC21" s="7" t="str">
        <f t="shared" si="19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6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7">IF(NOT(LEN($A28)=0),"누락","")</f>
        <v/>
      </c>
      <c r="R28" s="48" t="str">
        <f t="shared" si="27"/>
        <v/>
      </c>
      <c r="S28" s="48" t="str">
        <f t="shared" si="27"/>
        <v/>
      </c>
      <c r="T28" s="48" t="str">
        <f t="shared" si="27"/>
        <v/>
      </c>
      <c r="U28" s="48" t="str">
        <f t="shared" si="27"/>
        <v/>
      </c>
      <c r="V28" s="48" t="str">
        <f t="shared" si="27"/>
        <v/>
      </c>
      <c r="W28" s="48" t="str">
        <f t="shared" si="27"/>
        <v/>
      </c>
      <c r="X28" s="48" t="str">
        <f t="shared" si="27"/>
        <v/>
      </c>
      <c r="Y28" s="48" t="str">
        <f t="shared" si="27"/>
        <v/>
      </c>
      <c r="Z28" s="48" t="str">
        <f t="shared" si="27"/>
        <v/>
      </c>
      <c r="AA28" s="48" t="str">
        <f t="shared" si="27"/>
        <v/>
      </c>
      <c r="AB28" s="48" t="str">
        <f t="shared" si="27"/>
        <v/>
      </c>
      <c r="AC28" s="48" t="str">
        <f t="shared" si="27"/>
        <v/>
      </c>
      <c r="AD28" s="48" t="str">
        <f t="shared" si="27"/>
        <v/>
      </c>
      <c r="AE28" s="48" t="str">
        <f t="shared" si="27"/>
        <v/>
      </c>
      <c r="AF28" s="48" t="str">
        <f t="shared" si="27"/>
        <v/>
      </c>
      <c r="AG28" s="48" t="str">
        <f t="shared" ref="AG28" si="28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451" priority="297" operator="containsText" text="신품">
      <formula>NOT(ISERROR(SEARCH("신품",F7)))</formula>
    </cfRule>
    <cfRule type="containsText" dxfId="450" priority="298" operator="containsText" text="중고">
      <formula>NOT(ISERROR(SEARCH("중고",F7)))</formula>
    </cfRule>
  </conditionalFormatting>
  <conditionalFormatting sqref="I7:I9">
    <cfRule type="containsText" dxfId="449" priority="295" operator="containsText" text="신품">
      <formula>NOT(ISERROR(SEARCH("신품",I7)))</formula>
    </cfRule>
    <cfRule type="containsText" dxfId="448" priority="296" operator="containsText" text="중고">
      <formula>NOT(ISERROR(SEARCH("중고",I7)))</formula>
    </cfRule>
  </conditionalFormatting>
  <conditionalFormatting sqref="F10">
    <cfRule type="containsText" dxfId="447" priority="291" operator="containsText" text="신품">
      <formula>NOT(ISERROR(SEARCH("신품",F10)))</formula>
    </cfRule>
    <cfRule type="containsText" dxfId="446" priority="292" operator="containsText" text="중고">
      <formula>NOT(ISERROR(SEARCH("중고",F10)))</formula>
    </cfRule>
  </conditionalFormatting>
  <conditionalFormatting sqref="I10">
    <cfRule type="containsText" dxfId="445" priority="289" operator="containsText" text="신품">
      <formula>NOT(ISERROR(SEARCH("신품",I10)))</formula>
    </cfRule>
    <cfRule type="containsText" dxfId="444" priority="290" operator="containsText" text="중고">
      <formula>NOT(ISERROR(SEARCH("중고",I10)))</formula>
    </cfRule>
  </conditionalFormatting>
  <conditionalFormatting sqref="F11">
    <cfRule type="containsText" dxfId="443" priority="285" operator="containsText" text="신품">
      <formula>NOT(ISERROR(SEARCH("신품",F11)))</formula>
    </cfRule>
    <cfRule type="containsText" dxfId="442" priority="286" operator="containsText" text="중고">
      <formula>NOT(ISERROR(SEARCH("중고",F11)))</formula>
    </cfRule>
  </conditionalFormatting>
  <conditionalFormatting sqref="I11">
    <cfRule type="containsText" dxfId="441" priority="283" operator="containsText" text="신품">
      <formula>NOT(ISERROR(SEARCH("신품",I11)))</formula>
    </cfRule>
    <cfRule type="containsText" dxfId="440" priority="284" operator="containsText" text="중고">
      <formula>NOT(ISERROR(SEARCH("중고",I11)))</formula>
    </cfRule>
  </conditionalFormatting>
  <conditionalFormatting sqref="F12">
    <cfRule type="containsText" dxfId="439" priority="279" operator="containsText" text="신품">
      <formula>NOT(ISERROR(SEARCH("신품",F12)))</formula>
    </cfRule>
    <cfRule type="containsText" dxfId="438" priority="280" operator="containsText" text="중고">
      <formula>NOT(ISERROR(SEARCH("중고",F12)))</formula>
    </cfRule>
  </conditionalFormatting>
  <conditionalFormatting sqref="I12">
    <cfRule type="containsText" dxfId="437" priority="277" operator="containsText" text="신품">
      <formula>NOT(ISERROR(SEARCH("신품",I12)))</formula>
    </cfRule>
    <cfRule type="containsText" dxfId="436" priority="278" operator="containsText" text="중고">
      <formula>NOT(ISERROR(SEARCH("중고",I12)))</formula>
    </cfRule>
  </conditionalFormatting>
  <conditionalFormatting sqref="D29">
    <cfRule type="containsText" dxfId="435" priority="262" operator="containsText" text="진행중">
      <formula>NOT(ISERROR(SEARCH("진행중",D29)))</formula>
    </cfRule>
  </conditionalFormatting>
  <conditionalFormatting sqref="N8:N28">
    <cfRule type="containsText" dxfId="434" priority="165" operator="containsText" text="완료">
      <formula>NOT(ISERROR(SEARCH("완료",N8)))</formula>
    </cfRule>
    <cfRule type="containsText" dxfId="433" priority="166" operator="containsText" text="중단">
      <formula>NOT(ISERROR(SEARCH("중단",N8)))</formula>
    </cfRule>
  </conditionalFormatting>
  <conditionalFormatting sqref="N8:N28">
    <cfRule type="containsText" dxfId="432" priority="163" operator="containsText" text="완료">
      <formula>NOT(ISERROR(SEARCH("완료",N8)))</formula>
    </cfRule>
    <cfRule type="containsText" dxfId="431" priority="164" operator="containsText" text="중단">
      <formula>NOT(ISERROR(SEARCH("중단",N8)))</formula>
    </cfRule>
  </conditionalFormatting>
  <conditionalFormatting sqref="N8:N28">
    <cfRule type="containsText" dxfId="430" priority="162" operator="containsText" text="진행중">
      <formula>NOT(ISERROR(SEARCH("진행중",N8)))</formula>
    </cfRule>
  </conditionalFormatting>
  <conditionalFormatting sqref="F14:F28">
    <cfRule type="containsText" dxfId="429" priority="255" operator="containsText" text="완료">
      <formula>NOT(ISERROR(SEARCH("완료",F14)))</formula>
    </cfRule>
    <cfRule type="containsText" dxfId="428" priority="256" operator="containsText" text="중단">
      <formula>NOT(ISERROR(SEARCH("중단",F14)))</formula>
    </cfRule>
  </conditionalFormatting>
  <conditionalFormatting sqref="F14:F28">
    <cfRule type="containsText" dxfId="427" priority="253" operator="containsText" text="완료">
      <formula>NOT(ISERROR(SEARCH("완료",F14)))</formula>
    </cfRule>
    <cfRule type="containsText" dxfId="426" priority="254" operator="containsText" text="중단">
      <formula>NOT(ISERROR(SEARCH("중단",F14)))</formula>
    </cfRule>
  </conditionalFormatting>
  <conditionalFormatting sqref="F14:F28">
    <cfRule type="containsText" dxfId="425" priority="252" operator="containsText" text="진행중">
      <formula>NOT(ISERROR(SEARCH("진행중",F14)))</formula>
    </cfRule>
  </conditionalFormatting>
  <conditionalFormatting sqref="K8:K17">
    <cfRule type="containsText" dxfId="424" priority="145" operator="containsText" text="완료">
      <formula>NOT(ISERROR(SEARCH("완료",K8)))</formula>
    </cfRule>
    <cfRule type="containsText" dxfId="423" priority="146" operator="containsText" text="중단">
      <formula>NOT(ISERROR(SEARCH("중단",K8)))</formula>
    </cfRule>
  </conditionalFormatting>
  <conditionalFormatting sqref="K8:K17">
    <cfRule type="containsText" dxfId="422" priority="143" operator="containsText" text="완료">
      <formula>NOT(ISERROR(SEARCH("완료",K8)))</formula>
    </cfRule>
    <cfRule type="containsText" dxfId="421" priority="144" operator="containsText" text="중단">
      <formula>NOT(ISERROR(SEARCH("중단",K8)))</formula>
    </cfRule>
  </conditionalFormatting>
  <conditionalFormatting sqref="K8:K17">
    <cfRule type="containsText" dxfId="420" priority="142" operator="containsText" text="진행중">
      <formula>NOT(ISERROR(SEARCH("진행중",K8)))</formula>
    </cfRule>
  </conditionalFormatting>
  <conditionalFormatting sqref="L8:L17">
    <cfRule type="containsText" dxfId="419" priority="140" operator="containsText" text="완료">
      <formula>NOT(ISERROR(SEARCH("완료",L8)))</formula>
    </cfRule>
    <cfRule type="containsText" dxfId="418" priority="141" operator="containsText" text="중단">
      <formula>NOT(ISERROR(SEARCH("중단",L8)))</formula>
    </cfRule>
  </conditionalFormatting>
  <conditionalFormatting sqref="L8:L17">
    <cfRule type="containsText" dxfId="417" priority="138" operator="containsText" text="완료">
      <formula>NOT(ISERROR(SEARCH("완료",L8)))</formula>
    </cfRule>
    <cfRule type="containsText" dxfId="416" priority="139" operator="containsText" text="중단">
      <formula>NOT(ISERROR(SEARCH("중단",L8)))</formula>
    </cfRule>
  </conditionalFormatting>
  <conditionalFormatting sqref="L8:L17">
    <cfRule type="containsText" dxfId="415" priority="137" operator="containsText" text="진행중">
      <formula>NOT(ISERROR(SEARCH("진행중",L8)))</formula>
    </cfRule>
  </conditionalFormatting>
  <conditionalFormatting sqref="M8:M28">
    <cfRule type="containsText" dxfId="414" priority="135" operator="containsText" text="완료">
      <formula>NOT(ISERROR(SEARCH("완료",M8)))</formula>
    </cfRule>
    <cfRule type="containsText" dxfId="413" priority="136" operator="containsText" text="중단">
      <formula>NOT(ISERROR(SEARCH("중단",M8)))</formula>
    </cfRule>
  </conditionalFormatting>
  <conditionalFormatting sqref="M8:M28">
    <cfRule type="containsText" dxfId="412" priority="133" operator="containsText" text="완료">
      <formula>NOT(ISERROR(SEARCH("완료",M8)))</formula>
    </cfRule>
    <cfRule type="containsText" dxfId="411" priority="134" operator="containsText" text="중단">
      <formula>NOT(ISERROR(SEARCH("중단",M8)))</formula>
    </cfRule>
  </conditionalFormatting>
  <conditionalFormatting sqref="M8:M28">
    <cfRule type="containsText" dxfId="410" priority="132" operator="containsText" text="진행중">
      <formula>NOT(ISERROR(SEARCH("진행중",M8)))</formula>
    </cfRule>
  </conditionalFormatting>
  <conditionalFormatting sqref="I14:I28">
    <cfRule type="containsText" dxfId="409" priority="210" operator="containsText" text="완료">
      <formula>NOT(ISERROR(SEARCH("완료",I14)))</formula>
    </cfRule>
    <cfRule type="containsText" dxfId="408" priority="211" operator="containsText" text="중단">
      <formula>NOT(ISERROR(SEARCH("중단",I14)))</formula>
    </cfRule>
  </conditionalFormatting>
  <conditionalFormatting sqref="I14:I28">
    <cfRule type="containsText" dxfId="407" priority="208" operator="containsText" text="완료">
      <formula>NOT(ISERROR(SEARCH("완료",I14)))</formula>
    </cfRule>
    <cfRule type="containsText" dxfId="406" priority="209" operator="containsText" text="중단">
      <formula>NOT(ISERROR(SEARCH("중단",I14)))</formula>
    </cfRule>
  </conditionalFormatting>
  <conditionalFormatting sqref="I14:I28">
    <cfRule type="containsText" dxfId="405" priority="207" operator="containsText" text="진행중">
      <formula>NOT(ISERROR(SEARCH("진행중",I14)))</formula>
    </cfRule>
  </conditionalFormatting>
  <conditionalFormatting sqref="F13">
    <cfRule type="containsText" dxfId="404" priority="205" operator="containsText" text="완료">
      <formula>NOT(ISERROR(SEARCH("완료",F13)))</formula>
    </cfRule>
    <cfRule type="containsText" dxfId="403" priority="206" operator="containsText" text="중단">
      <formula>NOT(ISERROR(SEARCH("중단",F13)))</formula>
    </cfRule>
  </conditionalFormatting>
  <conditionalFormatting sqref="F13">
    <cfRule type="containsText" dxfId="402" priority="203" operator="containsText" text="완료">
      <formula>NOT(ISERROR(SEARCH("완료",F13)))</formula>
    </cfRule>
    <cfRule type="containsText" dxfId="401" priority="204" operator="containsText" text="중단">
      <formula>NOT(ISERROR(SEARCH("중단",F13)))</formula>
    </cfRule>
  </conditionalFormatting>
  <conditionalFormatting sqref="F13">
    <cfRule type="containsText" dxfId="400" priority="202" operator="containsText" text="진행중">
      <formula>NOT(ISERROR(SEARCH("진행중",F13)))</formula>
    </cfRule>
  </conditionalFormatting>
  <conditionalFormatting sqref="I13">
    <cfRule type="containsText" dxfId="399" priority="200" operator="containsText" text="완료">
      <formula>NOT(ISERROR(SEARCH("완료",I13)))</formula>
    </cfRule>
    <cfRule type="containsText" dxfId="398" priority="201" operator="containsText" text="중단">
      <formula>NOT(ISERROR(SEARCH("중단",I13)))</formula>
    </cfRule>
  </conditionalFormatting>
  <conditionalFormatting sqref="I13">
    <cfRule type="containsText" dxfId="397" priority="198" operator="containsText" text="완료">
      <formula>NOT(ISERROR(SEARCH("완료",I13)))</formula>
    </cfRule>
    <cfRule type="containsText" dxfId="396" priority="199" operator="containsText" text="중단">
      <formula>NOT(ISERROR(SEARCH("중단",I13)))</formula>
    </cfRule>
  </conditionalFormatting>
  <conditionalFormatting sqref="I13">
    <cfRule type="containsText" dxfId="395" priority="197" operator="containsText" text="진행중">
      <formula>NOT(ISERROR(SEARCH("진행중",I13)))</formula>
    </cfRule>
  </conditionalFormatting>
  <conditionalFormatting sqref="E20:E28">
    <cfRule type="containsText" dxfId="394" priority="120" operator="containsText" text="완료">
      <formula>NOT(ISERROR(SEARCH("완료",E20)))</formula>
    </cfRule>
    <cfRule type="containsText" dxfId="393" priority="121" operator="containsText" text="중단">
      <formula>NOT(ISERROR(SEARCH("중단",E20)))</formula>
    </cfRule>
  </conditionalFormatting>
  <conditionalFormatting sqref="E20:E28">
    <cfRule type="containsText" dxfId="392" priority="118" operator="containsText" text="완료">
      <formula>NOT(ISERROR(SEARCH("완료",E20)))</formula>
    </cfRule>
    <cfRule type="containsText" dxfId="391" priority="119" operator="containsText" text="중단">
      <formula>NOT(ISERROR(SEARCH("중단",E20)))</formula>
    </cfRule>
  </conditionalFormatting>
  <conditionalFormatting sqref="E20:E28">
    <cfRule type="containsText" dxfId="390" priority="117" operator="containsText" text="진행중">
      <formula>NOT(ISERROR(SEARCH("진행중",E20)))</formula>
    </cfRule>
  </conditionalFormatting>
  <conditionalFormatting sqref="K18:K28">
    <cfRule type="containsText" dxfId="389" priority="190" operator="containsText" text="완료">
      <formula>NOT(ISERROR(SEARCH("완료",K18)))</formula>
    </cfRule>
    <cfRule type="containsText" dxfId="388" priority="191" operator="containsText" text="중단">
      <formula>NOT(ISERROR(SEARCH("중단",K18)))</formula>
    </cfRule>
  </conditionalFormatting>
  <conditionalFormatting sqref="K18:K28">
    <cfRule type="containsText" dxfId="387" priority="188" operator="containsText" text="완료">
      <formula>NOT(ISERROR(SEARCH("완료",K18)))</formula>
    </cfRule>
    <cfRule type="containsText" dxfId="386" priority="189" operator="containsText" text="중단">
      <formula>NOT(ISERROR(SEARCH("중단",K18)))</formula>
    </cfRule>
  </conditionalFormatting>
  <conditionalFormatting sqref="K18:K28">
    <cfRule type="containsText" dxfId="385" priority="187" operator="containsText" text="진행중">
      <formula>NOT(ISERROR(SEARCH("진행중",K18)))</formula>
    </cfRule>
  </conditionalFormatting>
  <conditionalFormatting sqref="L18:L28">
    <cfRule type="containsText" dxfId="384" priority="180" operator="containsText" text="완료">
      <formula>NOT(ISERROR(SEARCH("완료",L18)))</formula>
    </cfRule>
    <cfRule type="containsText" dxfId="383" priority="181" operator="containsText" text="중단">
      <formula>NOT(ISERROR(SEARCH("중단",L18)))</formula>
    </cfRule>
  </conditionalFormatting>
  <conditionalFormatting sqref="L18:L28">
    <cfRule type="containsText" dxfId="382" priority="178" operator="containsText" text="완료">
      <formula>NOT(ISERROR(SEARCH("완료",L18)))</formula>
    </cfRule>
    <cfRule type="containsText" dxfId="381" priority="179" operator="containsText" text="중단">
      <formula>NOT(ISERROR(SEARCH("중단",L18)))</formula>
    </cfRule>
  </conditionalFormatting>
  <conditionalFormatting sqref="L18:L28">
    <cfRule type="containsText" dxfId="380" priority="177" operator="containsText" text="진행중">
      <formula>NOT(ISERROR(SEARCH("진행중",L18)))</formula>
    </cfRule>
  </conditionalFormatting>
  <conditionalFormatting sqref="E19">
    <cfRule type="containsText" dxfId="379" priority="115" operator="containsText" text="완료">
      <formula>NOT(ISERROR(SEARCH("완료",E19)))</formula>
    </cfRule>
    <cfRule type="containsText" dxfId="378" priority="116" operator="containsText" text="중단">
      <formula>NOT(ISERROR(SEARCH("중단",E19)))</formula>
    </cfRule>
  </conditionalFormatting>
  <conditionalFormatting sqref="E19">
    <cfRule type="containsText" dxfId="377" priority="113" operator="containsText" text="완료">
      <formula>NOT(ISERROR(SEARCH("완료",E19)))</formula>
    </cfRule>
    <cfRule type="containsText" dxfId="376" priority="114" operator="containsText" text="중단">
      <formula>NOT(ISERROR(SEARCH("중단",E19)))</formula>
    </cfRule>
  </conditionalFormatting>
  <conditionalFormatting sqref="E19">
    <cfRule type="containsText" dxfId="375" priority="112" operator="containsText" text="진행중">
      <formula>NOT(ISERROR(SEARCH("진행중",E19)))</formula>
    </cfRule>
  </conditionalFormatting>
  <conditionalFormatting sqref="G8:G20">
    <cfRule type="containsText" dxfId="374" priority="110" operator="containsText" text="완료">
      <formula>NOT(ISERROR(SEARCH("완료",G8)))</formula>
    </cfRule>
    <cfRule type="containsText" dxfId="373" priority="111" operator="containsText" text="중단">
      <formula>NOT(ISERROR(SEARCH("중단",G8)))</formula>
    </cfRule>
  </conditionalFormatting>
  <conditionalFormatting sqref="G8:G20">
    <cfRule type="containsText" dxfId="372" priority="108" operator="containsText" text="완료">
      <formula>NOT(ISERROR(SEARCH("완료",G8)))</formula>
    </cfRule>
    <cfRule type="containsText" dxfId="371" priority="109" operator="containsText" text="중단">
      <formula>NOT(ISERROR(SEARCH("중단",G8)))</formula>
    </cfRule>
  </conditionalFormatting>
  <conditionalFormatting sqref="G8:G20">
    <cfRule type="containsText" dxfId="370" priority="107" operator="containsText" text="진행중">
      <formula>NOT(ISERROR(SEARCH("진행중",G8)))</formula>
    </cfRule>
  </conditionalFormatting>
  <conditionalFormatting sqref="H8:H20">
    <cfRule type="containsText" dxfId="369" priority="105" operator="containsText" text="완료">
      <formula>NOT(ISERROR(SEARCH("완료",H8)))</formula>
    </cfRule>
    <cfRule type="containsText" dxfId="368" priority="106" operator="containsText" text="중단">
      <formula>NOT(ISERROR(SEARCH("중단",H8)))</formula>
    </cfRule>
  </conditionalFormatting>
  <conditionalFormatting sqref="H8:H20">
    <cfRule type="containsText" dxfId="367" priority="103" operator="containsText" text="완료">
      <formula>NOT(ISERROR(SEARCH("완료",H8)))</formula>
    </cfRule>
    <cfRule type="containsText" dxfId="366" priority="104" operator="containsText" text="중단">
      <formula>NOT(ISERROR(SEARCH("중단",H8)))</formula>
    </cfRule>
  </conditionalFormatting>
  <conditionalFormatting sqref="H8:H20">
    <cfRule type="containsText" dxfId="365" priority="102" operator="containsText" text="진행중">
      <formula>NOT(ISERROR(SEARCH("진행중",H8)))</formula>
    </cfRule>
  </conditionalFormatting>
  <conditionalFormatting sqref="Q20:Q28">
    <cfRule type="containsText" dxfId="364" priority="80" operator="containsText" text="완료">
      <formula>NOT(ISERROR(SEARCH("완료",Q20)))</formula>
    </cfRule>
    <cfRule type="containsText" dxfId="363" priority="81" operator="containsText" text="중단">
      <formula>NOT(ISERROR(SEARCH("중단",Q20)))</formula>
    </cfRule>
  </conditionalFormatting>
  <conditionalFormatting sqref="Q20:Q28">
    <cfRule type="containsText" dxfId="362" priority="78" operator="containsText" text="완료">
      <formula>NOT(ISERROR(SEARCH("완료",Q20)))</formula>
    </cfRule>
    <cfRule type="containsText" dxfId="361" priority="79" operator="containsText" text="중단">
      <formula>NOT(ISERROR(SEARCH("중단",Q20)))</formula>
    </cfRule>
  </conditionalFormatting>
  <conditionalFormatting sqref="Q20:Q28">
    <cfRule type="containsText" dxfId="360" priority="77" operator="containsText" text="진행중">
      <formula>NOT(ISERROR(SEARCH("진행중",Q20)))</formula>
    </cfRule>
  </conditionalFormatting>
  <conditionalFormatting sqref="R20:R28">
    <cfRule type="containsText" dxfId="359" priority="75" operator="containsText" text="완료">
      <formula>NOT(ISERROR(SEARCH("완료",R20)))</formula>
    </cfRule>
    <cfRule type="containsText" dxfId="358" priority="76" operator="containsText" text="중단">
      <formula>NOT(ISERROR(SEARCH("중단",R20)))</formula>
    </cfRule>
  </conditionalFormatting>
  <conditionalFormatting sqref="R20:R28">
    <cfRule type="containsText" dxfId="357" priority="73" operator="containsText" text="완료">
      <formula>NOT(ISERROR(SEARCH("완료",R20)))</formula>
    </cfRule>
    <cfRule type="containsText" dxfId="356" priority="74" operator="containsText" text="중단">
      <formula>NOT(ISERROR(SEARCH("중단",R20)))</formula>
    </cfRule>
  </conditionalFormatting>
  <conditionalFormatting sqref="R20:R28">
    <cfRule type="containsText" dxfId="355" priority="72" operator="containsText" text="진행중">
      <formula>NOT(ISERROR(SEARCH("진행중",R20)))</formula>
    </cfRule>
  </conditionalFormatting>
  <conditionalFormatting sqref="S20:S28">
    <cfRule type="containsText" dxfId="354" priority="70" operator="containsText" text="완료">
      <formula>NOT(ISERROR(SEARCH("완료",S20)))</formula>
    </cfRule>
    <cfRule type="containsText" dxfId="353" priority="71" operator="containsText" text="중단">
      <formula>NOT(ISERROR(SEARCH("중단",S20)))</formula>
    </cfRule>
  </conditionalFormatting>
  <conditionalFormatting sqref="S20:S28">
    <cfRule type="containsText" dxfId="352" priority="68" operator="containsText" text="완료">
      <formula>NOT(ISERROR(SEARCH("완료",S20)))</formula>
    </cfRule>
    <cfRule type="containsText" dxfId="351" priority="69" operator="containsText" text="중단">
      <formula>NOT(ISERROR(SEARCH("중단",S20)))</formula>
    </cfRule>
  </conditionalFormatting>
  <conditionalFormatting sqref="S20:S28">
    <cfRule type="containsText" dxfId="350" priority="67" operator="containsText" text="진행중">
      <formula>NOT(ISERROR(SEARCH("진행중",S20)))</formula>
    </cfRule>
  </conditionalFormatting>
  <conditionalFormatting sqref="T20:T28">
    <cfRule type="containsText" dxfId="349" priority="65" operator="containsText" text="완료">
      <formula>NOT(ISERROR(SEARCH("완료",T20)))</formula>
    </cfRule>
    <cfRule type="containsText" dxfId="348" priority="66" operator="containsText" text="중단">
      <formula>NOT(ISERROR(SEARCH("중단",T20)))</formula>
    </cfRule>
  </conditionalFormatting>
  <conditionalFormatting sqref="T20:T28">
    <cfRule type="containsText" dxfId="347" priority="63" operator="containsText" text="완료">
      <formula>NOT(ISERROR(SEARCH("완료",T20)))</formula>
    </cfRule>
    <cfRule type="containsText" dxfId="346" priority="64" operator="containsText" text="중단">
      <formula>NOT(ISERROR(SEARCH("중단",T20)))</formula>
    </cfRule>
  </conditionalFormatting>
  <conditionalFormatting sqref="T20:T28">
    <cfRule type="containsText" dxfId="345" priority="62" operator="containsText" text="진행중">
      <formula>NOT(ISERROR(SEARCH("진행중",T20)))</formula>
    </cfRule>
  </conditionalFormatting>
  <conditionalFormatting sqref="U20:AC28">
    <cfRule type="containsText" dxfId="344" priority="60" operator="containsText" text="완료">
      <formula>NOT(ISERROR(SEARCH("완료",U20)))</formula>
    </cfRule>
    <cfRule type="containsText" dxfId="343" priority="61" operator="containsText" text="중단">
      <formula>NOT(ISERROR(SEARCH("중단",U20)))</formula>
    </cfRule>
  </conditionalFormatting>
  <conditionalFormatting sqref="U20:AC28">
    <cfRule type="containsText" dxfId="342" priority="58" operator="containsText" text="완료">
      <formula>NOT(ISERROR(SEARCH("완료",U20)))</formula>
    </cfRule>
    <cfRule type="containsText" dxfId="341" priority="59" operator="containsText" text="중단">
      <formula>NOT(ISERROR(SEARCH("중단",U20)))</formula>
    </cfRule>
  </conditionalFormatting>
  <conditionalFormatting sqref="U20:AC28">
    <cfRule type="containsText" dxfId="340" priority="57" operator="containsText" text="진행중">
      <formula>NOT(ISERROR(SEARCH("진행중",U20)))</formula>
    </cfRule>
  </conditionalFormatting>
  <conditionalFormatting sqref="AD20:AD28">
    <cfRule type="containsText" dxfId="339" priority="55" operator="containsText" text="완료">
      <formula>NOT(ISERROR(SEARCH("완료",AD20)))</formula>
    </cfRule>
    <cfRule type="containsText" dxfId="338" priority="56" operator="containsText" text="중단">
      <formula>NOT(ISERROR(SEARCH("중단",AD20)))</formula>
    </cfRule>
  </conditionalFormatting>
  <conditionalFormatting sqref="AD20:AD28">
    <cfRule type="containsText" dxfId="337" priority="53" operator="containsText" text="완료">
      <formula>NOT(ISERROR(SEARCH("완료",AD20)))</formula>
    </cfRule>
    <cfRule type="containsText" dxfId="336" priority="54" operator="containsText" text="중단">
      <formula>NOT(ISERROR(SEARCH("중단",AD20)))</formula>
    </cfRule>
  </conditionalFormatting>
  <conditionalFormatting sqref="AD20:AD28">
    <cfRule type="containsText" dxfId="335" priority="52" operator="containsText" text="진행중">
      <formula>NOT(ISERROR(SEARCH("진행중",AD20)))</formula>
    </cfRule>
  </conditionalFormatting>
  <conditionalFormatting sqref="AE20:AE28">
    <cfRule type="containsText" dxfId="334" priority="50" operator="containsText" text="완료">
      <formula>NOT(ISERROR(SEARCH("완료",AE20)))</formula>
    </cfRule>
    <cfRule type="containsText" dxfId="333" priority="51" operator="containsText" text="중단">
      <formula>NOT(ISERROR(SEARCH("중단",AE20)))</formula>
    </cfRule>
  </conditionalFormatting>
  <conditionalFormatting sqref="AE20:AE28">
    <cfRule type="containsText" dxfId="332" priority="48" operator="containsText" text="완료">
      <formula>NOT(ISERROR(SEARCH("완료",AE20)))</formula>
    </cfRule>
    <cfRule type="containsText" dxfId="331" priority="49" operator="containsText" text="중단">
      <formula>NOT(ISERROR(SEARCH("중단",AE20)))</formula>
    </cfRule>
  </conditionalFormatting>
  <conditionalFormatting sqref="AE20:AE28">
    <cfRule type="containsText" dxfId="330" priority="47" operator="containsText" text="진행중">
      <formula>NOT(ISERROR(SEARCH("진행중",AE20)))</formula>
    </cfRule>
  </conditionalFormatting>
  <conditionalFormatting sqref="D8:D19">
    <cfRule type="containsText" dxfId="329" priority="45" operator="containsText" text="완료">
      <formula>NOT(ISERROR(SEARCH("완료",D8)))</formula>
    </cfRule>
    <cfRule type="containsText" dxfId="328" priority="46" operator="containsText" text="중단">
      <formula>NOT(ISERROR(SEARCH("중단",D8)))</formula>
    </cfRule>
  </conditionalFormatting>
  <conditionalFormatting sqref="D11">
    <cfRule type="containsText" dxfId="327" priority="43" operator="containsText" text="완료">
      <formula>NOT(ISERROR(SEARCH("완료",D11)))</formula>
    </cfRule>
    <cfRule type="containsText" dxfId="326" priority="44" operator="containsText" text="중단">
      <formula>NOT(ISERROR(SEARCH("중단",D11)))</formula>
    </cfRule>
  </conditionalFormatting>
  <conditionalFormatting sqref="D12:D19">
    <cfRule type="containsText" dxfId="325" priority="41" operator="containsText" text="완료">
      <formula>NOT(ISERROR(SEARCH("완료",D12)))</formula>
    </cfRule>
    <cfRule type="containsText" dxfId="324" priority="42" operator="containsText" text="중단">
      <formula>NOT(ISERROR(SEARCH("중단",D12)))</formula>
    </cfRule>
  </conditionalFormatting>
  <conditionalFormatting sqref="D13:D19">
    <cfRule type="containsText" dxfId="323" priority="39" operator="containsText" text="완료">
      <formula>NOT(ISERROR(SEARCH("완료",D13)))</formula>
    </cfRule>
    <cfRule type="containsText" dxfId="322" priority="40" operator="containsText" text="중단">
      <formula>NOT(ISERROR(SEARCH("중단",D13)))</formula>
    </cfRule>
  </conditionalFormatting>
  <conditionalFormatting sqref="D8:D19">
    <cfRule type="containsText" dxfId="321" priority="38" operator="containsText" text="진행중">
      <formula>NOT(ISERROR(SEARCH("진행중",D8)))</formula>
    </cfRule>
  </conditionalFormatting>
  <conditionalFormatting sqref="D8:D28">
    <cfRule type="containsText" dxfId="320" priority="36" operator="containsText" text="완료">
      <formula>NOT(ISERROR(SEARCH("완료",D8)))</formula>
    </cfRule>
    <cfRule type="containsText" dxfId="319" priority="37" operator="containsText" text="중단">
      <formula>NOT(ISERROR(SEARCH("중단",D8)))</formula>
    </cfRule>
  </conditionalFormatting>
  <conditionalFormatting sqref="D8:D28">
    <cfRule type="containsText" dxfId="318" priority="34" operator="containsText" text="완료">
      <formula>NOT(ISERROR(SEARCH("완료",D8)))</formula>
    </cfRule>
    <cfRule type="containsText" dxfId="317" priority="35" operator="containsText" text="중단">
      <formula>NOT(ISERROR(SEARCH("중단",D8)))</formula>
    </cfRule>
  </conditionalFormatting>
  <conditionalFormatting sqref="D8:D28">
    <cfRule type="containsText" dxfId="316" priority="33" operator="containsText" text="진행중">
      <formula>NOT(ISERROR(SEARCH("진행중",D8)))</formula>
    </cfRule>
  </conditionalFormatting>
  <conditionalFormatting sqref="D7">
    <cfRule type="containsText" dxfId="315" priority="31" operator="containsText" text="완료">
      <formula>NOT(ISERROR(SEARCH("완료",D7)))</formula>
    </cfRule>
    <cfRule type="containsText" dxfId="314" priority="32" operator="containsText" text="중단">
      <formula>NOT(ISERROR(SEARCH("중단",D7)))</formula>
    </cfRule>
  </conditionalFormatting>
  <conditionalFormatting sqref="D7">
    <cfRule type="containsText" dxfId="313" priority="29" operator="containsText" text="완료">
      <formula>NOT(ISERROR(SEARCH("완료",D7)))</formula>
    </cfRule>
    <cfRule type="containsText" dxfId="312" priority="30" operator="containsText" text="중단">
      <formula>NOT(ISERROR(SEARCH("중단",D7)))</formula>
    </cfRule>
  </conditionalFormatting>
  <conditionalFormatting sqref="D7">
    <cfRule type="containsText" dxfId="311" priority="28" operator="containsText" text="진행중">
      <formula>NOT(ISERROR(SEARCH("진행중",D7)))</formula>
    </cfRule>
  </conditionalFormatting>
  <conditionalFormatting sqref="A1:AG27 A29:AG29 A28:AE28">
    <cfRule type="containsText" dxfId="310" priority="27" operator="containsText" text="누락">
      <formula>NOT(ISERROR(SEARCH("누락",A1)))</formula>
    </cfRule>
  </conditionalFormatting>
  <conditionalFormatting sqref="AF21:AF27">
    <cfRule type="containsText" dxfId="309" priority="25" operator="containsText" text="완료">
      <formula>NOT(ISERROR(SEARCH("완료",AF21)))</formula>
    </cfRule>
    <cfRule type="containsText" dxfId="308" priority="26" operator="containsText" text="중단">
      <formula>NOT(ISERROR(SEARCH("중단",AF21)))</formula>
    </cfRule>
  </conditionalFormatting>
  <conditionalFormatting sqref="AF21:AF27">
    <cfRule type="containsText" dxfId="307" priority="23" operator="containsText" text="완료">
      <formula>NOT(ISERROR(SEARCH("완료",AF21)))</formula>
    </cfRule>
    <cfRule type="containsText" dxfId="306" priority="24" operator="containsText" text="중단">
      <formula>NOT(ISERROR(SEARCH("중단",AF21)))</formula>
    </cfRule>
  </conditionalFormatting>
  <conditionalFormatting sqref="AF21:AF27">
    <cfRule type="containsText" dxfId="305" priority="22" operator="containsText" text="진행중">
      <formula>NOT(ISERROR(SEARCH("진행중",AF21)))</formula>
    </cfRule>
  </conditionalFormatting>
  <conditionalFormatting sqref="AG21:AG27">
    <cfRule type="containsText" dxfId="304" priority="20" operator="containsText" text="완료">
      <formula>NOT(ISERROR(SEARCH("완료",AG21)))</formula>
    </cfRule>
    <cfRule type="containsText" dxfId="303" priority="21" operator="containsText" text="중단">
      <formula>NOT(ISERROR(SEARCH("중단",AG21)))</formula>
    </cfRule>
  </conditionalFormatting>
  <conditionalFormatting sqref="AG21:AG27">
    <cfRule type="containsText" dxfId="302" priority="18" operator="containsText" text="완료">
      <formula>NOT(ISERROR(SEARCH("완료",AG21)))</formula>
    </cfRule>
    <cfRule type="containsText" dxfId="301" priority="19" operator="containsText" text="중단">
      <formula>NOT(ISERROR(SEARCH("중단",AG21)))</formula>
    </cfRule>
  </conditionalFormatting>
  <conditionalFormatting sqref="AG21:AG27">
    <cfRule type="containsText" dxfId="300" priority="17" operator="containsText" text="진행중">
      <formula>NOT(ISERROR(SEARCH("진행중",AG21)))</formula>
    </cfRule>
  </conditionalFormatting>
  <conditionalFormatting sqref="AG21:AG27">
    <cfRule type="containsText" dxfId="299" priority="15" operator="containsText" text="완료">
      <formula>NOT(ISERROR(SEARCH("완료",AG21)))</formula>
    </cfRule>
    <cfRule type="containsText" dxfId="298" priority="16" operator="containsText" text="중단">
      <formula>NOT(ISERROR(SEARCH("중단",AG21)))</formula>
    </cfRule>
  </conditionalFormatting>
  <conditionalFormatting sqref="AG21:AG27">
    <cfRule type="containsText" dxfId="297" priority="13" operator="containsText" text="완료">
      <formula>NOT(ISERROR(SEARCH("완료",AG21)))</formula>
    </cfRule>
    <cfRule type="containsText" dxfId="296" priority="14" operator="containsText" text="중단">
      <formula>NOT(ISERROR(SEARCH("중단",AG21)))</formula>
    </cfRule>
  </conditionalFormatting>
  <conditionalFormatting sqref="AG21:AG27">
    <cfRule type="containsText" dxfId="295" priority="12" operator="containsText" text="진행중">
      <formula>NOT(ISERROR(SEARCH("진행중",AG21)))</formula>
    </cfRule>
  </conditionalFormatting>
  <conditionalFormatting sqref="AF28:AG28">
    <cfRule type="containsText" dxfId="294" priority="11" operator="containsText" text="누락">
      <formula>NOT(ISERROR(SEARCH("누락",AF28)))</formula>
    </cfRule>
  </conditionalFormatting>
  <conditionalFormatting sqref="AF28">
    <cfRule type="containsText" dxfId="293" priority="9" operator="containsText" text="완료">
      <formula>NOT(ISERROR(SEARCH("완료",AF28)))</formula>
    </cfRule>
    <cfRule type="containsText" dxfId="292" priority="10" operator="containsText" text="중단">
      <formula>NOT(ISERROR(SEARCH("중단",AF28)))</formula>
    </cfRule>
  </conditionalFormatting>
  <conditionalFormatting sqref="AF28">
    <cfRule type="containsText" dxfId="291" priority="7" operator="containsText" text="완료">
      <formula>NOT(ISERROR(SEARCH("완료",AF28)))</formula>
    </cfRule>
    <cfRule type="containsText" dxfId="290" priority="8" operator="containsText" text="중단">
      <formula>NOT(ISERROR(SEARCH("중단",AF28)))</formula>
    </cfRule>
  </conditionalFormatting>
  <conditionalFormatting sqref="AF28">
    <cfRule type="containsText" dxfId="289" priority="6" operator="containsText" text="진행중">
      <formula>NOT(ISERROR(SEARCH("진행중",AF28)))</formula>
    </cfRule>
  </conditionalFormatting>
  <conditionalFormatting sqref="AG28">
    <cfRule type="containsText" dxfId="288" priority="4" operator="containsText" text="완료">
      <formula>NOT(ISERROR(SEARCH("완료",AG28)))</formula>
    </cfRule>
    <cfRule type="containsText" dxfId="287" priority="5" operator="containsText" text="중단">
      <formula>NOT(ISERROR(SEARCH("중단",AG28)))</formula>
    </cfRule>
  </conditionalFormatting>
  <conditionalFormatting sqref="AG28">
    <cfRule type="containsText" dxfId="286" priority="2" operator="containsText" text="완료">
      <formula>NOT(ISERROR(SEARCH("완료",AG28)))</formula>
    </cfRule>
    <cfRule type="containsText" dxfId="285" priority="3" operator="containsText" text="중단">
      <formula>NOT(ISERROR(SEARCH("중단",AG28)))</formula>
    </cfRule>
  </conditionalFormatting>
  <conditionalFormatting sqref="AG28">
    <cfRule type="containsText" dxfId="284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/>
  </sheetPr>
  <dimension ref="A1:AP29"/>
  <sheetViews>
    <sheetView zoomScale="55" zoomScaleNormal="55" workbookViewId="0">
      <selection activeCell="F7" sqref="F7:I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11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67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4">IFERROR(IF(MOD($B12,5)=0, "스핀들유격: ","-" ),"-")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si="14"/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 t="shared" si="14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 t="shared" si="14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 t="shared" si="14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5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6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 t="shared" si="14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5"/>
        <v>3</v>
      </c>
      <c r="G16" s="49" t="str">
        <f t="shared" si="9"/>
        <v>-</v>
      </c>
      <c r="H16" s="49" t="str">
        <f t="shared" si="10"/>
        <v>-</v>
      </c>
      <c r="I16" s="49">
        <f t="shared" si="16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4"/>
        <v xml:space="preserve">스핀들유격: </v>
      </c>
      <c r="V16" s="7" t="str">
        <f t="shared" si="14"/>
        <v xml:space="preserve">스핀들유격: </v>
      </c>
      <c r="W16" s="7" t="str">
        <f t="shared" si="14"/>
        <v xml:space="preserve">스핀들유격: </v>
      </c>
      <c r="X16" s="7" t="str">
        <f t="shared" si="14"/>
        <v xml:space="preserve">스핀들유격: </v>
      </c>
      <c r="Y16" s="7" t="str">
        <f t="shared" si="14"/>
        <v xml:space="preserve">스핀들유격: </v>
      </c>
      <c r="Z16" s="7" t="str">
        <f t="shared" si="14"/>
        <v xml:space="preserve">스핀들유격: </v>
      </c>
      <c r="AA16" s="7" t="str">
        <f t="shared" si="14"/>
        <v xml:space="preserve">스핀들유격: </v>
      </c>
      <c r="AB16" s="7" t="str">
        <f t="shared" si="14"/>
        <v xml:space="preserve">스핀들유격: </v>
      </c>
      <c r="AC16" s="7" t="str">
        <f t="shared" si="14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5"/>
        <v>4</v>
      </c>
      <c r="G17" s="49" t="str">
        <f t="shared" si="9"/>
        <v>-</v>
      </c>
      <c r="H17" s="49" t="str">
        <f t="shared" si="10"/>
        <v>-</v>
      </c>
      <c r="I17" s="49">
        <f t="shared" si="16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 t="shared" si="14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5"/>
        <v>5</v>
      </c>
      <c r="G18" s="49" t="str">
        <f t="shared" si="9"/>
        <v>-</v>
      </c>
      <c r="H18" s="49" t="str">
        <f t="shared" si="10"/>
        <v>-</v>
      </c>
      <c r="I18" s="49">
        <f t="shared" si="16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1" si="17">IF(MOD($B18,5)=0, "스핀들유격: ","-" )</f>
        <v>-</v>
      </c>
      <c r="R18" s="7" t="str">
        <f t="shared" si="17"/>
        <v>-</v>
      </c>
      <c r="S18" s="7" t="str">
        <f t="shared" si="17"/>
        <v>-</v>
      </c>
      <c r="T18" s="7" t="str">
        <f t="shared" si="17"/>
        <v>-</v>
      </c>
      <c r="U18" s="7" t="str">
        <f t="shared" ref="U18:AB21" si="18">IF(MOD($B18,5)=0, "000-000","-" )</f>
        <v>-</v>
      </c>
      <c r="V18" s="7" t="str">
        <f t="shared" si="18"/>
        <v>-</v>
      </c>
      <c r="W18" s="7" t="str">
        <f t="shared" si="18"/>
        <v>-</v>
      </c>
      <c r="X18" s="7" t="str">
        <f t="shared" si="18"/>
        <v>-</v>
      </c>
      <c r="Y18" s="7" t="str">
        <f t="shared" si="18"/>
        <v>-</v>
      </c>
      <c r="Z18" s="7" t="str">
        <f t="shared" si="18"/>
        <v>-</v>
      </c>
      <c r="AA18" s="7" t="str">
        <f t="shared" si="18"/>
        <v>-</v>
      </c>
      <c r="AB18" s="7" t="str">
        <f t="shared" si="18"/>
        <v>-</v>
      </c>
      <c r="AC18" s="7" t="str">
        <f t="shared" ref="AC18:AC21" si="19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5"/>
        <v>6</v>
      </c>
      <c r="G19" s="49" t="str">
        <f t="shared" si="9"/>
        <v>-</v>
      </c>
      <c r="H19" s="49" t="str">
        <f t="shared" si="10"/>
        <v>-</v>
      </c>
      <c r="I19" s="49">
        <f t="shared" si="16"/>
        <v>6</v>
      </c>
      <c r="J19" s="1"/>
      <c r="K19" s="50" t="str">
        <f t="shared" ref="K19:K21" si="20">IF(NOT(LEN($I19)=0),K18,"")</f>
        <v>VITA</v>
      </c>
      <c r="L19" s="50" t="str">
        <f t="shared" ref="L19:L21" si="21">IF(NOT(LEN($I19)=0),L18,"")</f>
        <v>MARK II</v>
      </c>
      <c r="M19" s="50">
        <f t="shared" ref="M19:M21" si="22">IF(NOT(LEN($I19)=0),M18,"")</f>
        <v>160</v>
      </c>
      <c r="N19" s="50" t="str">
        <f t="shared" ref="N19:N21" si="23">IF(NOT(LEN($I19)=0),N18,"")</f>
        <v>-</v>
      </c>
      <c r="O19" s="24">
        <f>IF(LEN(A19)&gt;0, 종합!$C$27, "")</f>
        <v>2.2599999999999998</v>
      </c>
      <c r="P19" s="1"/>
      <c r="Q19" s="7" t="str">
        <f t="shared" si="17"/>
        <v>-</v>
      </c>
      <c r="R19" s="7" t="str">
        <f t="shared" si="17"/>
        <v>-</v>
      </c>
      <c r="S19" s="7" t="str">
        <f t="shared" si="17"/>
        <v>-</v>
      </c>
      <c r="T19" s="7" t="str">
        <f t="shared" si="17"/>
        <v>-</v>
      </c>
      <c r="U19" s="7" t="str">
        <f t="shared" si="18"/>
        <v>-</v>
      </c>
      <c r="V19" s="7" t="str">
        <f t="shared" si="18"/>
        <v>-</v>
      </c>
      <c r="W19" s="7" t="str">
        <f t="shared" si="18"/>
        <v>-</v>
      </c>
      <c r="X19" s="7" t="str">
        <f t="shared" si="18"/>
        <v>-</v>
      </c>
      <c r="Y19" s="7" t="str">
        <f t="shared" si="18"/>
        <v>-</v>
      </c>
      <c r="Z19" s="7" t="str">
        <f t="shared" si="18"/>
        <v>-</v>
      </c>
      <c r="AA19" s="7" t="str">
        <f t="shared" si="18"/>
        <v>-</v>
      </c>
      <c r="AB19" s="7" t="str">
        <f t="shared" si="18"/>
        <v>-</v>
      </c>
      <c r="AC19" s="7" t="str">
        <f t="shared" si="19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5"/>
        <v>7</v>
      </c>
      <c r="G20" s="49" t="str">
        <f t="shared" ref="G20" si="24">IF(NOT(LEN($I20)=0),G19,"")</f>
        <v>-</v>
      </c>
      <c r="H20" s="49" t="str">
        <f t="shared" ref="H20" si="25">IF(NOT(LEN($I20)=0),H19,"")</f>
        <v>-</v>
      </c>
      <c r="I20" s="49">
        <f t="shared" si="16"/>
        <v>7</v>
      </c>
      <c r="J20" s="1"/>
      <c r="K20" s="50" t="str">
        <f t="shared" si="20"/>
        <v>VITA</v>
      </c>
      <c r="L20" s="50" t="str">
        <f t="shared" si="21"/>
        <v>MARK II</v>
      </c>
      <c r="M20" s="50">
        <f t="shared" si="22"/>
        <v>160</v>
      </c>
      <c r="N20" s="50" t="str">
        <f t="shared" si="23"/>
        <v>-</v>
      </c>
      <c r="O20" s="24">
        <f>IF(LEN(A20)&gt;0, 종합!$C$27, "")</f>
        <v>2.2599999999999998</v>
      </c>
      <c r="P20" s="1"/>
      <c r="Q20" s="7" t="str">
        <f t="shared" si="17"/>
        <v>-</v>
      </c>
      <c r="R20" s="7" t="str">
        <f t="shared" si="17"/>
        <v>-</v>
      </c>
      <c r="S20" s="7" t="str">
        <f t="shared" si="17"/>
        <v>-</v>
      </c>
      <c r="T20" s="7" t="str">
        <f t="shared" si="17"/>
        <v>-</v>
      </c>
      <c r="U20" s="7" t="str">
        <f t="shared" si="18"/>
        <v>-</v>
      </c>
      <c r="V20" s="7" t="str">
        <f t="shared" si="18"/>
        <v>-</v>
      </c>
      <c r="W20" s="7" t="str">
        <f t="shared" si="18"/>
        <v>-</v>
      </c>
      <c r="X20" s="7" t="str">
        <f t="shared" si="18"/>
        <v>-</v>
      </c>
      <c r="Y20" s="7" t="str">
        <f t="shared" si="18"/>
        <v>-</v>
      </c>
      <c r="Z20" s="7" t="str">
        <f t="shared" si="18"/>
        <v>-</v>
      </c>
      <c r="AA20" s="7" t="str">
        <f t="shared" si="18"/>
        <v>-</v>
      </c>
      <c r="AB20" s="7" t="str">
        <f t="shared" si="18"/>
        <v>-</v>
      </c>
      <c r="AC20" s="7" t="str">
        <f t="shared" si="19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tr">
        <f>IF(NOT(LEN(B21)=0),IF(LEN(D28)=0,"진행중","완료"),"")</f>
        <v>진행중</v>
      </c>
      <c r="E21" s="49">
        <v>23</v>
      </c>
      <c r="F21" s="49">
        <f t="shared" si="15"/>
        <v>8</v>
      </c>
      <c r="G21" s="53"/>
      <c r="H21" s="53"/>
      <c r="I21" s="49">
        <f t="shared" si="16"/>
        <v>8</v>
      </c>
      <c r="K21" s="50" t="str">
        <f t="shared" si="20"/>
        <v>VITA</v>
      </c>
      <c r="L21" s="50" t="str">
        <f t="shared" si="21"/>
        <v>MARK II</v>
      </c>
      <c r="M21" s="50">
        <f t="shared" si="22"/>
        <v>160</v>
      </c>
      <c r="N21" s="50" t="str">
        <f t="shared" si="23"/>
        <v>-</v>
      </c>
      <c r="O21" s="24">
        <f>IF(LEN(A21)&gt;0, 종합!$C$27, "")</f>
        <v>2.2599999999999998</v>
      </c>
      <c r="Q21" s="7" t="str">
        <f t="shared" si="17"/>
        <v xml:space="preserve">스핀들유격: </v>
      </c>
      <c r="R21" s="7" t="str">
        <f t="shared" si="17"/>
        <v xml:space="preserve">스핀들유격: </v>
      </c>
      <c r="S21" s="7" t="str">
        <f t="shared" si="17"/>
        <v xml:space="preserve">스핀들유격: </v>
      </c>
      <c r="T21" s="7" t="str">
        <f t="shared" si="17"/>
        <v xml:space="preserve">스핀들유격: </v>
      </c>
      <c r="U21" s="7" t="str">
        <f t="shared" si="18"/>
        <v>000-000</v>
      </c>
      <c r="V21" s="7" t="str">
        <f t="shared" si="18"/>
        <v>000-000</v>
      </c>
      <c r="W21" s="7" t="str">
        <f t="shared" si="18"/>
        <v>000-000</v>
      </c>
      <c r="X21" s="7" t="str">
        <f t="shared" si="18"/>
        <v>000-000</v>
      </c>
      <c r="Y21" s="7" t="str">
        <f t="shared" si="18"/>
        <v>000-000</v>
      </c>
      <c r="Z21" s="7" t="str">
        <f t="shared" si="18"/>
        <v>000-000</v>
      </c>
      <c r="AA21" s="7" t="str">
        <f t="shared" si="18"/>
        <v>000-000</v>
      </c>
      <c r="AB21" s="7" t="str">
        <f t="shared" si="18"/>
        <v>000-000</v>
      </c>
      <c r="AC21" s="7" t="str">
        <f t="shared" si="19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6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7">IF(NOT(LEN($A28)=0),"누락","")</f>
        <v/>
      </c>
      <c r="R28" s="48" t="str">
        <f t="shared" si="27"/>
        <v/>
      </c>
      <c r="S28" s="48" t="str">
        <f t="shared" si="27"/>
        <v/>
      </c>
      <c r="T28" s="48" t="str">
        <f t="shared" si="27"/>
        <v/>
      </c>
      <c r="U28" s="48" t="str">
        <f t="shared" si="27"/>
        <v/>
      </c>
      <c r="V28" s="48" t="str">
        <f t="shared" si="27"/>
        <v/>
      </c>
      <c r="W28" s="48" t="str">
        <f t="shared" si="27"/>
        <v/>
      </c>
      <c r="X28" s="48" t="str">
        <f t="shared" si="27"/>
        <v/>
      </c>
      <c r="Y28" s="48" t="str">
        <f t="shared" si="27"/>
        <v/>
      </c>
      <c r="Z28" s="48" t="str">
        <f t="shared" si="27"/>
        <v/>
      </c>
      <c r="AA28" s="48" t="str">
        <f t="shared" si="27"/>
        <v/>
      </c>
      <c r="AB28" s="48" t="str">
        <f t="shared" si="27"/>
        <v/>
      </c>
      <c r="AC28" s="48" t="str">
        <f t="shared" si="27"/>
        <v/>
      </c>
      <c r="AD28" s="48" t="str">
        <f t="shared" si="27"/>
        <v/>
      </c>
      <c r="AE28" s="48" t="str">
        <f t="shared" si="27"/>
        <v/>
      </c>
      <c r="AF28" s="48" t="str">
        <f t="shared" si="27"/>
        <v/>
      </c>
      <c r="AG28" s="48" t="str">
        <f t="shared" ref="AG28" si="28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83" priority="297" operator="containsText" text="신품">
      <formula>NOT(ISERROR(SEARCH("신품",F7)))</formula>
    </cfRule>
    <cfRule type="containsText" dxfId="282" priority="298" operator="containsText" text="중고">
      <formula>NOT(ISERROR(SEARCH("중고",F7)))</formula>
    </cfRule>
  </conditionalFormatting>
  <conditionalFormatting sqref="I7:I9">
    <cfRule type="containsText" dxfId="281" priority="295" operator="containsText" text="신품">
      <formula>NOT(ISERROR(SEARCH("신품",I7)))</formula>
    </cfRule>
    <cfRule type="containsText" dxfId="280" priority="296" operator="containsText" text="중고">
      <formula>NOT(ISERROR(SEARCH("중고",I7)))</formula>
    </cfRule>
  </conditionalFormatting>
  <conditionalFormatting sqref="F10">
    <cfRule type="containsText" dxfId="279" priority="291" operator="containsText" text="신품">
      <formula>NOT(ISERROR(SEARCH("신품",F10)))</formula>
    </cfRule>
    <cfRule type="containsText" dxfId="278" priority="292" operator="containsText" text="중고">
      <formula>NOT(ISERROR(SEARCH("중고",F10)))</formula>
    </cfRule>
  </conditionalFormatting>
  <conditionalFormatting sqref="I10">
    <cfRule type="containsText" dxfId="277" priority="289" operator="containsText" text="신품">
      <formula>NOT(ISERROR(SEARCH("신품",I10)))</formula>
    </cfRule>
    <cfRule type="containsText" dxfId="276" priority="290" operator="containsText" text="중고">
      <formula>NOT(ISERROR(SEARCH("중고",I10)))</formula>
    </cfRule>
  </conditionalFormatting>
  <conditionalFormatting sqref="F11">
    <cfRule type="containsText" dxfId="275" priority="285" operator="containsText" text="신품">
      <formula>NOT(ISERROR(SEARCH("신품",F11)))</formula>
    </cfRule>
    <cfRule type="containsText" dxfId="274" priority="286" operator="containsText" text="중고">
      <formula>NOT(ISERROR(SEARCH("중고",F11)))</formula>
    </cfRule>
  </conditionalFormatting>
  <conditionalFormatting sqref="I11">
    <cfRule type="containsText" dxfId="273" priority="283" operator="containsText" text="신품">
      <formula>NOT(ISERROR(SEARCH("신품",I11)))</formula>
    </cfRule>
    <cfRule type="containsText" dxfId="272" priority="284" operator="containsText" text="중고">
      <formula>NOT(ISERROR(SEARCH("중고",I11)))</formula>
    </cfRule>
  </conditionalFormatting>
  <conditionalFormatting sqref="F12">
    <cfRule type="containsText" dxfId="271" priority="279" operator="containsText" text="신품">
      <formula>NOT(ISERROR(SEARCH("신품",F12)))</formula>
    </cfRule>
    <cfRule type="containsText" dxfId="270" priority="280" operator="containsText" text="중고">
      <formula>NOT(ISERROR(SEARCH("중고",F12)))</formula>
    </cfRule>
  </conditionalFormatting>
  <conditionalFormatting sqref="I12">
    <cfRule type="containsText" dxfId="269" priority="277" operator="containsText" text="신품">
      <formula>NOT(ISERROR(SEARCH("신품",I12)))</formula>
    </cfRule>
    <cfRule type="containsText" dxfId="268" priority="278" operator="containsText" text="중고">
      <formula>NOT(ISERROR(SEARCH("중고",I12)))</formula>
    </cfRule>
  </conditionalFormatting>
  <conditionalFormatting sqref="D29">
    <cfRule type="containsText" dxfId="267" priority="262" operator="containsText" text="진행중">
      <formula>NOT(ISERROR(SEARCH("진행중",D29)))</formula>
    </cfRule>
  </conditionalFormatting>
  <conditionalFormatting sqref="N8:N28">
    <cfRule type="containsText" dxfId="266" priority="165" operator="containsText" text="완료">
      <formula>NOT(ISERROR(SEARCH("완료",N8)))</formula>
    </cfRule>
    <cfRule type="containsText" dxfId="265" priority="166" operator="containsText" text="중단">
      <formula>NOT(ISERROR(SEARCH("중단",N8)))</formula>
    </cfRule>
  </conditionalFormatting>
  <conditionalFormatting sqref="N8:N28">
    <cfRule type="containsText" dxfId="264" priority="163" operator="containsText" text="완료">
      <formula>NOT(ISERROR(SEARCH("완료",N8)))</formula>
    </cfRule>
    <cfRule type="containsText" dxfId="263" priority="164" operator="containsText" text="중단">
      <formula>NOT(ISERROR(SEARCH("중단",N8)))</formula>
    </cfRule>
  </conditionalFormatting>
  <conditionalFormatting sqref="N8:N28">
    <cfRule type="containsText" dxfId="262" priority="162" operator="containsText" text="진행중">
      <formula>NOT(ISERROR(SEARCH("진행중",N8)))</formula>
    </cfRule>
  </conditionalFormatting>
  <conditionalFormatting sqref="F14:F28">
    <cfRule type="containsText" dxfId="261" priority="255" operator="containsText" text="완료">
      <formula>NOT(ISERROR(SEARCH("완료",F14)))</formula>
    </cfRule>
    <cfRule type="containsText" dxfId="260" priority="256" operator="containsText" text="중단">
      <formula>NOT(ISERROR(SEARCH("중단",F14)))</formula>
    </cfRule>
  </conditionalFormatting>
  <conditionalFormatting sqref="F14:F28">
    <cfRule type="containsText" dxfId="259" priority="253" operator="containsText" text="완료">
      <formula>NOT(ISERROR(SEARCH("완료",F14)))</formula>
    </cfRule>
    <cfRule type="containsText" dxfId="258" priority="254" operator="containsText" text="중단">
      <formula>NOT(ISERROR(SEARCH("중단",F14)))</formula>
    </cfRule>
  </conditionalFormatting>
  <conditionalFormatting sqref="F14:F28">
    <cfRule type="containsText" dxfId="257" priority="252" operator="containsText" text="진행중">
      <formula>NOT(ISERROR(SEARCH("진행중",F14)))</formula>
    </cfRule>
  </conditionalFormatting>
  <conditionalFormatting sqref="K8:K17">
    <cfRule type="containsText" dxfId="256" priority="145" operator="containsText" text="완료">
      <formula>NOT(ISERROR(SEARCH("완료",K8)))</formula>
    </cfRule>
    <cfRule type="containsText" dxfId="255" priority="146" operator="containsText" text="중단">
      <formula>NOT(ISERROR(SEARCH("중단",K8)))</formula>
    </cfRule>
  </conditionalFormatting>
  <conditionalFormatting sqref="K8:K17">
    <cfRule type="containsText" dxfId="254" priority="143" operator="containsText" text="완료">
      <formula>NOT(ISERROR(SEARCH("완료",K8)))</formula>
    </cfRule>
    <cfRule type="containsText" dxfId="253" priority="144" operator="containsText" text="중단">
      <formula>NOT(ISERROR(SEARCH("중단",K8)))</formula>
    </cfRule>
  </conditionalFormatting>
  <conditionalFormatting sqref="K8:K17">
    <cfRule type="containsText" dxfId="252" priority="142" operator="containsText" text="진행중">
      <formula>NOT(ISERROR(SEARCH("진행중",K8)))</formula>
    </cfRule>
  </conditionalFormatting>
  <conditionalFormatting sqref="L8:L17">
    <cfRule type="containsText" dxfId="251" priority="140" operator="containsText" text="완료">
      <formula>NOT(ISERROR(SEARCH("완료",L8)))</formula>
    </cfRule>
    <cfRule type="containsText" dxfId="250" priority="141" operator="containsText" text="중단">
      <formula>NOT(ISERROR(SEARCH("중단",L8)))</formula>
    </cfRule>
  </conditionalFormatting>
  <conditionalFormatting sqref="L8:L17">
    <cfRule type="containsText" dxfId="249" priority="138" operator="containsText" text="완료">
      <formula>NOT(ISERROR(SEARCH("완료",L8)))</formula>
    </cfRule>
    <cfRule type="containsText" dxfId="248" priority="139" operator="containsText" text="중단">
      <formula>NOT(ISERROR(SEARCH("중단",L8)))</formula>
    </cfRule>
  </conditionalFormatting>
  <conditionalFormatting sqref="L8:L17">
    <cfRule type="containsText" dxfId="247" priority="137" operator="containsText" text="진행중">
      <formula>NOT(ISERROR(SEARCH("진행중",L8)))</formula>
    </cfRule>
  </conditionalFormatting>
  <conditionalFormatting sqref="M8:M28">
    <cfRule type="containsText" dxfId="246" priority="135" operator="containsText" text="완료">
      <formula>NOT(ISERROR(SEARCH("완료",M8)))</formula>
    </cfRule>
    <cfRule type="containsText" dxfId="245" priority="136" operator="containsText" text="중단">
      <formula>NOT(ISERROR(SEARCH("중단",M8)))</formula>
    </cfRule>
  </conditionalFormatting>
  <conditionalFormatting sqref="M8:M28">
    <cfRule type="containsText" dxfId="244" priority="133" operator="containsText" text="완료">
      <formula>NOT(ISERROR(SEARCH("완료",M8)))</formula>
    </cfRule>
    <cfRule type="containsText" dxfId="243" priority="134" operator="containsText" text="중단">
      <formula>NOT(ISERROR(SEARCH("중단",M8)))</formula>
    </cfRule>
  </conditionalFormatting>
  <conditionalFormatting sqref="M8:M28">
    <cfRule type="containsText" dxfId="242" priority="132" operator="containsText" text="진행중">
      <formula>NOT(ISERROR(SEARCH("진행중",M8)))</formula>
    </cfRule>
  </conditionalFormatting>
  <conditionalFormatting sqref="I14:I28">
    <cfRule type="containsText" dxfId="241" priority="210" operator="containsText" text="완료">
      <formula>NOT(ISERROR(SEARCH("완료",I14)))</formula>
    </cfRule>
    <cfRule type="containsText" dxfId="240" priority="211" operator="containsText" text="중단">
      <formula>NOT(ISERROR(SEARCH("중단",I14)))</formula>
    </cfRule>
  </conditionalFormatting>
  <conditionalFormatting sqref="I14:I28">
    <cfRule type="containsText" dxfId="239" priority="208" operator="containsText" text="완료">
      <formula>NOT(ISERROR(SEARCH("완료",I14)))</formula>
    </cfRule>
    <cfRule type="containsText" dxfId="238" priority="209" operator="containsText" text="중단">
      <formula>NOT(ISERROR(SEARCH("중단",I14)))</formula>
    </cfRule>
  </conditionalFormatting>
  <conditionalFormatting sqref="I14:I28">
    <cfRule type="containsText" dxfId="237" priority="207" operator="containsText" text="진행중">
      <formula>NOT(ISERROR(SEARCH("진행중",I14)))</formula>
    </cfRule>
  </conditionalFormatting>
  <conditionalFormatting sqref="F13">
    <cfRule type="containsText" dxfId="236" priority="205" operator="containsText" text="완료">
      <formula>NOT(ISERROR(SEARCH("완료",F13)))</formula>
    </cfRule>
    <cfRule type="containsText" dxfId="235" priority="206" operator="containsText" text="중단">
      <formula>NOT(ISERROR(SEARCH("중단",F13)))</formula>
    </cfRule>
  </conditionalFormatting>
  <conditionalFormatting sqref="F13">
    <cfRule type="containsText" dxfId="234" priority="203" operator="containsText" text="완료">
      <formula>NOT(ISERROR(SEARCH("완료",F13)))</formula>
    </cfRule>
    <cfRule type="containsText" dxfId="233" priority="204" operator="containsText" text="중단">
      <formula>NOT(ISERROR(SEARCH("중단",F13)))</formula>
    </cfRule>
  </conditionalFormatting>
  <conditionalFormatting sqref="F13">
    <cfRule type="containsText" dxfId="232" priority="202" operator="containsText" text="진행중">
      <formula>NOT(ISERROR(SEARCH("진행중",F13)))</formula>
    </cfRule>
  </conditionalFormatting>
  <conditionalFormatting sqref="I13">
    <cfRule type="containsText" dxfId="231" priority="200" operator="containsText" text="완료">
      <formula>NOT(ISERROR(SEARCH("완료",I13)))</formula>
    </cfRule>
    <cfRule type="containsText" dxfId="230" priority="201" operator="containsText" text="중단">
      <formula>NOT(ISERROR(SEARCH("중단",I13)))</formula>
    </cfRule>
  </conditionalFormatting>
  <conditionalFormatting sqref="I13">
    <cfRule type="containsText" dxfId="229" priority="198" operator="containsText" text="완료">
      <formula>NOT(ISERROR(SEARCH("완료",I13)))</formula>
    </cfRule>
    <cfRule type="containsText" dxfId="228" priority="199" operator="containsText" text="중단">
      <formula>NOT(ISERROR(SEARCH("중단",I13)))</formula>
    </cfRule>
  </conditionalFormatting>
  <conditionalFormatting sqref="I13">
    <cfRule type="containsText" dxfId="227" priority="197" operator="containsText" text="진행중">
      <formula>NOT(ISERROR(SEARCH("진행중",I13)))</formula>
    </cfRule>
  </conditionalFormatting>
  <conditionalFormatting sqref="E20:E28">
    <cfRule type="containsText" dxfId="226" priority="120" operator="containsText" text="완료">
      <formula>NOT(ISERROR(SEARCH("완료",E20)))</formula>
    </cfRule>
    <cfRule type="containsText" dxfId="225" priority="121" operator="containsText" text="중단">
      <formula>NOT(ISERROR(SEARCH("중단",E20)))</formula>
    </cfRule>
  </conditionalFormatting>
  <conditionalFormatting sqref="E20:E28">
    <cfRule type="containsText" dxfId="224" priority="118" operator="containsText" text="완료">
      <formula>NOT(ISERROR(SEARCH("완료",E20)))</formula>
    </cfRule>
    <cfRule type="containsText" dxfId="223" priority="119" operator="containsText" text="중단">
      <formula>NOT(ISERROR(SEARCH("중단",E20)))</formula>
    </cfRule>
  </conditionalFormatting>
  <conditionalFormatting sqref="E20:E28">
    <cfRule type="containsText" dxfId="222" priority="117" operator="containsText" text="진행중">
      <formula>NOT(ISERROR(SEARCH("진행중",E20)))</formula>
    </cfRule>
  </conditionalFormatting>
  <conditionalFormatting sqref="K18:K28">
    <cfRule type="containsText" dxfId="221" priority="190" operator="containsText" text="완료">
      <formula>NOT(ISERROR(SEARCH("완료",K18)))</formula>
    </cfRule>
    <cfRule type="containsText" dxfId="220" priority="191" operator="containsText" text="중단">
      <formula>NOT(ISERROR(SEARCH("중단",K18)))</formula>
    </cfRule>
  </conditionalFormatting>
  <conditionalFormatting sqref="K18:K28">
    <cfRule type="containsText" dxfId="219" priority="188" operator="containsText" text="완료">
      <formula>NOT(ISERROR(SEARCH("완료",K18)))</formula>
    </cfRule>
    <cfRule type="containsText" dxfId="218" priority="189" operator="containsText" text="중단">
      <formula>NOT(ISERROR(SEARCH("중단",K18)))</formula>
    </cfRule>
  </conditionalFormatting>
  <conditionalFormatting sqref="K18:K28">
    <cfRule type="containsText" dxfId="217" priority="187" operator="containsText" text="진행중">
      <formula>NOT(ISERROR(SEARCH("진행중",K18)))</formula>
    </cfRule>
  </conditionalFormatting>
  <conditionalFormatting sqref="L18:L28">
    <cfRule type="containsText" dxfId="216" priority="180" operator="containsText" text="완료">
      <formula>NOT(ISERROR(SEARCH("완료",L18)))</formula>
    </cfRule>
    <cfRule type="containsText" dxfId="215" priority="181" operator="containsText" text="중단">
      <formula>NOT(ISERROR(SEARCH("중단",L18)))</formula>
    </cfRule>
  </conditionalFormatting>
  <conditionalFormatting sqref="L18:L28">
    <cfRule type="containsText" dxfId="214" priority="178" operator="containsText" text="완료">
      <formula>NOT(ISERROR(SEARCH("완료",L18)))</formula>
    </cfRule>
    <cfRule type="containsText" dxfId="213" priority="179" operator="containsText" text="중단">
      <formula>NOT(ISERROR(SEARCH("중단",L18)))</formula>
    </cfRule>
  </conditionalFormatting>
  <conditionalFormatting sqref="L18:L28">
    <cfRule type="containsText" dxfId="212" priority="177" operator="containsText" text="진행중">
      <formula>NOT(ISERROR(SEARCH("진행중",L18)))</formula>
    </cfRule>
  </conditionalFormatting>
  <conditionalFormatting sqref="E19">
    <cfRule type="containsText" dxfId="211" priority="115" operator="containsText" text="완료">
      <formula>NOT(ISERROR(SEARCH("완료",E19)))</formula>
    </cfRule>
    <cfRule type="containsText" dxfId="210" priority="116" operator="containsText" text="중단">
      <formula>NOT(ISERROR(SEARCH("중단",E19)))</formula>
    </cfRule>
  </conditionalFormatting>
  <conditionalFormatting sqref="E19">
    <cfRule type="containsText" dxfId="209" priority="113" operator="containsText" text="완료">
      <formula>NOT(ISERROR(SEARCH("완료",E19)))</formula>
    </cfRule>
    <cfRule type="containsText" dxfId="208" priority="114" operator="containsText" text="중단">
      <formula>NOT(ISERROR(SEARCH("중단",E19)))</formula>
    </cfRule>
  </conditionalFormatting>
  <conditionalFormatting sqref="E19">
    <cfRule type="containsText" dxfId="207" priority="112" operator="containsText" text="진행중">
      <formula>NOT(ISERROR(SEARCH("진행중",E19)))</formula>
    </cfRule>
  </conditionalFormatting>
  <conditionalFormatting sqref="G8:G20">
    <cfRule type="containsText" dxfId="206" priority="110" operator="containsText" text="완료">
      <formula>NOT(ISERROR(SEARCH("완료",G8)))</formula>
    </cfRule>
    <cfRule type="containsText" dxfId="205" priority="111" operator="containsText" text="중단">
      <formula>NOT(ISERROR(SEARCH("중단",G8)))</formula>
    </cfRule>
  </conditionalFormatting>
  <conditionalFormatting sqref="G8:G20">
    <cfRule type="containsText" dxfId="204" priority="108" operator="containsText" text="완료">
      <formula>NOT(ISERROR(SEARCH("완료",G8)))</formula>
    </cfRule>
    <cfRule type="containsText" dxfId="203" priority="109" operator="containsText" text="중단">
      <formula>NOT(ISERROR(SEARCH("중단",G8)))</formula>
    </cfRule>
  </conditionalFormatting>
  <conditionalFormatting sqref="G8:G20">
    <cfRule type="containsText" dxfId="202" priority="107" operator="containsText" text="진행중">
      <formula>NOT(ISERROR(SEARCH("진행중",G8)))</formula>
    </cfRule>
  </conditionalFormatting>
  <conditionalFormatting sqref="H8:H20">
    <cfRule type="containsText" dxfId="201" priority="105" operator="containsText" text="완료">
      <formula>NOT(ISERROR(SEARCH("완료",H8)))</formula>
    </cfRule>
    <cfRule type="containsText" dxfId="200" priority="106" operator="containsText" text="중단">
      <formula>NOT(ISERROR(SEARCH("중단",H8)))</formula>
    </cfRule>
  </conditionalFormatting>
  <conditionalFormatting sqref="H8:H20">
    <cfRule type="containsText" dxfId="199" priority="103" operator="containsText" text="완료">
      <formula>NOT(ISERROR(SEARCH("완료",H8)))</formula>
    </cfRule>
    <cfRule type="containsText" dxfId="198" priority="104" operator="containsText" text="중단">
      <formula>NOT(ISERROR(SEARCH("중단",H8)))</formula>
    </cfRule>
  </conditionalFormatting>
  <conditionalFormatting sqref="H8:H20">
    <cfRule type="containsText" dxfId="197" priority="102" operator="containsText" text="진행중">
      <formula>NOT(ISERROR(SEARCH("진행중",H8)))</formula>
    </cfRule>
  </conditionalFormatting>
  <conditionalFormatting sqref="Q20:Q28">
    <cfRule type="containsText" dxfId="196" priority="80" operator="containsText" text="완료">
      <formula>NOT(ISERROR(SEARCH("완료",Q20)))</formula>
    </cfRule>
    <cfRule type="containsText" dxfId="195" priority="81" operator="containsText" text="중단">
      <formula>NOT(ISERROR(SEARCH("중단",Q20)))</formula>
    </cfRule>
  </conditionalFormatting>
  <conditionalFormatting sqref="Q20:Q28">
    <cfRule type="containsText" dxfId="194" priority="78" operator="containsText" text="완료">
      <formula>NOT(ISERROR(SEARCH("완료",Q20)))</formula>
    </cfRule>
    <cfRule type="containsText" dxfId="193" priority="79" operator="containsText" text="중단">
      <formula>NOT(ISERROR(SEARCH("중단",Q20)))</formula>
    </cfRule>
  </conditionalFormatting>
  <conditionalFormatting sqref="Q20:Q28">
    <cfRule type="containsText" dxfId="192" priority="77" operator="containsText" text="진행중">
      <formula>NOT(ISERROR(SEARCH("진행중",Q20)))</formula>
    </cfRule>
  </conditionalFormatting>
  <conditionalFormatting sqref="R20:R28">
    <cfRule type="containsText" dxfId="191" priority="75" operator="containsText" text="완료">
      <formula>NOT(ISERROR(SEARCH("완료",R20)))</formula>
    </cfRule>
    <cfRule type="containsText" dxfId="190" priority="76" operator="containsText" text="중단">
      <formula>NOT(ISERROR(SEARCH("중단",R20)))</formula>
    </cfRule>
  </conditionalFormatting>
  <conditionalFormatting sqref="R20:R28">
    <cfRule type="containsText" dxfId="189" priority="73" operator="containsText" text="완료">
      <formula>NOT(ISERROR(SEARCH("완료",R20)))</formula>
    </cfRule>
    <cfRule type="containsText" dxfId="188" priority="74" operator="containsText" text="중단">
      <formula>NOT(ISERROR(SEARCH("중단",R20)))</formula>
    </cfRule>
  </conditionalFormatting>
  <conditionalFormatting sqref="R20:R28">
    <cfRule type="containsText" dxfId="187" priority="72" operator="containsText" text="진행중">
      <formula>NOT(ISERROR(SEARCH("진행중",R20)))</formula>
    </cfRule>
  </conditionalFormatting>
  <conditionalFormatting sqref="S20:S28">
    <cfRule type="containsText" dxfId="186" priority="70" operator="containsText" text="완료">
      <formula>NOT(ISERROR(SEARCH("완료",S20)))</formula>
    </cfRule>
    <cfRule type="containsText" dxfId="185" priority="71" operator="containsText" text="중단">
      <formula>NOT(ISERROR(SEARCH("중단",S20)))</formula>
    </cfRule>
  </conditionalFormatting>
  <conditionalFormatting sqref="S20:S28">
    <cfRule type="containsText" dxfId="184" priority="68" operator="containsText" text="완료">
      <formula>NOT(ISERROR(SEARCH("완료",S20)))</formula>
    </cfRule>
    <cfRule type="containsText" dxfId="183" priority="69" operator="containsText" text="중단">
      <formula>NOT(ISERROR(SEARCH("중단",S20)))</formula>
    </cfRule>
  </conditionalFormatting>
  <conditionalFormatting sqref="S20:S28">
    <cfRule type="containsText" dxfId="182" priority="67" operator="containsText" text="진행중">
      <formula>NOT(ISERROR(SEARCH("진행중",S20)))</formula>
    </cfRule>
  </conditionalFormatting>
  <conditionalFormatting sqref="T20:T28">
    <cfRule type="containsText" dxfId="181" priority="65" operator="containsText" text="완료">
      <formula>NOT(ISERROR(SEARCH("완료",T20)))</formula>
    </cfRule>
    <cfRule type="containsText" dxfId="180" priority="66" operator="containsText" text="중단">
      <formula>NOT(ISERROR(SEARCH("중단",T20)))</formula>
    </cfRule>
  </conditionalFormatting>
  <conditionalFormatting sqref="T20:T28">
    <cfRule type="containsText" dxfId="179" priority="63" operator="containsText" text="완료">
      <formula>NOT(ISERROR(SEARCH("완료",T20)))</formula>
    </cfRule>
    <cfRule type="containsText" dxfId="178" priority="64" operator="containsText" text="중단">
      <formula>NOT(ISERROR(SEARCH("중단",T20)))</formula>
    </cfRule>
  </conditionalFormatting>
  <conditionalFormatting sqref="T20:T28">
    <cfRule type="containsText" dxfId="177" priority="62" operator="containsText" text="진행중">
      <formula>NOT(ISERROR(SEARCH("진행중",T20)))</formula>
    </cfRule>
  </conditionalFormatting>
  <conditionalFormatting sqref="U20:AC28">
    <cfRule type="containsText" dxfId="176" priority="60" operator="containsText" text="완료">
      <formula>NOT(ISERROR(SEARCH("완료",U20)))</formula>
    </cfRule>
    <cfRule type="containsText" dxfId="175" priority="61" operator="containsText" text="중단">
      <formula>NOT(ISERROR(SEARCH("중단",U20)))</formula>
    </cfRule>
  </conditionalFormatting>
  <conditionalFormatting sqref="U20:AC28">
    <cfRule type="containsText" dxfId="174" priority="58" operator="containsText" text="완료">
      <formula>NOT(ISERROR(SEARCH("완료",U20)))</formula>
    </cfRule>
    <cfRule type="containsText" dxfId="173" priority="59" operator="containsText" text="중단">
      <formula>NOT(ISERROR(SEARCH("중단",U20)))</formula>
    </cfRule>
  </conditionalFormatting>
  <conditionalFormatting sqref="U20:AC28">
    <cfRule type="containsText" dxfId="172" priority="57" operator="containsText" text="진행중">
      <formula>NOT(ISERROR(SEARCH("진행중",U20)))</formula>
    </cfRule>
  </conditionalFormatting>
  <conditionalFormatting sqref="AD20:AD28">
    <cfRule type="containsText" dxfId="171" priority="55" operator="containsText" text="완료">
      <formula>NOT(ISERROR(SEARCH("완료",AD20)))</formula>
    </cfRule>
    <cfRule type="containsText" dxfId="170" priority="56" operator="containsText" text="중단">
      <formula>NOT(ISERROR(SEARCH("중단",AD20)))</formula>
    </cfRule>
  </conditionalFormatting>
  <conditionalFormatting sqref="AD20:AD28">
    <cfRule type="containsText" dxfId="169" priority="53" operator="containsText" text="완료">
      <formula>NOT(ISERROR(SEARCH("완료",AD20)))</formula>
    </cfRule>
    <cfRule type="containsText" dxfId="168" priority="54" operator="containsText" text="중단">
      <formula>NOT(ISERROR(SEARCH("중단",AD20)))</formula>
    </cfRule>
  </conditionalFormatting>
  <conditionalFormatting sqref="AD20:AD28">
    <cfRule type="containsText" dxfId="167" priority="52" operator="containsText" text="진행중">
      <formula>NOT(ISERROR(SEARCH("진행중",AD20)))</formula>
    </cfRule>
  </conditionalFormatting>
  <conditionalFormatting sqref="AE20:AE28">
    <cfRule type="containsText" dxfId="166" priority="50" operator="containsText" text="완료">
      <formula>NOT(ISERROR(SEARCH("완료",AE20)))</formula>
    </cfRule>
    <cfRule type="containsText" dxfId="165" priority="51" operator="containsText" text="중단">
      <formula>NOT(ISERROR(SEARCH("중단",AE20)))</formula>
    </cfRule>
  </conditionalFormatting>
  <conditionalFormatting sqref="AE20:AE28">
    <cfRule type="containsText" dxfId="164" priority="48" operator="containsText" text="완료">
      <formula>NOT(ISERROR(SEARCH("완료",AE20)))</formula>
    </cfRule>
    <cfRule type="containsText" dxfId="163" priority="49" operator="containsText" text="중단">
      <formula>NOT(ISERROR(SEARCH("중단",AE20)))</formula>
    </cfRule>
  </conditionalFormatting>
  <conditionalFormatting sqref="AE20:AE28">
    <cfRule type="containsText" dxfId="162" priority="47" operator="containsText" text="진행중">
      <formula>NOT(ISERROR(SEARCH("진행중",AE20)))</formula>
    </cfRule>
  </conditionalFormatting>
  <conditionalFormatting sqref="D8:D19">
    <cfRule type="containsText" dxfId="161" priority="45" operator="containsText" text="완료">
      <formula>NOT(ISERROR(SEARCH("완료",D8)))</formula>
    </cfRule>
    <cfRule type="containsText" dxfId="160" priority="46" operator="containsText" text="중단">
      <formula>NOT(ISERROR(SEARCH("중단",D8)))</formula>
    </cfRule>
  </conditionalFormatting>
  <conditionalFormatting sqref="D11">
    <cfRule type="containsText" dxfId="159" priority="43" operator="containsText" text="완료">
      <formula>NOT(ISERROR(SEARCH("완료",D11)))</formula>
    </cfRule>
    <cfRule type="containsText" dxfId="158" priority="44" operator="containsText" text="중단">
      <formula>NOT(ISERROR(SEARCH("중단",D11)))</formula>
    </cfRule>
  </conditionalFormatting>
  <conditionalFormatting sqref="D12:D19">
    <cfRule type="containsText" dxfId="157" priority="41" operator="containsText" text="완료">
      <formula>NOT(ISERROR(SEARCH("완료",D12)))</formula>
    </cfRule>
    <cfRule type="containsText" dxfId="156" priority="42" operator="containsText" text="중단">
      <formula>NOT(ISERROR(SEARCH("중단",D12)))</formula>
    </cfRule>
  </conditionalFormatting>
  <conditionalFormatting sqref="D13:D19">
    <cfRule type="containsText" dxfId="155" priority="39" operator="containsText" text="완료">
      <formula>NOT(ISERROR(SEARCH("완료",D13)))</formula>
    </cfRule>
    <cfRule type="containsText" dxfId="154" priority="40" operator="containsText" text="중단">
      <formula>NOT(ISERROR(SEARCH("중단",D13)))</formula>
    </cfRule>
  </conditionalFormatting>
  <conditionalFormatting sqref="D8:D19">
    <cfRule type="containsText" dxfId="153" priority="38" operator="containsText" text="진행중">
      <formula>NOT(ISERROR(SEARCH("진행중",D8)))</formula>
    </cfRule>
  </conditionalFormatting>
  <conditionalFormatting sqref="D8:D28">
    <cfRule type="containsText" dxfId="152" priority="36" operator="containsText" text="완료">
      <formula>NOT(ISERROR(SEARCH("완료",D8)))</formula>
    </cfRule>
    <cfRule type="containsText" dxfId="151" priority="37" operator="containsText" text="중단">
      <formula>NOT(ISERROR(SEARCH("중단",D8)))</formula>
    </cfRule>
  </conditionalFormatting>
  <conditionalFormatting sqref="D8:D28">
    <cfRule type="containsText" dxfId="150" priority="34" operator="containsText" text="완료">
      <formula>NOT(ISERROR(SEARCH("완료",D8)))</formula>
    </cfRule>
    <cfRule type="containsText" dxfId="149" priority="35" operator="containsText" text="중단">
      <formula>NOT(ISERROR(SEARCH("중단",D8)))</formula>
    </cfRule>
  </conditionalFormatting>
  <conditionalFormatting sqref="D8:D28">
    <cfRule type="containsText" dxfId="148" priority="33" operator="containsText" text="진행중">
      <formula>NOT(ISERROR(SEARCH("진행중",D8)))</formula>
    </cfRule>
  </conditionalFormatting>
  <conditionalFormatting sqref="D7">
    <cfRule type="containsText" dxfId="147" priority="31" operator="containsText" text="완료">
      <formula>NOT(ISERROR(SEARCH("완료",D7)))</formula>
    </cfRule>
    <cfRule type="containsText" dxfId="146" priority="32" operator="containsText" text="중단">
      <formula>NOT(ISERROR(SEARCH("중단",D7)))</formula>
    </cfRule>
  </conditionalFormatting>
  <conditionalFormatting sqref="D7">
    <cfRule type="containsText" dxfId="145" priority="29" operator="containsText" text="완료">
      <formula>NOT(ISERROR(SEARCH("완료",D7)))</formula>
    </cfRule>
    <cfRule type="containsText" dxfId="144" priority="30" operator="containsText" text="중단">
      <formula>NOT(ISERROR(SEARCH("중단",D7)))</formula>
    </cfRule>
  </conditionalFormatting>
  <conditionalFormatting sqref="D7">
    <cfRule type="containsText" dxfId="143" priority="28" operator="containsText" text="진행중">
      <formula>NOT(ISERROR(SEARCH("진행중",D7)))</formula>
    </cfRule>
  </conditionalFormatting>
  <conditionalFormatting sqref="A1:AG27 A29:AG29 A28:AE28">
    <cfRule type="containsText" dxfId="142" priority="27" operator="containsText" text="누락">
      <formula>NOT(ISERROR(SEARCH("누락",A1)))</formula>
    </cfRule>
  </conditionalFormatting>
  <conditionalFormatting sqref="AF21:AF27">
    <cfRule type="containsText" dxfId="141" priority="25" operator="containsText" text="완료">
      <formula>NOT(ISERROR(SEARCH("완료",AF21)))</formula>
    </cfRule>
    <cfRule type="containsText" dxfId="140" priority="26" operator="containsText" text="중단">
      <formula>NOT(ISERROR(SEARCH("중단",AF21)))</formula>
    </cfRule>
  </conditionalFormatting>
  <conditionalFormatting sqref="AF21:AF27">
    <cfRule type="containsText" dxfId="139" priority="23" operator="containsText" text="완료">
      <formula>NOT(ISERROR(SEARCH("완료",AF21)))</formula>
    </cfRule>
    <cfRule type="containsText" dxfId="138" priority="24" operator="containsText" text="중단">
      <formula>NOT(ISERROR(SEARCH("중단",AF21)))</formula>
    </cfRule>
  </conditionalFormatting>
  <conditionalFormatting sqref="AF21:AF27">
    <cfRule type="containsText" dxfId="137" priority="22" operator="containsText" text="진행중">
      <formula>NOT(ISERROR(SEARCH("진행중",AF21)))</formula>
    </cfRule>
  </conditionalFormatting>
  <conditionalFormatting sqref="AG21:AG27">
    <cfRule type="containsText" dxfId="136" priority="20" operator="containsText" text="완료">
      <formula>NOT(ISERROR(SEARCH("완료",AG21)))</formula>
    </cfRule>
    <cfRule type="containsText" dxfId="135" priority="21" operator="containsText" text="중단">
      <formula>NOT(ISERROR(SEARCH("중단",AG21)))</formula>
    </cfRule>
  </conditionalFormatting>
  <conditionalFormatting sqref="AG21:AG27">
    <cfRule type="containsText" dxfId="134" priority="18" operator="containsText" text="완료">
      <formula>NOT(ISERROR(SEARCH("완료",AG21)))</formula>
    </cfRule>
    <cfRule type="containsText" dxfId="133" priority="19" operator="containsText" text="중단">
      <formula>NOT(ISERROR(SEARCH("중단",AG21)))</formula>
    </cfRule>
  </conditionalFormatting>
  <conditionalFormatting sqref="AG21:AG27">
    <cfRule type="containsText" dxfId="132" priority="17" operator="containsText" text="진행중">
      <formula>NOT(ISERROR(SEARCH("진행중",AG21)))</formula>
    </cfRule>
  </conditionalFormatting>
  <conditionalFormatting sqref="AG21:AG27">
    <cfRule type="containsText" dxfId="131" priority="15" operator="containsText" text="완료">
      <formula>NOT(ISERROR(SEARCH("완료",AG21)))</formula>
    </cfRule>
    <cfRule type="containsText" dxfId="130" priority="16" operator="containsText" text="중단">
      <formula>NOT(ISERROR(SEARCH("중단",AG21)))</formula>
    </cfRule>
  </conditionalFormatting>
  <conditionalFormatting sqref="AG21:AG27">
    <cfRule type="containsText" dxfId="129" priority="13" operator="containsText" text="완료">
      <formula>NOT(ISERROR(SEARCH("완료",AG21)))</formula>
    </cfRule>
    <cfRule type="containsText" dxfId="128" priority="14" operator="containsText" text="중단">
      <formula>NOT(ISERROR(SEARCH("중단",AG21)))</formula>
    </cfRule>
  </conditionalFormatting>
  <conditionalFormatting sqref="AG21:AG27">
    <cfRule type="containsText" dxfId="127" priority="12" operator="containsText" text="진행중">
      <formula>NOT(ISERROR(SEARCH("진행중",AG21)))</formula>
    </cfRule>
  </conditionalFormatting>
  <conditionalFormatting sqref="AF28:AG28">
    <cfRule type="containsText" dxfId="126" priority="11" operator="containsText" text="누락">
      <formula>NOT(ISERROR(SEARCH("누락",AF28)))</formula>
    </cfRule>
  </conditionalFormatting>
  <conditionalFormatting sqref="AF28">
    <cfRule type="containsText" dxfId="125" priority="9" operator="containsText" text="완료">
      <formula>NOT(ISERROR(SEARCH("완료",AF28)))</formula>
    </cfRule>
    <cfRule type="containsText" dxfId="124" priority="10" operator="containsText" text="중단">
      <formula>NOT(ISERROR(SEARCH("중단",AF28)))</formula>
    </cfRule>
  </conditionalFormatting>
  <conditionalFormatting sqref="AF28">
    <cfRule type="containsText" dxfId="123" priority="7" operator="containsText" text="완료">
      <formula>NOT(ISERROR(SEARCH("완료",AF28)))</formula>
    </cfRule>
    <cfRule type="containsText" dxfId="122" priority="8" operator="containsText" text="중단">
      <formula>NOT(ISERROR(SEARCH("중단",AF28)))</formula>
    </cfRule>
  </conditionalFormatting>
  <conditionalFormatting sqref="AF28">
    <cfRule type="containsText" dxfId="121" priority="6" operator="containsText" text="진행중">
      <formula>NOT(ISERROR(SEARCH("진행중",AF28)))</formula>
    </cfRule>
  </conditionalFormatting>
  <conditionalFormatting sqref="AG28">
    <cfRule type="containsText" dxfId="120" priority="4" operator="containsText" text="완료">
      <formula>NOT(ISERROR(SEARCH("완료",AG28)))</formula>
    </cfRule>
    <cfRule type="containsText" dxfId="119" priority="5" operator="containsText" text="중단">
      <formula>NOT(ISERROR(SEARCH("중단",AG28)))</formula>
    </cfRule>
  </conditionalFormatting>
  <conditionalFormatting sqref="AG28">
    <cfRule type="containsText" dxfId="118" priority="2" operator="containsText" text="완료">
      <formula>NOT(ISERROR(SEARCH("완료",AG28)))</formula>
    </cfRule>
    <cfRule type="containsText" dxfId="117" priority="3" operator="containsText" text="중단">
      <formula>NOT(ISERROR(SEARCH("중단",AG28)))</formula>
    </cfRule>
  </conditionalFormatting>
  <conditionalFormatting sqref="AG28">
    <cfRule type="containsText" dxfId="116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activeCell="H15" sqref="H15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57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104</v>
      </c>
      <c r="C4" s="27" t="s">
        <v>50</v>
      </c>
      <c r="D4" s="27" t="s">
        <v>51</v>
      </c>
      <c r="E4" s="27" t="s">
        <v>52</v>
      </c>
      <c r="F4" s="27" t="s">
        <v>53</v>
      </c>
      <c r="G4" s="27" t="s">
        <v>54</v>
      </c>
      <c r="H4" s="27" t="s">
        <v>55</v>
      </c>
    </row>
    <row r="5" spans="1:16" x14ac:dyDescent="0.45">
      <c r="A5" s="29" t="s">
        <v>108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109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120</v>
      </c>
      <c r="B7" s="16">
        <f>SUM(C7:H7)</f>
        <v>6</v>
      </c>
      <c r="C7" s="30">
        <f>COUNTIF('ES#8'!$A$7:$A$29,LEFT(A7,10))</f>
        <v>3</v>
      </c>
      <c r="D7" s="30">
        <f>COUNTIF('ES#9'!$A$7:$A$29,LEFT(A7,10))</f>
        <v>3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56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104</v>
      </c>
      <c r="C11" s="27" t="s">
        <v>50</v>
      </c>
      <c r="D11" s="27" t="s">
        <v>51</v>
      </c>
      <c r="E11" s="27" t="s">
        <v>52</v>
      </c>
      <c r="F11" s="27" t="s">
        <v>53</v>
      </c>
      <c r="G11" s="27" t="s">
        <v>54</v>
      </c>
      <c r="H11" s="27" t="s">
        <v>55</v>
      </c>
    </row>
    <row r="12" spans="1:16" x14ac:dyDescent="0.45">
      <c r="A12" s="38" t="s">
        <v>105</v>
      </c>
      <c r="B12" s="16">
        <f>SUM(C12:H12)</f>
        <v>56</v>
      </c>
      <c r="C12" s="32">
        <f>_xlfn.LET(
  _xlpm.ym, LEFT($A12,7),
  _xlpm.d0, DATEVALUE(_xlpm.ym &amp; "-01"),
  COUNTIFS('ES#8'!$A$7:$A$29, "&gt;=" &amp; _xlpm.d0,
           'ES#8'!$A$7:$A$29, "&lt;"  &amp; EOMONTH(_xlpm.d0,0)+1)
)</f>
        <v>10</v>
      </c>
      <c r="D12" s="32">
        <f>_xlfn.LET(
  _xlpm.ym, LEFT($A12,7),
  _xlpm.d0, DATEVALUE(_xlpm.ym &amp; "-01"),
  COUNTIFS('ES#9'!$A$7:$A$29, "&gt;=" &amp; _xlpm.d0,
           'ES#9'!$A$7:$A$29, "&lt;"  &amp; EOMONTH(_xlpm.d0,0)+1)
)</f>
        <v>10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128</v>
      </c>
      <c r="K12" s="32">
        <f t="shared" ref="K12:P12" si="0">SUM(C5:C8)</f>
        <v>10</v>
      </c>
      <c r="L12" s="32">
        <f t="shared" si="0"/>
        <v>10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110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119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114</v>
      </c>
      <c r="B17" s="29" t="s">
        <v>102</v>
      </c>
      <c r="C17" s="74" t="s">
        <v>103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58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106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95</v>
      </c>
      <c r="B21" s="16">
        <f>ROUNDDOWN(B18/B19,1)</f>
        <v>25</v>
      </c>
      <c r="C21" s="88" t="s">
        <v>107</v>
      </c>
      <c r="D21" s="89"/>
      <c r="E21" s="89"/>
      <c r="F21" s="89"/>
      <c r="G21" s="89"/>
      <c r="H21" s="90"/>
    </row>
    <row r="22" spans="1:8" x14ac:dyDescent="0.45">
      <c r="A22" s="40" t="s">
        <v>100</v>
      </c>
      <c r="B22" s="16"/>
      <c r="C22" s="85" t="s">
        <v>101</v>
      </c>
      <c r="D22" s="86"/>
      <c r="E22" s="86"/>
      <c r="F22" s="86"/>
      <c r="G22" s="86"/>
      <c r="H22" s="87"/>
    </row>
    <row r="25" spans="1:8" ht="17" customHeight="1" x14ac:dyDescent="0.45">
      <c r="A25" s="77" t="s">
        <v>112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113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126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125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/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97</v>
      </c>
      <c r="C4" s="26" t="s">
        <v>98</v>
      </c>
      <c r="D4" s="15" t="s">
        <v>117</v>
      </c>
    </row>
    <row r="5" spans="2:4" ht="170" x14ac:dyDescent="0.45">
      <c r="B5" s="15" t="s">
        <v>99</v>
      </c>
      <c r="C5" s="26" t="s">
        <v>96</v>
      </c>
      <c r="D5" s="15" t="s">
        <v>118</v>
      </c>
    </row>
    <row r="6" spans="2:4" ht="170" x14ac:dyDescent="0.45">
      <c r="B6" s="15" t="s">
        <v>115</v>
      </c>
      <c r="C6" s="26" t="s">
        <v>116</v>
      </c>
      <c r="D6" s="15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2025-11-12T06:36:01Z</dcterms:modified>
</cp:coreProperties>
</file>