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5F51F173-E82E-49CA-9917-2C644C4DAB93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8" l="1"/>
  <c r="H17" i="18"/>
  <c r="G18" i="18"/>
  <c r="H18" i="18"/>
  <c r="G19" i="18"/>
  <c r="H19" i="18"/>
  <c r="G20" i="18"/>
  <c r="H20" i="18"/>
  <c r="G21" i="18"/>
  <c r="H21" i="18"/>
  <c r="G22" i="18"/>
  <c r="H22" i="18"/>
  <c r="G17" i="19"/>
  <c r="H17" i="19"/>
  <c r="G18" i="19"/>
  <c r="H18" i="19"/>
  <c r="G19" i="19"/>
  <c r="H19" i="19"/>
  <c r="G20" i="19"/>
  <c r="H20" i="19"/>
  <c r="G21" i="19"/>
  <c r="H21" i="19"/>
  <c r="G22" i="19"/>
  <c r="H22" i="19"/>
  <c r="H16" i="18"/>
  <c r="H16" i="19"/>
  <c r="G16" i="18"/>
  <c r="G16" i="19"/>
  <c r="F17" i="18"/>
  <c r="I17" i="18"/>
  <c r="F18" i="18"/>
  <c r="I18" i="18"/>
  <c r="F19" i="18"/>
  <c r="I19" i="18"/>
  <c r="F20" i="18"/>
  <c r="I20" i="18"/>
  <c r="F21" i="18"/>
  <c r="I21" i="18"/>
  <c r="F22" i="18"/>
  <c r="I22" i="18"/>
  <c r="F17" i="19"/>
  <c r="I17" i="19"/>
  <c r="F18" i="19"/>
  <c r="I18" i="19"/>
  <c r="F19" i="19"/>
  <c r="I19" i="19"/>
  <c r="F20" i="19"/>
  <c r="I20" i="19"/>
  <c r="F21" i="19"/>
  <c r="I21" i="19"/>
  <c r="F22" i="19"/>
  <c r="I22" i="19"/>
  <c r="L12" i="10"/>
  <c r="O12" i="10"/>
  <c r="P12" i="10"/>
  <c r="N12" i="10"/>
  <c r="M12" i="10"/>
  <c r="C7" i="10"/>
  <c r="D7" i="10"/>
  <c r="E7" i="10"/>
  <c r="F7" i="10"/>
  <c r="G7" i="10"/>
  <c r="H7" i="10"/>
  <c r="D22" i="17"/>
  <c r="D21" i="17"/>
  <c r="D20" i="17" s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D22" i="16"/>
  <c r="D21" i="16"/>
  <c r="D20" i="16" s="1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2" i="2"/>
  <c r="D21" i="2"/>
  <c r="D20" i="2" s="1"/>
  <c r="I13" i="19"/>
  <c r="I14" i="19" s="1"/>
  <c r="I15" i="19" s="1"/>
  <c r="I16" i="19" s="1"/>
  <c r="I12" i="19"/>
  <c r="F12" i="19"/>
  <c r="F13" i="19" s="1"/>
  <c r="F14" i="19" s="1"/>
  <c r="F15" i="19" s="1"/>
  <c r="F16" i="19" s="1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E20" i="2"/>
  <c r="AD20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7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G20" i="16"/>
  <c r="H20" i="16"/>
  <c r="G20" i="17"/>
  <c r="H20" i="17"/>
  <c r="G20" i="2"/>
  <c r="H20" i="2"/>
  <c r="F20" i="2"/>
  <c r="I20" i="2"/>
  <c r="K20" i="2" s="1"/>
  <c r="F20" i="17"/>
  <c r="I20" i="17"/>
  <c r="F20" i="16"/>
  <c r="I20" i="16"/>
  <c r="K20" i="16" s="1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E22" i="15"/>
  <c r="E21" i="15"/>
  <c r="E22" i="16"/>
  <c r="E21" i="16"/>
  <c r="E22" i="17"/>
  <c r="E21" i="17"/>
  <c r="E22" i="2"/>
  <c r="E21" i="2"/>
  <c r="E20" i="15"/>
  <c r="L9" i="19"/>
  <c r="L10" i="19" s="1"/>
  <c r="L11" i="19" s="1"/>
  <c r="L12" i="19" s="1"/>
  <c r="L13" i="19" s="1"/>
  <c r="L14" i="19" s="1"/>
  <c r="L15" i="19" s="1"/>
  <c r="L16" i="19" s="1"/>
  <c r="O9" i="19"/>
  <c r="O10" i="19"/>
  <c r="O11" i="19"/>
  <c r="O12" i="19"/>
  <c r="O13" i="19"/>
  <c r="O14" i="19"/>
  <c r="O15" i="19"/>
  <c r="O16" i="19"/>
  <c r="K17" i="19"/>
  <c r="L17" i="19"/>
  <c r="M17" i="19"/>
  <c r="N17" i="19"/>
  <c r="O17" i="19"/>
  <c r="K18" i="19"/>
  <c r="L18" i="19"/>
  <c r="M18" i="19"/>
  <c r="N18" i="19"/>
  <c r="O18" i="19"/>
  <c r="K19" i="19"/>
  <c r="L19" i="19"/>
  <c r="M19" i="19"/>
  <c r="N19" i="19"/>
  <c r="O19" i="19"/>
  <c r="K20" i="19"/>
  <c r="L20" i="19"/>
  <c r="M20" i="19"/>
  <c r="N20" i="19"/>
  <c r="O20" i="19"/>
  <c r="K21" i="19"/>
  <c r="L21" i="19"/>
  <c r="M21" i="19"/>
  <c r="N21" i="19"/>
  <c r="O21" i="19"/>
  <c r="K22" i="19"/>
  <c r="L22" i="19"/>
  <c r="M22" i="19"/>
  <c r="N22" i="19"/>
  <c r="O22" i="19"/>
  <c r="K9" i="18"/>
  <c r="K10" i="18" s="1"/>
  <c r="K11" i="18" s="1"/>
  <c r="K12" i="18" s="1"/>
  <c r="K13" i="18" s="1"/>
  <c r="K14" i="18" s="1"/>
  <c r="K15" i="18" s="1"/>
  <c r="K16" i="18" s="1"/>
  <c r="L9" i="18"/>
  <c r="M9" i="18"/>
  <c r="N9" i="18"/>
  <c r="O9" i="18"/>
  <c r="L10" i="18"/>
  <c r="M10" i="18"/>
  <c r="N10" i="18"/>
  <c r="N11" i="18" s="1"/>
  <c r="N12" i="18" s="1"/>
  <c r="N13" i="18" s="1"/>
  <c r="N14" i="18" s="1"/>
  <c r="N15" i="18" s="1"/>
  <c r="N16" i="18" s="1"/>
  <c r="O10" i="18"/>
  <c r="L11" i="18"/>
  <c r="M11" i="18"/>
  <c r="M12" i="18" s="1"/>
  <c r="M13" i="18" s="1"/>
  <c r="M14" i="18" s="1"/>
  <c r="M15" i="18" s="1"/>
  <c r="M16" i="18" s="1"/>
  <c r="O11" i="18"/>
  <c r="L12" i="18"/>
  <c r="L13" i="18" s="1"/>
  <c r="L14" i="18" s="1"/>
  <c r="L15" i="18" s="1"/>
  <c r="L16" i="18" s="1"/>
  <c r="O12" i="18"/>
  <c r="O13" i="18"/>
  <c r="O14" i="18"/>
  <c r="O15" i="18"/>
  <c r="O16" i="18"/>
  <c r="K17" i="18"/>
  <c r="L17" i="18"/>
  <c r="M17" i="18"/>
  <c r="N17" i="18"/>
  <c r="O17" i="18"/>
  <c r="K18" i="18"/>
  <c r="L18" i="18"/>
  <c r="M18" i="18"/>
  <c r="N18" i="18"/>
  <c r="O18" i="18"/>
  <c r="K19" i="18"/>
  <c r="L19" i="18"/>
  <c r="M19" i="18"/>
  <c r="N19" i="18"/>
  <c r="O19" i="18"/>
  <c r="K20" i="18"/>
  <c r="L20" i="18"/>
  <c r="M20" i="18"/>
  <c r="N20" i="18"/>
  <c r="O20" i="18"/>
  <c r="K21" i="18"/>
  <c r="L21" i="18"/>
  <c r="M21" i="18"/>
  <c r="N21" i="18"/>
  <c r="O21" i="18"/>
  <c r="K22" i="18"/>
  <c r="L22" i="18"/>
  <c r="M22" i="18"/>
  <c r="N22" i="18"/>
  <c r="O22" i="18"/>
  <c r="O8" i="19"/>
  <c r="N8" i="19"/>
  <c r="N9" i="19" s="1"/>
  <c r="N10" i="19" s="1"/>
  <c r="N11" i="19" s="1"/>
  <c r="N12" i="19" s="1"/>
  <c r="N13" i="19" s="1"/>
  <c r="N14" i="19" s="1"/>
  <c r="N15" i="19" s="1"/>
  <c r="N16" i="19" s="1"/>
  <c r="M8" i="19"/>
  <c r="M9" i="19" s="1"/>
  <c r="M10" i="19" s="1"/>
  <c r="M11" i="19" s="1"/>
  <c r="M12" i="19" s="1"/>
  <c r="M13" i="19" s="1"/>
  <c r="M14" i="19" s="1"/>
  <c r="M15" i="19" s="1"/>
  <c r="M16" i="19" s="1"/>
  <c r="L8" i="19"/>
  <c r="K8" i="19"/>
  <c r="K9" i="19" s="1"/>
  <c r="K10" i="19" s="1"/>
  <c r="K11" i="19" s="1"/>
  <c r="K12" i="19" s="1"/>
  <c r="K13" i="19" s="1"/>
  <c r="K14" i="19" s="1"/>
  <c r="K15" i="19" s="1"/>
  <c r="K16" i="19" s="1"/>
  <c r="O7" i="19"/>
  <c r="O8" i="18"/>
  <c r="N8" i="18"/>
  <c r="M8" i="18"/>
  <c r="L8" i="18"/>
  <c r="K8" i="18"/>
  <c r="O7" i="18"/>
  <c r="K19" i="15"/>
  <c r="L19" i="15"/>
  <c r="M19" i="15"/>
  <c r="N19" i="15"/>
  <c r="O19" i="15"/>
  <c r="K20" i="15"/>
  <c r="L20" i="15"/>
  <c r="M20" i="15"/>
  <c r="N20" i="15"/>
  <c r="O20" i="15"/>
  <c r="K21" i="15"/>
  <c r="L21" i="15"/>
  <c r="M21" i="15"/>
  <c r="N21" i="15"/>
  <c r="O21" i="15"/>
  <c r="K22" i="15"/>
  <c r="L22" i="15"/>
  <c r="M22" i="15"/>
  <c r="N22" i="15"/>
  <c r="O22" i="15"/>
  <c r="K19" i="16"/>
  <c r="L19" i="16"/>
  <c r="M19" i="16"/>
  <c r="N19" i="16"/>
  <c r="O19" i="16"/>
  <c r="M20" i="16"/>
  <c r="O20" i="16"/>
  <c r="L21" i="16"/>
  <c r="O21" i="16"/>
  <c r="O22" i="16"/>
  <c r="K19" i="17"/>
  <c r="L19" i="17"/>
  <c r="M19" i="17"/>
  <c r="N19" i="17"/>
  <c r="O19" i="17"/>
  <c r="K20" i="17"/>
  <c r="L20" i="17"/>
  <c r="M20" i="17"/>
  <c r="O20" i="17"/>
  <c r="O21" i="17"/>
  <c r="O22" i="17"/>
  <c r="K19" i="2"/>
  <c r="L19" i="2"/>
  <c r="M19" i="2"/>
  <c r="N19" i="2"/>
  <c r="O19" i="2"/>
  <c r="O20" i="2"/>
  <c r="O21" i="2"/>
  <c r="O22" i="2"/>
  <c r="G9" i="15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H9" i="15"/>
  <c r="H10" i="15"/>
  <c r="H11" i="15"/>
  <c r="H12" i="15" s="1"/>
  <c r="H13" i="15" s="1"/>
  <c r="H14" i="15" s="1"/>
  <c r="H15" i="15" s="1"/>
  <c r="H16" i="15" s="1"/>
  <c r="H17" i="15" s="1"/>
  <c r="H18" i="15" s="1"/>
  <c r="H19" i="15" s="1"/>
  <c r="G9" i="16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H9" i="16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G9" i="17"/>
  <c r="H9" i="17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G10" i="17"/>
  <c r="G11" i="17" s="1"/>
  <c r="G12" i="17" s="1"/>
  <c r="G13" i="17" s="1"/>
  <c r="G14" i="17" s="1"/>
  <c r="G15" i="17" s="1"/>
  <c r="G16" i="17" s="1"/>
  <c r="G17" i="17" s="1"/>
  <c r="G18" i="17" s="1"/>
  <c r="G19" i="17" s="1"/>
  <c r="G9" i="2"/>
  <c r="H9" i="2"/>
  <c r="G10" i="2"/>
  <c r="H10" i="2"/>
  <c r="H11" i="2" s="1"/>
  <c r="H12" i="2" s="1"/>
  <c r="H13" i="2" s="1"/>
  <c r="H14" i="2" s="1"/>
  <c r="H15" i="2" s="1"/>
  <c r="H16" i="2" s="1"/>
  <c r="H17" i="2" s="1"/>
  <c r="H18" i="2" s="1"/>
  <c r="H19" i="2" s="1"/>
  <c r="G11" i="2"/>
  <c r="G12" i="2" s="1"/>
  <c r="G13" i="2" s="1"/>
  <c r="G14" i="2" s="1"/>
  <c r="G15" i="2" s="1"/>
  <c r="G16" i="2" s="1"/>
  <c r="G17" i="2" s="1"/>
  <c r="G18" i="2" s="1"/>
  <c r="G19" i="2" s="1"/>
  <c r="H8" i="15"/>
  <c r="H8" i="16"/>
  <c r="H8" i="17"/>
  <c r="H8" i="2"/>
  <c r="G8" i="15"/>
  <c r="G8" i="16"/>
  <c r="G8" i="17"/>
  <c r="G8" i="2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9" i="15"/>
  <c r="N10" i="15" s="1"/>
  <c r="N11" i="15" s="1"/>
  <c r="N12" i="15" s="1"/>
  <c r="N13" i="15" s="1"/>
  <c r="M9" i="17"/>
  <c r="M10" i="17" s="1"/>
  <c r="M11" i="17" s="1"/>
  <c r="M12" i="17" s="1"/>
  <c r="M13" i="17" s="1"/>
  <c r="M14" i="17" s="1"/>
  <c r="M15" i="17" s="1"/>
  <c r="M16" i="17" s="1"/>
  <c r="M17" i="17" s="1"/>
  <c r="M18" i="17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8" i="2"/>
  <c r="M8" i="2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L8" i="16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K8" i="16"/>
  <c r="K9" i="16" s="1"/>
  <c r="K10" i="16" s="1"/>
  <c r="K11" i="16" s="1"/>
  <c r="K12" i="16" s="1"/>
  <c r="K13" i="16" s="1"/>
  <c r="K9" i="17"/>
  <c r="K10" i="17" s="1"/>
  <c r="K11" i="17" s="1"/>
  <c r="K12" i="17" s="1"/>
  <c r="K13" i="17" s="1"/>
  <c r="K14" i="17" s="1"/>
  <c r="K15" i="17" s="1"/>
  <c r="K16" i="17" s="1"/>
  <c r="K17" i="17" s="1"/>
  <c r="K18" i="17" s="1"/>
  <c r="M8" i="17"/>
  <c r="L8" i="17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K8" i="17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N8" i="15"/>
  <c r="N8" i="16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8" i="17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I20" i="15"/>
  <c r="I21" i="15"/>
  <c r="I22" i="15"/>
  <c r="I19" i="16"/>
  <c r="I21" i="16"/>
  <c r="M21" i="16" s="1"/>
  <c r="I22" i="16"/>
  <c r="L22" i="16" s="1"/>
  <c r="I19" i="17"/>
  <c r="N20" i="17"/>
  <c r="I21" i="17"/>
  <c r="K21" i="17" s="1"/>
  <c r="I22" i="17"/>
  <c r="K22" i="17" s="1"/>
  <c r="I19" i="2"/>
  <c r="I21" i="2"/>
  <c r="M21" i="2" s="1"/>
  <c r="I22" i="2"/>
  <c r="L22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4" i="17"/>
  <c r="I15" i="17" s="1"/>
  <c r="I16" i="17" s="1"/>
  <c r="I17" i="17" s="1"/>
  <c r="I18" i="17" s="1"/>
  <c r="I14" i="2"/>
  <c r="I15" i="2" s="1"/>
  <c r="I16" i="2" s="1"/>
  <c r="I17" i="2" s="1"/>
  <c r="I18" i="2" s="1"/>
  <c r="F20" i="15"/>
  <c r="F21" i="15"/>
  <c r="F22" i="15"/>
  <c r="F19" i="16"/>
  <c r="F21" i="16"/>
  <c r="F22" i="16"/>
  <c r="F21" i="17"/>
  <c r="F22" i="17"/>
  <c r="F19" i="2"/>
  <c r="F21" i="2"/>
  <c r="F22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4" i="17"/>
  <c r="F15" i="17" s="1"/>
  <c r="F16" i="17" s="1"/>
  <c r="F17" i="17" s="1"/>
  <c r="F18" i="17" s="1"/>
  <c r="F19" i="17" s="1"/>
  <c r="F14" i="2"/>
  <c r="F15" i="2" s="1"/>
  <c r="F16" i="2" s="1"/>
  <c r="F17" i="2" s="1"/>
  <c r="F18" i="2" s="1"/>
  <c r="C21" i="16"/>
  <c r="B22" i="16"/>
  <c r="B21" i="16"/>
  <c r="B20" i="16"/>
  <c r="B8" i="16"/>
  <c r="B9" i="16" s="1"/>
  <c r="B22" i="17"/>
  <c r="B21" i="17"/>
  <c r="B20" i="17"/>
  <c r="B8" i="17"/>
  <c r="B22" i="15"/>
  <c r="D22" i="15" s="1"/>
  <c r="B21" i="15"/>
  <c r="D21" i="15" s="1"/>
  <c r="B20" i="15"/>
  <c r="D20" i="15" s="1"/>
  <c r="B8" i="15"/>
  <c r="B9" i="15" s="1"/>
  <c r="D9" i="15" s="1"/>
  <c r="B9" i="2"/>
  <c r="B20" i="2"/>
  <c r="B21" i="2"/>
  <c r="B22" i="2"/>
  <c r="B8" i="2"/>
  <c r="B20" i="19"/>
  <c r="D20" i="19" s="1"/>
  <c r="B21" i="19"/>
  <c r="D21" i="19" s="1"/>
  <c r="B22" i="19"/>
  <c r="D22" i="19" s="1"/>
  <c r="B20" i="18"/>
  <c r="D20" i="18" s="1"/>
  <c r="B21" i="18"/>
  <c r="D21" i="18" s="1"/>
  <c r="B22" i="18"/>
  <c r="C22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9" i="19"/>
  <c r="W9" i="19" s="1"/>
  <c r="B9" i="18"/>
  <c r="Y9" i="18" s="1"/>
  <c r="B8" i="19"/>
  <c r="U8" i="19" s="1"/>
  <c r="B8" i="18"/>
  <c r="H6" i="10"/>
  <c r="G6" i="10"/>
  <c r="F6" i="10"/>
  <c r="E6" i="10"/>
  <c r="D6" i="10"/>
  <c r="C6" i="10"/>
  <c r="D7" i="15"/>
  <c r="AB8" i="15"/>
  <c r="AA8" i="15"/>
  <c r="Z8" i="15"/>
  <c r="Y8" i="15"/>
  <c r="X8" i="15"/>
  <c r="W8" i="15"/>
  <c r="U8" i="15"/>
  <c r="AB7" i="15"/>
  <c r="AA7" i="15"/>
  <c r="Z7" i="15"/>
  <c r="Y7" i="15"/>
  <c r="X7" i="15"/>
  <c r="W7" i="15"/>
  <c r="V7" i="15"/>
  <c r="U7" i="15"/>
  <c r="X9" i="19"/>
  <c r="AB8" i="19"/>
  <c r="AA8" i="19"/>
  <c r="Z8" i="19"/>
  <c r="Y8" i="19"/>
  <c r="X8" i="19"/>
  <c r="W8" i="19"/>
  <c r="V8" i="19"/>
  <c r="AB7" i="19"/>
  <c r="AA7" i="19"/>
  <c r="Z7" i="19"/>
  <c r="Y7" i="19"/>
  <c r="X7" i="19"/>
  <c r="W7" i="19"/>
  <c r="V7" i="19"/>
  <c r="U7" i="19"/>
  <c r="AB9" i="18"/>
  <c r="AA9" i="18"/>
  <c r="Z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H5" i="10"/>
  <c r="G5" i="10"/>
  <c r="F5" i="10"/>
  <c r="E5" i="10"/>
  <c r="D5" i="10"/>
  <c r="C5" i="10"/>
  <c r="H12" i="10"/>
  <c r="G12" i="10"/>
  <c r="F12" i="10"/>
  <c r="E12" i="10"/>
  <c r="C12" i="10"/>
  <c r="D12" i="10"/>
  <c r="AD9" i="19"/>
  <c r="C8" i="19"/>
  <c r="AE8" i="19"/>
  <c r="AD8" i="19"/>
  <c r="AC8" i="19"/>
  <c r="T8" i="19"/>
  <c r="S8" i="19"/>
  <c r="R8" i="19"/>
  <c r="Q8" i="19"/>
  <c r="C7" i="19"/>
  <c r="AE7" i="19"/>
  <c r="AD7" i="19"/>
  <c r="AC7" i="19"/>
  <c r="T7" i="19"/>
  <c r="S7" i="19"/>
  <c r="R7" i="19"/>
  <c r="Q7" i="19"/>
  <c r="C9" i="18"/>
  <c r="AE9" i="18"/>
  <c r="AD9" i="18"/>
  <c r="AC9" i="18"/>
  <c r="T9" i="18"/>
  <c r="S9" i="18"/>
  <c r="R9" i="18"/>
  <c r="Q9" i="18"/>
  <c r="C8" i="18"/>
  <c r="AE8" i="18"/>
  <c r="AD8" i="18"/>
  <c r="AC8" i="18"/>
  <c r="T8" i="18"/>
  <c r="S8" i="18"/>
  <c r="R8" i="18"/>
  <c r="Q8" i="18"/>
  <c r="C7" i="18"/>
  <c r="AE7" i="18"/>
  <c r="AD7" i="18"/>
  <c r="AC7" i="18"/>
  <c r="T7" i="18"/>
  <c r="S7" i="18"/>
  <c r="R7" i="18"/>
  <c r="Q7" i="18"/>
  <c r="AD8" i="17"/>
  <c r="C7" i="17"/>
  <c r="AE7" i="17"/>
  <c r="AD7" i="17"/>
  <c r="C8" i="16"/>
  <c r="AE8" i="16"/>
  <c r="AD8" i="16"/>
  <c r="C7" i="16"/>
  <c r="AE7" i="16"/>
  <c r="AD7" i="16"/>
  <c r="C8" i="15"/>
  <c r="AE8" i="15"/>
  <c r="AD8" i="15"/>
  <c r="AC8" i="15"/>
  <c r="T8" i="15"/>
  <c r="S8" i="15"/>
  <c r="R8" i="15"/>
  <c r="Q8" i="15"/>
  <c r="C7" i="15"/>
  <c r="AE7" i="15"/>
  <c r="AD7" i="15"/>
  <c r="AC7" i="15"/>
  <c r="T7" i="15"/>
  <c r="S7" i="15"/>
  <c r="R7" i="15"/>
  <c r="Q7" i="15"/>
  <c r="C9" i="2"/>
  <c r="C7" i="2"/>
  <c r="C8" i="2"/>
  <c r="K12" i="10" l="1"/>
  <c r="B7" i="10"/>
  <c r="C21" i="18"/>
  <c r="C18" i="18"/>
  <c r="D22" i="18"/>
  <c r="D17" i="19"/>
  <c r="D16" i="19" s="1"/>
  <c r="D15" i="19" s="1"/>
  <c r="D14" i="19" s="1"/>
  <c r="D13" i="19" s="1"/>
  <c r="D12" i="19" s="1"/>
  <c r="D11" i="19" s="1"/>
  <c r="D10" i="19" s="1"/>
  <c r="D9" i="19" s="1"/>
  <c r="D8" i="19" s="1"/>
  <c r="D7" i="19" s="1"/>
  <c r="C19" i="18"/>
  <c r="D17" i="18"/>
  <c r="D16" i="18" s="1"/>
  <c r="D15" i="18" s="1"/>
  <c r="D14" i="18" s="1"/>
  <c r="D13" i="18" s="1"/>
  <c r="D12" i="18" s="1"/>
  <c r="D11" i="18" s="1"/>
  <c r="D10" i="18" s="1"/>
  <c r="D9" i="18" s="1"/>
  <c r="D8" i="18" s="1"/>
  <c r="D7" i="18" s="1"/>
  <c r="N22" i="2"/>
  <c r="L20" i="16"/>
  <c r="M20" i="2"/>
  <c r="L20" i="2"/>
  <c r="K21" i="2"/>
  <c r="K21" i="16"/>
  <c r="L21" i="17"/>
  <c r="M22" i="2"/>
  <c r="K22" i="2"/>
  <c r="N22" i="16"/>
  <c r="L21" i="2"/>
  <c r="K22" i="16"/>
  <c r="N21" i="17"/>
  <c r="M22" i="16"/>
  <c r="N20" i="2"/>
  <c r="M21" i="17"/>
  <c r="N20" i="16"/>
  <c r="N22" i="17"/>
  <c r="N21" i="2"/>
  <c r="M22" i="17"/>
  <c r="N21" i="16"/>
  <c r="L22" i="17"/>
  <c r="AE9" i="19"/>
  <c r="Y9" i="19"/>
  <c r="B10" i="18"/>
  <c r="B10" i="2"/>
  <c r="B9" i="17"/>
  <c r="C22" i="19"/>
  <c r="C20" i="18"/>
  <c r="K14" i="16"/>
  <c r="K15" i="16" s="1"/>
  <c r="K16" i="16" s="1"/>
  <c r="K17" i="16" s="1"/>
  <c r="K18" i="16" s="1"/>
  <c r="Z9" i="19"/>
  <c r="B10" i="19"/>
  <c r="C21" i="19"/>
  <c r="AE8" i="17"/>
  <c r="AA9" i="19"/>
  <c r="C20" i="19"/>
  <c r="L14" i="2"/>
  <c r="L15" i="2" s="1"/>
  <c r="L16" i="2" s="1"/>
  <c r="L17" i="2" s="1"/>
  <c r="L18" i="2" s="1"/>
  <c r="N14" i="15"/>
  <c r="N15" i="15" s="1"/>
  <c r="N16" i="15" s="1"/>
  <c r="N17" i="15" s="1"/>
  <c r="N18" i="15" s="1"/>
  <c r="AB9" i="19"/>
  <c r="C19" i="19"/>
  <c r="K14" i="15"/>
  <c r="K15" i="15" s="1"/>
  <c r="K16" i="15" s="1"/>
  <c r="K17" i="15" s="1"/>
  <c r="K18" i="15" s="1"/>
  <c r="Q9" i="19"/>
  <c r="R9" i="19"/>
  <c r="S9" i="19"/>
  <c r="U9" i="19"/>
  <c r="V8" i="15"/>
  <c r="C18" i="19"/>
  <c r="L14" i="15"/>
  <c r="L15" i="15" s="1"/>
  <c r="L16" i="15" s="1"/>
  <c r="L17" i="15" s="1"/>
  <c r="L18" i="15" s="1"/>
  <c r="C8" i="17"/>
  <c r="C9" i="19"/>
  <c r="T9" i="19"/>
  <c r="V9" i="19"/>
  <c r="D8" i="15"/>
  <c r="C17" i="19"/>
  <c r="AC9" i="19"/>
  <c r="C22" i="2"/>
  <c r="C22" i="16"/>
  <c r="C20" i="2"/>
  <c r="C20" i="16"/>
  <c r="C22" i="17"/>
  <c r="C22" i="15"/>
  <c r="C21" i="2"/>
  <c r="C21" i="17"/>
  <c r="C21" i="15"/>
  <c r="C20" i="17"/>
  <c r="C20" i="15"/>
  <c r="I15" i="18"/>
  <c r="I16" i="18" s="1"/>
  <c r="U9" i="15"/>
  <c r="T9" i="15"/>
  <c r="AB9" i="15"/>
  <c r="B10" i="15"/>
  <c r="D10" i="15" s="1"/>
  <c r="AA9" i="15"/>
  <c r="R9" i="15"/>
  <c r="Q9" i="15"/>
  <c r="V9" i="15"/>
  <c r="S9" i="15"/>
  <c r="Z9" i="15"/>
  <c r="AC9" i="15"/>
  <c r="Y9" i="15"/>
  <c r="C9" i="15"/>
  <c r="AE9" i="15"/>
  <c r="X9" i="15"/>
  <c r="W9" i="15"/>
  <c r="AD9" i="15"/>
  <c r="B10" i="16"/>
  <c r="C9" i="16"/>
  <c r="AE9" i="16"/>
  <c r="AD9" i="16"/>
  <c r="S10" i="18"/>
  <c r="X10" i="18"/>
  <c r="X10" i="19"/>
  <c r="T10" i="18"/>
  <c r="Y10" i="18"/>
  <c r="Y10" i="19"/>
  <c r="AC10" i="18"/>
  <c r="Z10" i="18"/>
  <c r="Z10" i="19"/>
  <c r="AE10" i="18"/>
  <c r="B12" i="10"/>
  <c r="B20" i="10" s="1"/>
  <c r="B6" i="10"/>
  <c r="B5" i="10"/>
  <c r="B11" i="2" l="1"/>
  <c r="C10" i="2"/>
  <c r="AB10" i="19"/>
  <c r="W10" i="19"/>
  <c r="AC10" i="19"/>
  <c r="V10" i="19"/>
  <c r="T10" i="19"/>
  <c r="C10" i="19"/>
  <c r="B11" i="19"/>
  <c r="U10" i="19"/>
  <c r="S10" i="19"/>
  <c r="R10" i="19"/>
  <c r="Q10" i="19"/>
  <c r="AD10" i="19"/>
  <c r="AE10" i="19"/>
  <c r="AA10" i="19"/>
  <c r="AB10" i="18"/>
  <c r="B11" i="18"/>
  <c r="C10" i="18"/>
  <c r="AD10" i="18"/>
  <c r="R10" i="18"/>
  <c r="Q10" i="18"/>
  <c r="AA10" i="18"/>
  <c r="W10" i="18"/>
  <c r="V10" i="18"/>
  <c r="U10" i="18"/>
  <c r="B10" i="17"/>
  <c r="AE9" i="17"/>
  <c r="AD9" i="17"/>
  <c r="C9" i="17"/>
  <c r="C10" i="16"/>
  <c r="AE10" i="16"/>
  <c r="B11" i="16"/>
  <c r="AD10" i="16"/>
  <c r="U10" i="15"/>
  <c r="Q10" i="15"/>
  <c r="AB10" i="15"/>
  <c r="C10" i="15"/>
  <c r="B11" i="15"/>
  <c r="D11" i="15" s="1"/>
  <c r="AA10" i="15"/>
  <c r="AE10" i="15"/>
  <c r="Z10" i="15"/>
  <c r="AD10" i="15"/>
  <c r="R10" i="15"/>
  <c r="Y10" i="15"/>
  <c r="AC10" i="15"/>
  <c r="X10" i="15"/>
  <c r="T10" i="15"/>
  <c r="W10" i="15"/>
  <c r="S10" i="15"/>
  <c r="V10" i="15"/>
  <c r="B19" i="10"/>
  <c r="B18" i="10"/>
  <c r="B12" i="18" l="1"/>
  <c r="C11" i="18"/>
  <c r="AE11" i="18"/>
  <c r="AD11" i="18"/>
  <c r="B11" i="17"/>
  <c r="C10" i="17"/>
  <c r="AE10" i="17"/>
  <c r="AD10" i="17"/>
  <c r="AE11" i="19"/>
  <c r="AD11" i="19"/>
  <c r="B12" i="19"/>
  <c r="C11" i="19"/>
  <c r="C11" i="2"/>
  <c r="B12" i="2"/>
  <c r="B12" i="15"/>
  <c r="D12" i="15" s="1"/>
  <c r="C11" i="15"/>
  <c r="AE11" i="15"/>
  <c r="AD11" i="15"/>
  <c r="Y11" i="16"/>
  <c r="AD11" i="16"/>
  <c r="B12" i="16"/>
  <c r="AE11" i="16"/>
  <c r="Z11" i="16"/>
  <c r="AB11" i="16"/>
  <c r="AA11" i="16"/>
  <c r="C11" i="16"/>
  <c r="B21" i="10"/>
  <c r="B13" i="2" l="1"/>
  <c r="C12" i="2"/>
  <c r="AB11" i="17"/>
  <c r="C11" i="17"/>
  <c r="B12" i="17"/>
  <c r="AE11" i="17"/>
  <c r="AA11" i="17"/>
  <c r="Z11" i="17"/>
  <c r="AD11" i="17"/>
  <c r="Y11" i="17"/>
  <c r="B13" i="19"/>
  <c r="AA12" i="19"/>
  <c r="T12" i="19"/>
  <c r="Z12" i="19"/>
  <c r="S12" i="19"/>
  <c r="AC12" i="19"/>
  <c r="Y12" i="19"/>
  <c r="R12" i="19"/>
  <c r="X12" i="19"/>
  <c r="Q12" i="19"/>
  <c r="W12" i="19"/>
  <c r="C12" i="19"/>
  <c r="V12" i="19"/>
  <c r="AE12" i="19"/>
  <c r="AB12" i="19"/>
  <c r="U12" i="19"/>
  <c r="AD12" i="19"/>
  <c r="C12" i="18"/>
  <c r="S12" i="18"/>
  <c r="Y12" i="18"/>
  <c r="U12" i="18"/>
  <c r="AB12" i="18"/>
  <c r="X12" i="18"/>
  <c r="V12" i="18"/>
  <c r="R12" i="18"/>
  <c r="AD12" i="18"/>
  <c r="AA12" i="18"/>
  <c r="AE12" i="18"/>
  <c r="AC12" i="18"/>
  <c r="B13" i="18"/>
  <c r="Z12" i="18"/>
  <c r="T12" i="18"/>
  <c r="Q12" i="18"/>
  <c r="W12" i="18"/>
  <c r="U12" i="15"/>
  <c r="S12" i="15"/>
  <c r="AB12" i="15"/>
  <c r="R12" i="15"/>
  <c r="AA12" i="15"/>
  <c r="Q12" i="15"/>
  <c r="T12" i="15"/>
  <c r="Z12" i="15"/>
  <c r="C12" i="15"/>
  <c r="V12" i="15"/>
  <c r="Y12" i="15"/>
  <c r="AE12" i="15"/>
  <c r="B13" i="15"/>
  <c r="D13" i="15" s="1"/>
  <c r="X12" i="15"/>
  <c r="AD12" i="15"/>
  <c r="W12" i="15"/>
  <c r="AC12" i="15"/>
  <c r="B13" i="16"/>
  <c r="C12" i="16"/>
  <c r="AE12" i="16"/>
  <c r="AD12" i="16"/>
  <c r="C13" i="2" l="1"/>
  <c r="B14" i="2"/>
  <c r="R13" i="18"/>
  <c r="AC13" i="18"/>
  <c r="V13" i="18"/>
  <c r="W13" i="18"/>
  <c r="B14" i="18"/>
  <c r="AA13" i="18"/>
  <c r="X13" i="18"/>
  <c r="Z13" i="18"/>
  <c r="AE13" i="18"/>
  <c r="S13" i="18"/>
  <c r="AD13" i="18"/>
  <c r="Y13" i="18"/>
  <c r="T13" i="18"/>
  <c r="C13" i="18"/>
  <c r="Q13" i="18"/>
  <c r="AB13" i="18"/>
  <c r="U13" i="18"/>
  <c r="C12" i="17"/>
  <c r="AE12" i="17"/>
  <c r="B13" i="17"/>
  <c r="AD12" i="17"/>
  <c r="AD13" i="19"/>
  <c r="AE13" i="19"/>
  <c r="S13" i="19"/>
  <c r="T13" i="19"/>
  <c r="AB13" i="19"/>
  <c r="R13" i="19"/>
  <c r="Z13" i="19"/>
  <c r="X13" i="19"/>
  <c r="AA13" i="19"/>
  <c r="AC13" i="19"/>
  <c r="B14" i="19"/>
  <c r="V13" i="19"/>
  <c r="Q13" i="19"/>
  <c r="U13" i="19"/>
  <c r="Y13" i="19"/>
  <c r="C13" i="19"/>
  <c r="W13" i="19"/>
  <c r="B14" i="16"/>
  <c r="AD13" i="16"/>
  <c r="C13" i="16"/>
  <c r="AE13" i="16"/>
  <c r="U13" i="15"/>
  <c r="T13" i="15"/>
  <c r="AB13" i="15"/>
  <c r="S13" i="15"/>
  <c r="AA13" i="15"/>
  <c r="R13" i="15"/>
  <c r="V13" i="15"/>
  <c r="Z13" i="15"/>
  <c r="Q13" i="15"/>
  <c r="Y13" i="15"/>
  <c r="C13" i="15"/>
  <c r="X13" i="15"/>
  <c r="AE13" i="15"/>
  <c r="B14" i="15"/>
  <c r="D14" i="15" s="1"/>
  <c r="W13" i="15"/>
  <c r="AD13" i="15"/>
  <c r="AC13" i="15"/>
  <c r="AD14" i="18" l="1"/>
  <c r="T14" i="18"/>
  <c r="Q14" i="18"/>
  <c r="AB14" i="18"/>
  <c r="AC14" i="18"/>
  <c r="AE14" i="18"/>
  <c r="Y14" i="18"/>
  <c r="U14" i="18"/>
  <c r="R14" i="18"/>
  <c r="C14" i="18"/>
  <c r="V14" i="18"/>
  <c r="B15" i="18"/>
  <c r="Z14" i="18"/>
  <c r="AA14" i="18"/>
  <c r="X14" i="18"/>
  <c r="W14" i="18"/>
  <c r="S14" i="18"/>
  <c r="Q14" i="19"/>
  <c r="T14" i="19"/>
  <c r="V14" i="19"/>
  <c r="U14" i="19"/>
  <c r="AC14" i="19"/>
  <c r="C14" i="19"/>
  <c r="W14" i="19"/>
  <c r="X14" i="19"/>
  <c r="AD14" i="19"/>
  <c r="B15" i="19"/>
  <c r="R14" i="19"/>
  <c r="Z14" i="19"/>
  <c r="AA14" i="19"/>
  <c r="Y14" i="19"/>
  <c r="AE14" i="19"/>
  <c r="S14" i="19"/>
  <c r="AB14" i="19"/>
  <c r="B14" i="17"/>
  <c r="C13" i="17"/>
  <c r="AD13" i="17"/>
  <c r="AE13" i="17"/>
  <c r="C14" i="2"/>
  <c r="B15" i="2"/>
  <c r="C14" i="16"/>
  <c r="AE14" i="16"/>
  <c r="AD14" i="16"/>
  <c r="B15" i="16"/>
  <c r="U14" i="15"/>
  <c r="T14" i="15"/>
  <c r="AB14" i="15"/>
  <c r="S14" i="15"/>
  <c r="AA14" i="15"/>
  <c r="R14" i="15"/>
  <c r="C14" i="15"/>
  <c r="Z14" i="15"/>
  <c r="Q14" i="15"/>
  <c r="AE14" i="15"/>
  <c r="Y14" i="15"/>
  <c r="AC14" i="15"/>
  <c r="B15" i="15"/>
  <c r="D15" i="15" s="1"/>
  <c r="X14" i="15"/>
  <c r="W14" i="15"/>
  <c r="AD14" i="15"/>
  <c r="V14" i="15"/>
  <c r="AD14" i="17" l="1"/>
  <c r="C14" i="17"/>
  <c r="AE14" i="17"/>
  <c r="B15" i="17"/>
  <c r="C15" i="18"/>
  <c r="B16" i="18"/>
  <c r="C15" i="19"/>
  <c r="B16" i="19"/>
  <c r="B16" i="2"/>
  <c r="C15" i="2"/>
  <c r="R15" i="15"/>
  <c r="Z15" i="15"/>
  <c r="S15" i="15"/>
  <c r="AA15" i="15"/>
  <c r="T15" i="15"/>
  <c r="AB15" i="15"/>
  <c r="Y15" i="15"/>
  <c r="U15" i="15"/>
  <c r="AC15" i="15"/>
  <c r="B16" i="15"/>
  <c r="D16" i="15" s="1"/>
  <c r="V15" i="15"/>
  <c r="AD15" i="15"/>
  <c r="C15" i="15"/>
  <c r="W15" i="15"/>
  <c r="AE15" i="15"/>
  <c r="X15" i="15"/>
  <c r="Q15" i="15"/>
  <c r="AD15" i="16"/>
  <c r="B16" i="16"/>
  <c r="C15" i="16"/>
  <c r="AE15" i="16"/>
  <c r="C16" i="2" l="1"/>
  <c r="B17" i="2"/>
  <c r="C16" i="19"/>
  <c r="B16" i="17"/>
  <c r="C15" i="17"/>
  <c r="AE15" i="17"/>
  <c r="AD15" i="17"/>
  <c r="C16" i="18"/>
  <c r="B17" i="16"/>
  <c r="C16" i="16"/>
  <c r="C16" i="15"/>
  <c r="B17" i="15"/>
  <c r="D17" i="15" s="1"/>
  <c r="B17" i="17" l="1"/>
  <c r="C16" i="17"/>
  <c r="C17" i="2"/>
  <c r="B18" i="2"/>
  <c r="B18" i="16"/>
  <c r="C17" i="16"/>
  <c r="B18" i="15"/>
  <c r="C17" i="15"/>
  <c r="C18" i="15" l="1"/>
  <c r="B19" i="15"/>
  <c r="C19" i="15" s="1"/>
  <c r="E19" i="15" s="1"/>
  <c r="D18" i="15"/>
  <c r="B19" i="16"/>
  <c r="C18" i="16"/>
  <c r="B19" i="2"/>
  <c r="C18" i="2"/>
  <c r="C17" i="17"/>
  <c r="B18" i="17"/>
  <c r="C19" i="2" l="1"/>
  <c r="C19" i="16"/>
  <c r="C18" i="17"/>
  <c r="B19" i="17"/>
  <c r="C19" i="17" l="1"/>
</calcChain>
</file>

<file path=xl/sharedStrings.xml><?xml version="1.0" encoding="utf-8"?>
<sst xmlns="http://schemas.openxmlformats.org/spreadsheetml/2006/main" count="913" uniqueCount="129">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</sst>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</cellXfs>
  <cellStyles count="3">
    <cellStyle name="계산" xfId="2" builtinId="22"/>
    <cellStyle name="설명 텍스트" xfId="1" builtinId="53"/>
    <cellStyle name="표준" xfId="0" builtinId="0"/>
  </cellStyles>
  <dxfs count="145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249977111117893"/>
  </sheetPr>
  <dimension ref="A1:AP23"/>
  <sheetViews>
    <sheetView tabSelected="1" zoomScale="55" zoomScaleNormal="55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6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22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2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51" t="s">
        <v>121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21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5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21</v>
      </c>
      <c r="F8" s="85" t="s">
        <v>40</v>
      </c>
      <c r="G8" s="86" t="s">
        <v>16</v>
      </c>
      <c r="H8" s="86" t="s">
        <v>16</v>
      </c>
      <c r="I8" s="85" t="s">
        <v>40</v>
      </c>
      <c r="J8" s="1"/>
      <c r="K8" s="86" t="str">
        <f t="shared" ref="K8:N8" si="4">IF(NOT(LEN($I8)=0),K7,"")</f>
        <v>VITA</v>
      </c>
      <c r="L8" s="86" t="str">
        <f t="shared" si="4"/>
        <v>MARK II</v>
      </c>
      <c r="M8" s="86">
        <f t="shared" si="4"/>
        <v>160</v>
      </c>
      <c r="N8" s="86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21</v>
      </c>
      <c r="F9" s="85" t="s">
        <v>40</v>
      </c>
      <c r="G9" s="86" t="s">
        <v>16</v>
      </c>
      <c r="H9" s="86" t="s">
        <v>16</v>
      </c>
      <c r="I9" s="85" t="s">
        <v>40</v>
      </c>
      <c r="J9" s="1"/>
      <c r="K9" s="86" t="str">
        <f t="shared" ref="K9:K22" si="5">IF(NOT(LEN($I9)=0),K8,"")</f>
        <v>VITA</v>
      </c>
      <c r="L9" s="86" t="str">
        <f t="shared" ref="L9:L22" si="6">IF(NOT(LEN($I9)=0),L8,"")</f>
        <v>MARK II</v>
      </c>
      <c r="M9" s="86">
        <f t="shared" ref="M9:M22" si="7">IF(NOT(LEN($I9)=0),M8,"")</f>
        <v>160</v>
      </c>
      <c r="N9" s="86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6" t="s">
        <v>16</v>
      </c>
      <c r="H10" s="86" t="s">
        <v>16</v>
      </c>
      <c r="I10" s="85" t="s">
        <v>40</v>
      </c>
      <c r="J10" s="1"/>
      <c r="K10" s="86" t="str">
        <f t="shared" si="5"/>
        <v>VITA</v>
      </c>
      <c r="L10" s="86" t="str">
        <f t="shared" si="6"/>
        <v>MARK II</v>
      </c>
      <c r="M10" s="86">
        <f t="shared" si="7"/>
        <v>160</v>
      </c>
      <c r="N10" s="86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23</v>
      </c>
      <c r="F11" s="86">
        <v>0</v>
      </c>
      <c r="G11" s="86" t="s">
        <v>16</v>
      </c>
      <c r="H11" s="86" t="s">
        <v>16</v>
      </c>
      <c r="I11" s="86">
        <v>0</v>
      </c>
      <c r="J11" s="1"/>
      <c r="K11" s="86" t="str">
        <f t="shared" si="5"/>
        <v>VITA</v>
      </c>
      <c r="L11" s="86" t="str">
        <f t="shared" si="6"/>
        <v>MARK II</v>
      </c>
      <c r="M11" s="86">
        <f t="shared" si="7"/>
        <v>160</v>
      </c>
      <c r="N11" s="86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124</v>
      </c>
      <c r="R11" s="7" t="s">
        <v>124</v>
      </c>
      <c r="S11" s="7" t="s">
        <v>124</v>
      </c>
      <c r="T11" s="7" t="s">
        <v>124</v>
      </c>
      <c r="U11" s="7" t="s">
        <v>59</v>
      </c>
      <c r="V11" s="7" t="s">
        <v>60</v>
      </c>
      <c r="W11" s="7" t="s">
        <v>61</v>
      </c>
      <c r="X11" s="7" t="s">
        <v>62</v>
      </c>
      <c r="Y11" s="7" t="s">
        <v>63</v>
      </c>
      <c r="Z11" s="7" t="s">
        <v>64</v>
      </c>
      <c r="AA11" s="7" t="s">
        <v>65</v>
      </c>
      <c r="AB11" s="7" t="s">
        <v>66</v>
      </c>
      <c r="AC11" s="7" t="s">
        <v>124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21</v>
      </c>
      <c r="F12" s="86">
        <f>IF(NOT(LEN($A12)=0),IF(F11+1&gt;15,"버교체요망",F11+1),"")</f>
        <v>1</v>
      </c>
      <c r="G12" s="86" t="s">
        <v>16</v>
      </c>
      <c r="H12" s="86" t="s">
        <v>16</v>
      </c>
      <c r="I12" s="86">
        <f>IF(NOT(LEN($A12)=0),IF(I11+1&gt;15,"버교체요망",I11+1),"")</f>
        <v>1</v>
      </c>
      <c r="J12" s="1"/>
      <c r="K12" s="86" t="str">
        <f t="shared" si="5"/>
        <v>VITA</v>
      </c>
      <c r="L12" s="86" t="str">
        <f t="shared" si="6"/>
        <v>MARK II</v>
      </c>
      <c r="M12" s="86">
        <f t="shared" si="7"/>
        <v>160</v>
      </c>
      <c r="N12" s="86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5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44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21</v>
      </c>
      <c r="F13" s="86">
        <f t="shared" ref="F13:F16" si="12">IF(NOT(LEN($A13)=0),IF(F12+1&gt;15,"버교체요망",F12+1),"")</f>
        <v>2</v>
      </c>
      <c r="G13" s="86" t="s">
        <v>16</v>
      </c>
      <c r="H13" s="86" t="s">
        <v>16</v>
      </c>
      <c r="I13" s="86">
        <f t="shared" ref="I13:I16" si="13">IF(NOT(LEN($A13)=0),IF(I12+1&gt;15,"버교체요망",I12+1),"")</f>
        <v>2</v>
      </c>
      <c r="J13" s="1"/>
      <c r="K13" s="86" t="str">
        <f t="shared" si="5"/>
        <v>VITA</v>
      </c>
      <c r="L13" s="86" t="str">
        <f t="shared" si="6"/>
        <v>MARK II</v>
      </c>
      <c r="M13" s="86">
        <f t="shared" si="7"/>
        <v>160</v>
      </c>
      <c r="N13" s="86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45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23</v>
      </c>
      <c r="F14" s="86">
        <f t="shared" si="12"/>
        <v>3</v>
      </c>
      <c r="G14" s="86" t="s">
        <v>16</v>
      </c>
      <c r="H14" s="86" t="s">
        <v>16</v>
      </c>
      <c r="I14" s="86">
        <f t="shared" si="13"/>
        <v>3</v>
      </c>
      <c r="J14" s="1"/>
      <c r="K14" s="86" t="str">
        <f t="shared" si="5"/>
        <v>VITA</v>
      </c>
      <c r="L14" s="86" t="str">
        <f t="shared" si="6"/>
        <v>MARK II</v>
      </c>
      <c r="M14" s="86">
        <f t="shared" si="7"/>
        <v>160</v>
      </c>
      <c r="N14" s="86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45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4">IF(B15="","",
  IF(MOD($B15,1)=0,
    "Dimensions: L W H",
    "-"
  )
)</f>
        <v>Dimensions: L W H</v>
      </c>
      <c r="D15" s="6" t="str">
        <f>IF(NOT(LEN(B15)=0),IF(LEN(D16)=0,"진행중","완료"),"")</f>
        <v>완료</v>
      </c>
      <c r="E15" s="24">
        <v>23</v>
      </c>
      <c r="F15" s="86">
        <f t="shared" si="12"/>
        <v>4</v>
      </c>
      <c r="G15" s="86" t="s">
        <v>16</v>
      </c>
      <c r="H15" s="86" t="s">
        <v>16</v>
      </c>
      <c r="I15" s="86">
        <f t="shared" si="13"/>
        <v>4</v>
      </c>
      <c r="J15" s="1"/>
      <c r="K15" s="86" t="str">
        <f t="shared" si="5"/>
        <v>VITA</v>
      </c>
      <c r="L15" s="86" t="str">
        <f t="shared" si="6"/>
        <v>MARK II</v>
      </c>
      <c r="M15" s="86">
        <f t="shared" si="7"/>
        <v>160</v>
      </c>
      <c r="N15" s="86" t="str">
        <f t="shared" si="8"/>
        <v>-</v>
      </c>
      <c r="O15" s="24">
        <f>IF(LEN(A15)&gt;0, 종합!$C$27, "")</f>
        <v>2.2599999999999998</v>
      </c>
      <c r="P15" s="1"/>
      <c r="Q15" s="7" t="str">
        <f t="shared" si="10"/>
        <v>-</v>
      </c>
      <c r="R15" s="7" t="str">
        <f t="shared" si="10"/>
        <v>-</v>
      </c>
      <c r="S15" s="7" t="str">
        <f t="shared" si="10"/>
        <v>-</v>
      </c>
      <c r="T15" s="7" t="str">
        <f t="shared" si="10"/>
        <v>-</v>
      </c>
      <c r="U15" s="7" t="str">
        <f t="shared" si="11"/>
        <v>-</v>
      </c>
      <c r="V15" s="7" t="str">
        <f t="shared" si="11"/>
        <v>-</v>
      </c>
      <c r="W15" s="7" t="str">
        <f t="shared" si="11"/>
        <v>-</v>
      </c>
      <c r="X15" s="7" t="str">
        <f t="shared" si="11"/>
        <v>-</v>
      </c>
      <c r="Y15" s="7" t="str">
        <f t="shared" si="11"/>
        <v>-</v>
      </c>
      <c r="Z15" s="7" t="str">
        <f t="shared" si="11"/>
        <v>-</v>
      </c>
      <c r="AA15" s="7" t="str">
        <f t="shared" si="11"/>
        <v>-</v>
      </c>
      <c r="AB15" s="7" t="str">
        <f t="shared" si="11"/>
        <v>-</v>
      </c>
      <c r="AC15" s="7" t="str">
        <f>IF(MOD($B15,5)=0, "스핀들소음 :","-" )</f>
        <v>-</v>
      </c>
      <c r="AD15" s="7" t="str">
        <f t="shared" si="3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IF(NOT(LEN(B16)=0),IF(LEN(D17)=0,"진행중","완료"),"")</f>
        <v>진행중</v>
      </c>
      <c r="E16" s="88">
        <v>21</v>
      </c>
      <c r="F16" s="86">
        <f t="shared" si="12"/>
        <v>5</v>
      </c>
      <c r="G16" s="86" t="str">
        <f t="shared" ref="G16:H16" si="15">IF(NOT(LEN($I16)=0),G15,"")</f>
        <v>-</v>
      </c>
      <c r="H16" s="86" t="str">
        <f t="shared" si="15"/>
        <v>-</v>
      </c>
      <c r="I16" s="86">
        <f t="shared" si="13"/>
        <v>5</v>
      </c>
      <c r="J16" s="1"/>
      <c r="K16" s="86" t="str">
        <f t="shared" si="5"/>
        <v>VITA</v>
      </c>
      <c r="L16" s="86" t="str">
        <f t="shared" si="6"/>
        <v>MARK II</v>
      </c>
      <c r="M16" s="86">
        <f t="shared" si="7"/>
        <v>160</v>
      </c>
      <c r="N16" s="86" t="str">
        <f t="shared" si="8"/>
        <v>-</v>
      </c>
      <c r="O16" s="24">
        <f>IF(LEN(A16)&gt;0, 종합!$C$27, "")</f>
        <v>2.2599999999999998</v>
      </c>
      <c r="P16" s="1"/>
      <c r="Q16" s="85" t="str">
        <f t="shared" ref="Q16:AE22" si="16">IF(NOT(LEN($A16)=0),"누락","")</f>
        <v>누락</v>
      </c>
      <c r="R16" s="85" t="str">
        <f t="shared" si="16"/>
        <v>누락</v>
      </c>
      <c r="S16" s="85" t="str">
        <f t="shared" si="16"/>
        <v>누락</v>
      </c>
      <c r="T16" s="85" t="str">
        <f t="shared" si="16"/>
        <v>누락</v>
      </c>
      <c r="U16" s="85" t="str">
        <f t="shared" si="16"/>
        <v>누락</v>
      </c>
      <c r="V16" s="85" t="str">
        <f t="shared" si="16"/>
        <v>누락</v>
      </c>
      <c r="W16" s="85" t="str">
        <f t="shared" si="16"/>
        <v>누락</v>
      </c>
      <c r="X16" s="85" t="str">
        <f t="shared" si="16"/>
        <v>누락</v>
      </c>
      <c r="Y16" s="85" t="str">
        <f t="shared" si="16"/>
        <v>누락</v>
      </c>
      <c r="Z16" s="85" t="str">
        <f t="shared" si="16"/>
        <v>누락</v>
      </c>
      <c r="AA16" s="85" t="str">
        <f t="shared" si="16"/>
        <v>누락</v>
      </c>
      <c r="AB16" s="85" t="str">
        <f t="shared" si="16"/>
        <v>누락</v>
      </c>
      <c r="AC16" s="85" t="str">
        <f t="shared" si="16"/>
        <v>누락</v>
      </c>
      <c r="AD16" s="85" t="str">
        <f t="shared" si="16"/>
        <v>누락</v>
      </c>
      <c r="AE16" s="85" t="str">
        <f t="shared" si="16"/>
        <v>누락</v>
      </c>
      <c r="AF16" s="1" t="s">
        <v>16</v>
      </c>
      <c r="AG16" s="1" t="s">
        <v>16</v>
      </c>
    </row>
    <row r="17" spans="1:33" x14ac:dyDescent="0.45">
      <c r="A17" s="3"/>
      <c r="B17" s="24" t="str">
        <f t="shared" si="9"/>
        <v/>
      </c>
      <c r="C17" s="7" t="str">
        <f t="shared" ref="C17:C22" si="17">IF(B17="","",
  IF(MOD($B17,1)=0,
    "Dimensions: L W H",
    "-"
  )
)</f>
        <v/>
      </c>
      <c r="D17" s="6" t="str">
        <f>IF(NOT(LEN(B17)=0),IF(LEN(D18)=0,"진행중","완료"),"")</f>
        <v/>
      </c>
      <c r="E17" s="24"/>
      <c r="F17" s="85" t="str">
        <f t="shared" ref="F17:F22" si="18">IF(NOT(LEN($A17)=0),IF(F16+1&gt;15,"버교체요망",F16+1),"")</f>
        <v/>
      </c>
      <c r="G17" s="86" t="str">
        <f t="shared" ref="G17:G22" si="19">IF(NOT(LEN($I17)=0),G16,"")</f>
        <v/>
      </c>
      <c r="H17" s="86" t="str">
        <f t="shared" ref="H17:H22" si="20">IF(NOT(LEN($I17)=0),H16,"")</f>
        <v/>
      </c>
      <c r="I17" s="85" t="str">
        <f t="shared" ref="I17:I22" si="21">IF(NOT(LEN($A17)=0),IF(I16+1&gt;15,"버교체요망",I16+1),"")</f>
        <v/>
      </c>
      <c r="J17" s="1"/>
      <c r="K17" s="86" t="str">
        <f t="shared" si="5"/>
        <v/>
      </c>
      <c r="L17" s="86" t="str">
        <f t="shared" si="6"/>
        <v/>
      </c>
      <c r="M17" s="86" t="str">
        <f t="shared" si="7"/>
        <v/>
      </c>
      <c r="N17" s="86" t="str">
        <f t="shared" si="8"/>
        <v/>
      </c>
      <c r="O17" s="24" t="str">
        <f>IF(LEN(A17)&gt;0, 종합!$C$27, "")</f>
        <v/>
      </c>
      <c r="P17" s="1"/>
      <c r="Q17" s="85" t="str">
        <f t="shared" si="16"/>
        <v/>
      </c>
      <c r="R17" s="85" t="str">
        <f t="shared" si="16"/>
        <v/>
      </c>
      <c r="S17" s="85" t="str">
        <f t="shared" si="16"/>
        <v/>
      </c>
      <c r="T17" s="85" t="str">
        <f t="shared" si="16"/>
        <v/>
      </c>
      <c r="U17" s="85" t="str">
        <f t="shared" si="16"/>
        <v/>
      </c>
      <c r="V17" s="85" t="str">
        <f t="shared" si="16"/>
        <v/>
      </c>
      <c r="W17" s="85" t="str">
        <f t="shared" si="16"/>
        <v/>
      </c>
      <c r="X17" s="85" t="str">
        <f t="shared" si="16"/>
        <v/>
      </c>
      <c r="Y17" s="85" t="str">
        <f t="shared" si="16"/>
        <v/>
      </c>
      <c r="Z17" s="85" t="str">
        <f t="shared" si="16"/>
        <v/>
      </c>
      <c r="AA17" s="85" t="str">
        <f t="shared" si="16"/>
        <v/>
      </c>
      <c r="AB17" s="85" t="str">
        <f t="shared" si="16"/>
        <v/>
      </c>
      <c r="AC17" s="85" t="str">
        <f t="shared" si="16"/>
        <v/>
      </c>
      <c r="AD17" s="85" t="str">
        <f t="shared" si="16"/>
        <v/>
      </c>
      <c r="AE17" s="85" t="str">
        <f t="shared" si="16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7"/>
        <v/>
      </c>
      <c r="D18" s="6" t="str">
        <f>IF(NOT(LEN(B18)=0),IF(LEN(D19)=0,"진행중","완료"),"")</f>
        <v/>
      </c>
      <c r="E18" s="24"/>
      <c r="F18" s="85" t="str">
        <f t="shared" si="18"/>
        <v/>
      </c>
      <c r="G18" s="86" t="str">
        <f t="shared" si="19"/>
        <v/>
      </c>
      <c r="H18" s="86" t="str">
        <f t="shared" si="20"/>
        <v/>
      </c>
      <c r="I18" s="85" t="str">
        <f t="shared" si="21"/>
        <v/>
      </c>
      <c r="J18" s="1"/>
      <c r="K18" s="86" t="str">
        <f t="shared" si="5"/>
        <v/>
      </c>
      <c r="L18" s="86" t="str">
        <f t="shared" si="6"/>
        <v/>
      </c>
      <c r="M18" s="86" t="str">
        <f t="shared" si="7"/>
        <v/>
      </c>
      <c r="N18" s="86" t="str">
        <f t="shared" si="8"/>
        <v/>
      </c>
      <c r="O18" s="24" t="str">
        <f>IF(LEN(A18)&gt;0, 종합!$C$27, "")</f>
        <v/>
      </c>
      <c r="P18" s="1"/>
      <c r="Q18" s="85" t="str">
        <f t="shared" si="16"/>
        <v/>
      </c>
      <c r="R18" s="85" t="str">
        <f t="shared" si="16"/>
        <v/>
      </c>
      <c r="S18" s="85" t="str">
        <f t="shared" si="16"/>
        <v/>
      </c>
      <c r="T18" s="85" t="str">
        <f t="shared" si="16"/>
        <v/>
      </c>
      <c r="U18" s="85" t="str">
        <f t="shared" si="16"/>
        <v/>
      </c>
      <c r="V18" s="85" t="str">
        <f t="shared" si="16"/>
        <v/>
      </c>
      <c r="W18" s="85" t="str">
        <f t="shared" si="16"/>
        <v/>
      </c>
      <c r="X18" s="85" t="str">
        <f t="shared" si="16"/>
        <v/>
      </c>
      <c r="Y18" s="85" t="str">
        <f t="shared" si="16"/>
        <v/>
      </c>
      <c r="Z18" s="85" t="str">
        <f t="shared" si="16"/>
        <v/>
      </c>
      <c r="AA18" s="85" t="str">
        <f t="shared" si="16"/>
        <v/>
      </c>
      <c r="AB18" s="85" t="str">
        <f t="shared" si="16"/>
        <v/>
      </c>
      <c r="AC18" s="85" t="str">
        <f t="shared" si="16"/>
        <v/>
      </c>
      <c r="AD18" s="85" t="str">
        <f t="shared" si="16"/>
        <v/>
      </c>
      <c r="AE18" s="85" t="str">
        <f t="shared" si="16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7"/>
        <v/>
      </c>
      <c r="D19" s="6" t="str">
        <f>IF(NOT(LEN(B19)=0),IF(LEN(D20)=0,"진행중","완료"),"")</f>
        <v/>
      </c>
      <c r="E19" s="24"/>
      <c r="F19" s="85" t="str">
        <f t="shared" si="18"/>
        <v/>
      </c>
      <c r="G19" s="86" t="str">
        <f t="shared" si="19"/>
        <v/>
      </c>
      <c r="H19" s="86" t="str">
        <f t="shared" si="20"/>
        <v/>
      </c>
      <c r="I19" s="85" t="str">
        <f t="shared" si="21"/>
        <v/>
      </c>
      <c r="J19" s="1"/>
      <c r="K19" s="86" t="str">
        <f t="shared" si="5"/>
        <v/>
      </c>
      <c r="L19" s="86" t="str">
        <f t="shared" si="6"/>
        <v/>
      </c>
      <c r="M19" s="86" t="str">
        <f t="shared" si="7"/>
        <v/>
      </c>
      <c r="N19" s="86" t="str">
        <f t="shared" si="8"/>
        <v/>
      </c>
      <c r="O19" s="24" t="str">
        <f>IF(LEN(A19)&gt;0, 종합!$C$27, "")</f>
        <v/>
      </c>
      <c r="P19" s="1"/>
      <c r="Q19" s="85" t="str">
        <f t="shared" si="16"/>
        <v/>
      </c>
      <c r="R19" s="85" t="str">
        <f t="shared" si="16"/>
        <v/>
      </c>
      <c r="S19" s="85" t="str">
        <f t="shared" si="16"/>
        <v/>
      </c>
      <c r="T19" s="85" t="str">
        <f t="shared" si="16"/>
        <v/>
      </c>
      <c r="U19" s="85" t="str">
        <f t="shared" si="16"/>
        <v/>
      </c>
      <c r="V19" s="85" t="str">
        <f t="shared" si="16"/>
        <v/>
      </c>
      <c r="W19" s="85" t="str">
        <f t="shared" si="16"/>
        <v/>
      </c>
      <c r="X19" s="85" t="str">
        <f t="shared" si="16"/>
        <v/>
      </c>
      <c r="Y19" s="85" t="str">
        <f t="shared" si="16"/>
        <v/>
      </c>
      <c r="Z19" s="85" t="str">
        <f t="shared" si="16"/>
        <v/>
      </c>
      <c r="AA19" s="85" t="str">
        <f t="shared" si="16"/>
        <v/>
      </c>
      <c r="AB19" s="85" t="str">
        <f t="shared" si="16"/>
        <v/>
      </c>
      <c r="AC19" s="85" t="str">
        <f t="shared" si="16"/>
        <v/>
      </c>
      <c r="AD19" s="85" t="str">
        <f t="shared" si="16"/>
        <v/>
      </c>
      <c r="AE19" s="85" t="str">
        <f t="shared" si="16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7"/>
        <v/>
      </c>
      <c r="D20" s="6" t="str">
        <f>IF(NOT(LEN(B20)=0),IF(LEN(D21)=0,"진행중","완료"),"")</f>
        <v/>
      </c>
      <c r="E20" s="24"/>
      <c r="F20" s="85" t="str">
        <f t="shared" si="18"/>
        <v/>
      </c>
      <c r="G20" s="86" t="str">
        <f t="shared" si="19"/>
        <v/>
      </c>
      <c r="H20" s="86" t="str">
        <f t="shared" si="20"/>
        <v/>
      </c>
      <c r="I20" s="85" t="str">
        <f t="shared" si="21"/>
        <v/>
      </c>
      <c r="J20" s="1"/>
      <c r="K20" s="86" t="str">
        <f t="shared" si="5"/>
        <v/>
      </c>
      <c r="L20" s="86" t="str">
        <f t="shared" si="6"/>
        <v/>
      </c>
      <c r="M20" s="86" t="str">
        <f t="shared" si="7"/>
        <v/>
      </c>
      <c r="N20" s="86" t="str">
        <f t="shared" si="8"/>
        <v/>
      </c>
      <c r="O20" s="24" t="str">
        <f>IF(LEN(A20)&gt;0, 종합!$C$27, "")</f>
        <v/>
      </c>
      <c r="P20" s="1"/>
      <c r="Q20" s="85" t="str">
        <f t="shared" si="16"/>
        <v/>
      </c>
      <c r="R20" s="85" t="str">
        <f t="shared" si="16"/>
        <v/>
      </c>
      <c r="S20" s="85" t="str">
        <f t="shared" si="16"/>
        <v/>
      </c>
      <c r="T20" s="85" t="str">
        <f t="shared" si="16"/>
        <v/>
      </c>
      <c r="U20" s="85" t="str">
        <f t="shared" si="16"/>
        <v/>
      </c>
      <c r="V20" s="85" t="str">
        <f t="shared" si="16"/>
        <v/>
      </c>
      <c r="W20" s="85" t="str">
        <f t="shared" si="16"/>
        <v/>
      </c>
      <c r="X20" s="85" t="str">
        <f t="shared" si="16"/>
        <v/>
      </c>
      <c r="Y20" s="85" t="str">
        <f t="shared" si="16"/>
        <v/>
      </c>
      <c r="Z20" s="85" t="str">
        <f t="shared" si="16"/>
        <v/>
      </c>
      <c r="AA20" s="85" t="str">
        <f t="shared" si="16"/>
        <v/>
      </c>
      <c r="AB20" s="85" t="str">
        <f t="shared" si="16"/>
        <v/>
      </c>
      <c r="AC20" s="85" t="str">
        <f t="shared" si="16"/>
        <v/>
      </c>
      <c r="AD20" s="85" t="str">
        <f t="shared" si="16"/>
        <v/>
      </c>
      <c r="AE20" s="85" t="str">
        <f t="shared" si="16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7"/>
        <v/>
      </c>
      <c r="D21" s="6" t="str">
        <f>IF(NOT(LEN(B21)=0),IF(LEN(D22)=0,"진행중","완료"),"")</f>
        <v/>
      </c>
      <c r="E21" s="24"/>
      <c r="F21" s="85" t="str">
        <f t="shared" si="18"/>
        <v/>
      </c>
      <c r="G21" s="86" t="str">
        <f t="shared" si="19"/>
        <v/>
      </c>
      <c r="H21" s="86" t="str">
        <f t="shared" si="20"/>
        <v/>
      </c>
      <c r="I21" s="85" t="str">
        <f t="shared" si="21"/>
        <v/>
      </c>
      <c r="J21" s="1"/>
      <c r="K21" s="86" t="str">
        <f t="shared" si="5"/>
        <v/>
      </c>
      <c r="L21" s="86" t="str">
        <f t="shared" si="6"/>
        <v/>
      </c>
      <c r="M21" s="86" t="str">
        <f t="shared" si="7"/>
        <v/>
      </c>
      <c r="N21" s="86" t="str">
        <f t="shared" si="8"/>
        <v/>
      </c>
      <c r="O21" s="24" t="str">
        <f>IF(LEN(A21)&gt;0, 종합!$C$27, "")</f>
        <v/>
      </c>
      <c r="P21" s="1"/>
      <c r="Q21" s="85" t="str">
        <f t="shared" si="16"/>
        <v/>
      </c>
      <c r="R21" s="85" t="str">
        <f t="shared" si="16"/>
        <v/>
      </c>
      <c r="S21" s="85" t="str">
        <f t="shared" si="16"/>
        <v/>
      </c>
      <c r="T21" s="85" t="str">
        <f t="shared" si="16"/>
        <v/>
      </c>
      <c r="U21" s="85" t="str">
        <f t="shared" si="16"/>
        <v/>
      </c>
      <c r="V21" s="85" t="str">
        <f t="shared" si="16"/>
        <v/>
      </c>
      <c r="W21" s="85" t="str">
        <f t="shared" si="16"/>
        <v/>
      </c>
      <c r="X21" s="85" t="str">
        <f t="shared" si="16"/>
        <v/>
      </c>
      <c r="Y21" s="85" t="str">
        <f t="shared" si="16"/>
        <v/>
      </c>
      <c r="Z21" s="85" t="str">
        <f t="shared" si="16"/>
        <v/>
      </c>
      <c r="AA21" s="85" t="str">
        <f t="shared" si="16"/>
        <v/>
      </c>
      <c r="AB21" s="85" t="str">
        <f t="shared" si="16"/>
        <v/>
      </c>
      <c r="AC21" s="85" t="str">
        <f t="shared" si="16"/>
        <v/>
      </c>
      <c r="AD21" s="85" t="str">
        <f t="shared" si="16"/>
        <v/>
      </c>
      <c r="AE21" s="85" t="str">
        <f t="shared" si="16"/>
        <v/>
      </c>
      <c r="AF21" s="1" t="s">
        <v>16</v>
      </c>
      <c r="AG21" s="1" t="s">
        <v>16</v>
      </c>
    </row>
    <row r="22" spans="1:33" x14ac:dyDescent="0.45">
      <c r="A22" s="3"/>
      <c r="B22" s="24" t="str">
        <f t="shared" si="9"/>
        <v/>
      </c>
      <c r="C22" s="7" t="str">
        <f t="shared" si="17"/>
        <v/>
      </c>
      <c r="D22" s="6" t="str">
        <f>IF(NOT(LEN(B22)=0),IF(LEN(D23)=0,"진행중","완료"),"")</f>
        <v/>
      </c>
      <c r="E22" s="1"/>
      <c r="F22" s="85" t="str">
        <f t="shared" si="18"/>
        <v/>
      </c>
      <c r="G22" s="86" t="str">
        <f t="shared" si="19"/>
        <v/>
      </c>
      <c r="H22" s="86" t="str">
        <f t="shared" si="20"/>
        <v/>
      </c>
      <c r="I22" s="85" t="str">
        <f t="shared" si="21"/>
        <v/>
      </c>
      <c r="J22" s="1"/>
      <c r="K22" s="86" t="str">
        <f t="shared" si="5"/>
        <v/>
      </c>
      <c r="L22" s="86" t="str">
        <f t="shared" si="6"/>
        <v/>
      </c>
      <c r="M22" s="86" t="str">
        <f t="shared" si="7"/>
        <v/>
      </c>
      <c r="N22" s="86" t="str">
        <f t="shared" si="8"/>
        <v/>
      </c>
      <c r="O22" s="24" t="str">
        <f>IF(LEN(A22)&gt;0, 종합!$C$27, "")</f>
        <v/>
      </c>
      <c r="P22" s="1"/>
      <c r="Q22" s="85" t="str">
        <f t="shared" si="16"/>
        <v/>
      </c>
      <c r="R22" s="85" t="str">
        <f t="shared" si="16"/>
        <v/>
      </c>
      <c r="S22" s="85" t="str">
        <f t="shared" si="16"/>
        <v/>
      </c>
      <c r="T22" s="85" t="str">
        <f t="shared" si="16"/>
        <v/>
      </c>
      <c r="U22" s="85" t="str">
        <f t="shared" si="16"/>
        <v/>
      </c>
      <c r="V22" s="85" t="str">
        <f t="shared" si="16"/>
        <v/>
      </c>
      <c r="W22" s="85" t="str">
        <f t="shared" si="16"/>
        <v/>
      </c>
      <c r="X22" s="85" t="str">
        <f t="shared" si="16"/>
        <v/>
      </c>
      <c r="Y22" s="85" t="str">
        <f t="shared" si="16"/>
        <v/>
      </c>
      <c r="Z22" s="85" t="str">
        <f t="shared" si="16"/>
        <v/>
      </c>
      <c r="AA22" s="85" t="str">
        <f t="shared" si="16"/>
        <v/>
      </c>
      <c r="AB22" s="85" t="str">
        <f t="shared" si="16"/>
        <v/>
      </c>
      <c r="AC22" s="85" t="str">
        <f t="shared" si="16"/>
        <v/>
      </c>
      <c r="AD22" s="85" t="str">
        <f t="shared" si="16"/>
        <v/>
      </c>
      <c r="AE22" s="85" t="str">
        <f t="shared" si="16"/>
        <v/>
      </c>
      <c r="AF22" s="1" t="s">
        <v>16</v>
      </c>
      <c r="AG22" s="1" t="s">
        <v>16</v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1456" priority="177" operator="containsText" text="신품">
      <formula>NOT(ISERROR(SEARCH("신품",F7)))</formula>
    </cfRule>
    <cfRule type="containsText" dxfId="1455" priority="178" operator="containsText" text="중고">
      <formula>NOT(ISERROR(SEARCH("중고",F7)))</formula>
    </cfRule>
  </conditionalFormatting>
  <conditionalFormatting sqref="I7:I9">
    <cfRule type="containsText" dxfId="1454" priority="175" operator="containsText" text="신품">
      <formula>NOT(ISERROR(SEARCH("신품",I7)))</formula>
    </cfRule>
    <cfRule type="containsText" dxfId="1453" priority="176" operator="containsText" text="중고">
      <formula>NOT(ISERROR(SEARCH("중고",I7)))</formula>
    </cfRule>
  </conditionalFormatting>
  <conditionalFormatting sqref="H10 F10">
    <cfRule type="containsText" dxfId="1450" priority="171" operator="containsText" text="신품">
      <formula>NOT(ISERROR(SEARCH("신품",F10)))</formula>
    </cfRule>
    <cfRule type="containsText" dxfId="1449" priority="172" operator="containsText" text="중고">
      <formula>NOT(ISERROR(SEARCH("중고",F10)))</formula>
    </cfRule>
  </conditionalFormatting>
  <conditionalFormatting sqref="I10">
    <cfRule type="containsText" dxfId="1448" priority="169" operator="containsText" text="신품">
      <formula>NOT(ISERROR(SEARCH("신품",I10)))</formula>
    </cfRule>
    <cfRule type="containsText" dxfId="1447" priority="170" operator="containsText" text="중고">
      <formula>NOT(ISERROR(SEARCH("중고",I10)))</formula>
    </cfRule>
  </conditionalFormatting>
  <conditionalFormatting sqref="H11">
    <cfRule type="containsText" dxfId="1444" priority="165" operator="containsText" text="신품">
      <formula>NOT(ISERROR(SEARCH("신품",H11)))</formula>
    </cfRule>
    <cfRule type="containsText" dxfId="1443" priority="166" operator="containsText" text="중고">
      <formula>NOT(ISERROR(SEARCH("중고",H11)))</formula>
    </cfRule>
  </conditionalFormatting>
  <conditionalFormatting sqref="H12:H15">
    <cfRule type="containsText" dxfId="1438" priority="159" operator="containsText" text="신품">
      <formula>NOT(ISERROR(SEARCH("신품",H12)))</formula>
    </cfRule>
    <cfRule type="containsText" dxfId="1437" priority="160" operator="containsText" text="중고">
      <formula>NOT(ISERROR(SEARCH("중고",H12)))</formula>
    </cfRule>
  </conditionalFormatting>
  <conditionalFormatting sqref="D23">
    <cfRule type="containsText" dxfId="1434" priority="156" operator="containsText" text="진행중">
      <formula>NOT(ISERROR(SEARCH("진행중",D23)))</formula>
    </cfRule>
  </conditionalFormatting>
  <conditionalFormatting sqref="F12:F22">
    <cfRule type="containsText" dxfId="1403" priority="124" operator="containsText" text="완료">
      <formula>NOT(ISERROR(SEARCH("완료",F12)))</formula>
    </cfRule>
    <cfRule type="containsText" dxfId="1402" priority="125" operator="containsText" text="중단">
      <formula>NOT(ISERROR(SEARCH("중단",F12)))</formula>
    </cfRule>
  </conditionalFormatting>
  <conditionalFormatting sqref="F12:F22">
    <cfRule type="containsText" dxfId="1401" priority="122" operator="containsText" text="완료">
      <formula>NOT(ISERROR(SEARCH("완료",F12)))</formula>
    </cfRule>
    <cfRule type="containsText" dxfId="1400" priority="123" operator="containsText" text="중단">
      <formula>NOT(ISERROR(SEARCH("중단",F12)))</formula>
    </cfRule>
  </conditionalFormatting>
  <conditionalFormatting sqref="F12:F22">
    <cfRule type="containsText" dxfId="1399" priority="121" operator="containsText" text="진행중">
      <formula>NOT(ISERROR(SEARCH("진행중",F12)))</formula>
    </cfRule>
  </conditionalFormatting>
  <conditionalFormatting sqref="F11">
    <cfRule type="containsText" dxfId="1398" priority="119" operator="containsText" text="완료">
      <formula>NOT(ISERROR(SEARCH("완료",F11)))</formula>
    </cfRule>
    <cfRule type="containsText" dxfId="1397" priority="120" operator="containsText" text="중단">
      <formula>NOT(ISERROR(SEARCH("중단",F11)))</formula>
    </cfRule>
  </conditionalFormatting>
  <conditionalFormatting sqref="F11">
    <cfRule type="containsText" dxfId="1396" priority="117" operator="containsText" text="완료">
      <formula>NOT(ISERROR(SEARCH("완료",F11)))</formula>
    </cfRule>
    <cfRule type="containsText" dxfId="1395" priority="118" operator="containsText" text="중단">
      <formula>NOT(ISERROR(SEARCH("중단",F11)))</formula>
    </cfRule>
  </conditionalFormatting>
  <conditionalFormatting sqref="F11">
    <cfRule type="containsText" dxfId="1394" priority="116" operator="containsText" text="진행중">
      <formula>NOT(ISERROR(SEARCH("진행중",F11)))</formula>
    </cfRule>
  </conditionalFormatting>
  <conditionalFormatting sqref="I12:I22">
    <cfRule type="containsText" dxfId="1393" priority="114" operator="containsText" text="완료">
      <formula>NOT(ISERROR(SEARCH("완료",I12)))</formula>
    </cfRule>
    <cfRule type="containsText" dxfId="1392" priority="115" operator="containsText" text="중단">
      <formula>NOT(ISERROR(SEARCH("중단",I12)))</formula>
    </cfRule>
  </conditionalFormatting>
  <conditionalFormatting sqref="I12:I22">
    <cfRule type="containsText" dxfId="1391" priority="112" operator="containsText" text="완료">
      <formula>NOT(ISERROR(SEARCH("완료",I12)))</formula>
    </cfRule>
    <cfRule type="containsText" dxfId="1390" priority="113" operator="containsText" text="중단">
      <formula>NOT(ISERROR(SEARCH("중단",I12)))</formula>
    </cfRule>
  </conditionalFormatting>
  <conditionalFormatting sqref="I12:I22">
    <cfRule type="containsText" dxfId="1389" priority="111" operator="containsText" text="진행중">
      <formula>NOT(ISERROR(SEARCH("진행중",I12)))</formula>
    </cfRule>
  </conditionalFormatting>
  <conditionalFormatting sqref="I11">
    <cfRule type="containsText" dxfId="1388" priority="109" operator="containsText" text="완료">
      <formula>NOT(ISERROR(SEARCH("완료",I11)))</formula>
    </cfRule>
    <cfRule type="containsText" dxfId="1387" priority="110" operator="containsText" text="중단">
      <formula>NOT(ISERROR(SEARCH("중단",I11)))</formula>
    </cfRule>
  </conditionalFormatting>
  <conditionalFormatting sqref="I11">
    <cfRule type="containsText" dxfId="1386" priority="107" operator="containsText" text="완료">
      <formula>NOT(ISERROR(SEARCH("완료",I11)))</formula>
    </cfRule>
    <cfRule type="containsText" dxfId="1385" priority="108" operator="containsText" text="중단">
      <formula>NOT(ISERROR(SEARCH("중단",I11)))</formula>
    </cfRule>
  </conditionalFormatting>
  <conditionalFormatting sqref="I11">
    <cfRule type="containsText" dxfId="1384" priority="106" operator="containsText" text="진행중">
      <formula>NOT(ISERROR(SEARCH("진행중",I11)))</formula>
    </cfRule>
  </conditionalFormatting>
  <conditionalFormatting sqref="K8:K22">
    <cfRule type="containsText" dxfId="1363" priority="84" operator="containsText" text="완료">
      <formula>NOT(ISERROR(SEARCH("완료",K8)))</formula>
    </cfRule>
    <cfRule type="containsText" dxfId="1362" priority="85" operator="containsText" text="중단">
      <formula>NOT(ISERROR(SEARCH("중단",K8)))</formula>
    </cfRule>
  </conditionalFormatting>
  <conditionalFormatting sqref="K8:K22">
    <cfRule type="containsText" dxfId="1361" priority="82" operator="containsText" text="완료">
      <formula>NOT(ISERROR(SEARCH("완료",K8)))</formula>
    </cfRule>
    <cfRule type="containsText" dxfId="1360" priority="83" operator="containsText" text="중단">
      <formula>NOT(ISERROR(SEARCH("중단",K8)))</formula>
    </cfRule>
  </conditionalFormatting>
  <conditionalFormatting sqref="K8:K22">
    <cfRule type="containsText" dxfId="1359" priority="81" operator="containsText" text="진행중">
      <formula>NOT(ISERROR(SEARCH("진행중",K8)))</formula>
    </cfRule>
  </conditionalFormatting>
  <conditionalFormatting sqref="L8:L22">
    <cfRule type="containsText" dxfId="1358" priority="79" operator="containsText" text="완료">
      <formula>NOT(ISERROR(SEARCH("완료",L8)))</formula>
    </cfRule>
    <cfRule type="containsText" dxfId="1357" priority="80" operator="containsText" text="중단">
      <formula>NOT(ISERROR(SEARCH("중단",L8)))</formula>
    </cfRule>
  </conditionalFormatting>
  <conditionalFormatting sqref="L8:L22">
    <cfRule type="containsText" dxfId="1356" priority="77" operator="containsText" text="완료">
      <formula>NOT(ISERROR(SEARCH("완료",L8)))</formula>
    </cfRule>
    <cfRule type="containsText" dxfId="1355" priority="78" operator="containsText" text="중단">
      <formula>NOT(ISERROR(SEARCH("중단",L8)))</formula>
    </cfRule>
  </conditionalFormatting>
  <conditionalFormatting sqref="L8:L22">
    <cfRule type="containsText" dxfId="1354" priority="76" operator="containsText" text="진행중">
      <formula>NOT(ISERROR(SEARCH("진행중",L8)))</formula>
    </cfRule>
  </conditionalFormatting>
  <conditionalFormatting sqref="M8:N22">
    <cfRule type="containsText" dxfId="1353" priority="74" operator="containsText" text="완료">
      <formula>NOT(ISERROR(SEARCH("완료",M8)))</formula>
    </cfRule>
    <cfRule type="containsText" dxfId="1352" priority="75" operator="containsText" text="중단">
      <formula>NOT(ISERROR(SEARCH("중단",M8)))</formula>
    </cfRule>
  </conditionalFormatting>
  <conditionalFormatting sqref="M8:N22">
    <cfRule type="containsText" dxfId="1351" priority="72" operator="containsText" text="완료">
      <formula>NOT(ISERROR(SEARCH("완료",M8)))</formula>
    </cfRule>
    <cfRule type="containsText" dxfId="1350" priority="73" operator="containsText" text="중단">
      <formula>NOT(ISERROR(SEARCH("중단",M8)))</formula>
    </cfRule>
  </conditionalFormatting>
  <conditionalFormatting sqref="M8:N22">
    <cfRule type="containsText" dxfId="1349" priority="71" operator="containsText" text="진행중">
      <formula>NOT(ISERROR(SEARCH("진행중",M8)))</formula>
    </cfRule>
  </conditionalFormatting>
  <conditionalFormatting sqref="Q16:Q22">
    <cfRule type="containsText" dxfId="1343" priority="64" operator="containsText" text="완료">
      <formula>NOT(ISERROR(SEARCH("완료",Q16)))</formula>
    </cfRule>
    <cfRule type="containsText" dxfId="1342" priority="65" operator="containsText" text="중단">
      <formula>NOT(ISERROR(SEARCH("중단",Q16)))</formula>
    </cfRule>
  </conditionalFormatting>
  <conditionalFormatting sqref="Q16:Q22">
    <cfRule type="containsText" dxfId="1341" priority="62" operator="containsText" text="완료">
      <formula>NOT(ISERROR(SEARCH("완료",Q16)))</formula>
    </cfRule>
    <cfRule type="containsText" dxfId="1340" priority="63" operator="containsText" text="중단">
      <formula>NOT(ISERROR(SEARCH("중단",Q16)))</formula>
    </cfRule>
  </conditionalFormatting>
  <conditionalFormatting sqref="Q16:Q22">
    <cfRule type="containsText" dxfId="1339" priority="61" operator="containsText" text="진행중">
      <formula>NOT(ISERROR(SEARCH("진행중",Q16)))</formula>
    </cfRule>
  </conditionalFormatting>
  <conditionalFormatting sqref="R16:R22">
    <cfRule type="containsText" dxfId="1338" priority="59" operator="containsText" text="완료">
      <formula>NOT(ISERROR(SEARCH("완료",R16)))</formula>
    </cfRule>
    <cfRule type="containsText" dxfId="1337" priority="60" operator="containsText" text="중단">
      <formula>NOT(ISERROR(SEARCH("중단",R16)))</formula>
    </cfRule>
  </conditionalFormatting>
  <conditionalFormatting sqref="R16:R22">
    <cfRule type="containsText" dxfId="1336" priority="57" operator="containsText" text="완료">
      <formula>NOT(ISERROR(SEARCH("완료",R16)))</formula>
    </cfRule>
    <cfRule type="containsText" dxfId="1335" priority="58" operator="containsText" text="중단">
      <formula>NOT(ISERROR(SEARCH("중단",R16)))</formula>
    </cfRule>
  </conditionalFormatting>
  <conditionalFormatting sqref="R16:R22">
    <cfRule type="containsText" dxfId="1334" priority="56" operator="containsText" text="진행중">
      <formula>NOT(ISERROR(SEARCH("진행중",R16)))</formula>
    </cfRule>
  </conditionalFormatting>
  <conditionalFormatting sqref="S16:S22">
    <cfRule type="containsText" dxfId="1333" priority="54" operator="containsText" text="완료">
      <formula>NOT(ISERROR(SEARCH("완료",S16)))</formula>
    </cfRule>
    <cfRule type="containsText" dxfId="1332" priority="55" operator="containsText" text="중단">
      <formula>NOT(ISERROR(SEARCH("중단",S16)))</formula>
    </cfRule>
  </conditionalFormatting>
  <conditionalFormatting sqref="S16:S22">
    <cfRule type="containsText" dxfId="1331" priority="52" operator="containsText" text="완료">
      <formula>NOT(ISERROR(SEARCH("완료",S16)))</formula>
    </cfRule>
    <cfRule type="containsText" dxfId="1330" priority="53" operator="containsText" text="중단">
      <formula>NOT(ISERROR(SEARCH("중단",S16)))</formula>
    </cfRule>
  </conditionalFormatting>
  <conditionalFormatting sqref="S16:S22">
    <cfRule type="containsText" dxfId="1329" priority="51" operator="containsText" text="진행중">
      <formula>NOT(ISERROR(SEARCH("진행중",S16)))</formula>
    </cfRule>
  </conditionalFormatting>
  <conditionalFormatting sqref="T16:T22">
    <cfRule type="containsText" dxfId="1328" priority="49" operator="containsText" text="완료">
      <formula>NOT(ISERROR(SEARCH("완료",T16)))</formula>
    </cfRule>
    <cfRule type="containsText" dxfId="1327" priority="50" operator="containsText" text="중단">
      <formula>NOT(ISERROR(SEARCH("중단",T16)))</formula>
    </cfRule>
  </conditionalFormatting>
  <conditionalFormatting sqref="T16:T22">
    <cfRule type="containsText" dxfId="1326" priority="47" operator="containsText" text="완료">
      <formula>NOT(ISERROR(SEARCH("완료",T16)))</formula>
    </cfRule>
    <cfRule type="containsText" dxfId="1325" priority="48" operator="containsText" text="중단">
      <formula>NOT(ISERROR(SEARCH("중단",T16)))</formula>
    </cfRule>
  </conditionalFormatting>
  <conditionalFormatting sqref="T16:T22">
    <cfRule type="containsText" dxfId="1324" priority="46" operator="containsText" text="진행중">
      <formula>NOT(ISERROR(SEARCH("진행중",T16)))</formula>
    </cfRule>
  </conditionalFormatting>
  <conditionalFormatting sqref="U16:AC22">
    <cfRule type="containsText" dxfId="1323" priority="44" operator="containsText" text="완료">
      <formula>NOT(ISERROR(SEARCH("완료",U16)))</formula>
    </cfRule>
    <cfRule type="containsText" dxfId="1322" priority="45" operator="containsText" text="중단">
      <formula>NOT(ISERROR(SEARCH("중단",U16)))</formula>
    </cfRule>
  </conditionalFormatting>
  <conditionalFormatting sqref="U16:AC22">
    <cfRule type="containsText" dxfId="1321" priority="42" operator="containsText" text="완료">
      <formula>NOT(ISERROR(SEARCH("완료",U16)))</formula>
    </cfRule>
    <cfRule type="containsText" dxfId="1320" priority="43" operator="containsText" text="중단">
      <formula>NOT(ISERROR(SEARCH("중단",U16)))</formula>
    </cfRule>
  </conditionalFormatting>
  <conditionalFormatting sqref="U16:AC22">
    <cfRule type="containsText" dxfId="1319" priority="41" operator="containsText" text="진행중">
      <formula>NOT(ISERROR(SEARCH("진행중",U16)))</formula>
    </cfRule>
  </conditionalFormatting>
  <conditionalFormatting sqref="AD16:AD22">
    <cfRule type="containsText" dxfId="1318" priority="39" operator="containsText" text="완료">
      <formula>NOT(ISERROR(SEARCH("완료",AD16)))</formula>
    </cfRule>
    <cfRule type="containsText" dxfId="1317" priority="40" operator="containsText" text="중단">
      <formula>NOT(ISERROR(SEARCH("중단",AD16)))</formula>
    </cfRule>
  </conditionalFormatting>
  <conditionalFormatting sqref="AD16:AD22">
    <cfRule type="containsText" dxfId="1316" priority="37" operator="containsText" text="완료">
      <formula>NOT(ISERROR(SEARCH("완료",AD16)))</formula>
    </cfRule>
    <cfRule type="containsText" dxfId="1315" priority="38" operator="containsText" text="중단">
      <formula>NOT(ISERROR(SEARCH("중단",AD16)))</formula>
    </cfRule>
  </conditionalFormatting>
  <conditionalFormatting sqref="AD16:AD22">
    <cfRule type="containsText" dxfId="1314" priority="36" operator="containsText" text="진행중">
      <formula>NOT(ISERROR(SEARCH("진행중",AD16)))</formula>
    </cfRule>
  </conditionalFormatting>
  <conditionalFormatting sqref="AE16:AE22">
    <cfRule type="containsText" dxfId="1313" priority="34" operator="containsText" text="완료">
      <formula>NOT(ISERROR(SEARCH("완료",AE16)))</formula>
    </cfRule>
    <cfRule type="containsText" dxfId="1312" priority="35" operator="containsText" text="중단">
      <formula>NOT(ISERROR(SEARCH("중단",AE16)))</formula>
    </cfRule>
  </conditionalFormatting>
  <conditionalFormatting sqref="AE16:AE22">
    <cfRule type="containsText" dxfId="1311" priority="32" operator="containsText" text="완료">
      <formula>NOT(ISERROR(SEARCH("완료",AE16)))</formula>
    </cfRule>
    <cfRule type="containsText" dxfId="1310" priority="33" operator="containsText" text="중단">
      <formula>NOT(ISERROR(SEARCH("중단",AE16)))</formula>
    </cfRule>
  </conditionalFormatting>
  <conditionalFormatting sqref="AE16:AE22">
    <cfRule type="containsText" dxfId="1309" priority="31" operator="containsText" text="진행중">
      <formula>NOT(ISERROR(SEARCH("진행중",AE16)))</formula>
    </cfRule>
  </conditionalFormatting>
  <conditionalFormatting sqref="D8:D19">
    <cfRule type="containsText" dxfId="1308" priority="29" operator="containsText" text="완료">
      <formula>NOT(ISERROR(SEARCH("완료",D8)))</formula>
    </cfRule>
    <cfRule type="containsText" dxfId="1307" priority="30" operator="containsText" text="중단">
      <formula>NOT(ISERROR(SEARCH("중단",D8)))</formula>
    </cfRule>
  </conditionalFormatting>
  <conditionalFormatting sqref="D11">
    <cfRule type="containsText" dxfId="1306" priority="27" operator="containsText" text="완료">
      <formula>NOT(ISERROR(SEARCH("완료",D11)))</formula>
    </cfRule>
    <cfRule type="containsText" dxfId="1305" priority="28" operator="containsText" text="중단">
      <formula>NOT(ISERROR(SEARCH("중단",D11)))</formula>
    </cfRule>
  </conditionalFormatting>
  <conditionalFormatting sqref="D12:D19">
    <cfRule type="containsText" dxfId="1304" priority="25" operator="containsText" text="완료">
      <formula>NOT(ISERROR(SEARCH("완료",D12)))</formula>
    </cfRule>
    <cfRule type="containsText" dxfId="1303" priority="26" operator="containsText" text="중단">
      <formula>NOT(ISERROR(SEARCH("중단",D12)))</formula>
    </cfRule>
  </conditionalFormatting>
  <conditionalFormatting sqref="D13:D19">
    <cfRule type="containsText" dxfId="1302" priority="23" operator="containsText" text="완료">
      <formula>NOT(ISERROR(SEARCH("완료",D13)))</formula>
    </cfRule>
    <cfRule type="containsText" dxfId="1301" priority="24" operator="containsText" text="중단">
      <formula>NOT(ISERROR(SEARCH("중단",D13)))</formula>
    </cfRule>
  </conditionalFormatting>
  <conditionalFormatting sqref="D8:D19">
    <cfRule type="containsText" dxfId="1300" priority="22" operator="containsText" text="진행중">
      <formula>NOT(ISERROR(SEARCH("진행중",D8)))</formula>
    </cfRule>
  </conditionalFormatting>
  <conditionalFormatting sqref="D8:D22">
    <cfRule type="containsText" dxfId="1299" priority="20" operator="containsText" text="완료">
      <formula>NOT(ISERROR(SEARCH("완료",D8)))</formula>
    </cfRule>
    <cfRule type="containsText" dxfId="1298" priority="21" operator="containsText" text="중단">
      <formula>NOT(ISERROR(SEARCH("중단",D8)))</formula>
    </cfRule>
  </conditionalFormatting>
  <conditionalFormatting sqref="D8:D22">
    <cfRule type="containsText" dxfId="1297" priority="18" operator="containsText" text="완료">
      <formula>NOT(ISERROR(SEARCH("완료",D8)))</formula>
    </cfRule>
    <cfRule type="containsText" dxfId="1296" priority="19" operator="containsText" text="중단">
      <formula>NOT(ISERROR(SEARCH("중단",D8)))</formula>
    </cfRule>
  </conditionalFormatting>
  <conditionalFormatting sqref="D8:D22">
    <cfRule type="containsText" dxfId="1295" priority="17" operator="containsText" text="진행중">
      <formula>NOT(ISERROR(SEARCH("진행중",D8)))</formula>
    </cfRule>
  </conditionalFormatting>
  <conditionalFormatting sqref="D7">
    <cfRule type="containsText" dxfId="1294" priority="15" operator="containsText" text="완료">
      <formula>NOT(ISERROR(SEARCH("완료",D7)))</formula>
    </cfRule>
    <cfRule type="containsText" dxfId="1293" priority="16" operator="containsText" text="중단">
      <formula>NOT(ISERROR(SEARCH("중단",D7)))</formula>
    </cfRule>
  </conditionalFormatting>
  <conditionalFormatting sqref="D7">
    <cfRule type="containsText" dxfId="1292" priority="13" operator="containsText" text="완료">
      <formula>NOT(ISERROR(SEARCH("완료",D7)))</formula>
    </cfRule>
    <cfRule type="containsText" dxfId="1291" priority="14" operator="containsText" text="중단">
      <formula>NOT(ISERROR(SEARCH("중단",D7)))</formula>
    </cfRule>
  </conditionalFormatting>
  <conditionalFormatting sqref="D7">
    <cfRule type="containsText" dxfId="1290" priority="12" operator="containsText" text="진행중">
      <formula>NOT(ISERROR(SEARCH("진행중",D7)))</formula>
    </cfRule>
  </conditionalFormatting>
  <conditionalFormatting sqref="G16:G22">
    <cfRule type="containsText" dxfId="20" priority="10" operator="containsText" text="완료">
      <formula>NOT(ISERROR(SEARCH("완료",G16)))</formula>
    </cfRule>
    <cfRule type="containsText" dxfId="19" priority="11" operator="containsText" text="중단">
      <formula>NOT(ISERROR(SEARCH("중단",G16)))</formula>
    </cfRule>
  </conditionalFormatting>
  <conditionalFormatting sqref="G16:G22">
    <cfRule type="containsText" dxfId="18" priority="8" operator="containsText" text="완료">
      <formula>NOT(ISERROR(SEARCH("완료",G16)))</formula>
    </cfRule>
    <cfRule type="containsText" dxfId="17" priority="9" operator="containsText" text="중단">
      <formula>NOT(ISERROR(SEARCH("중단",G16)))</formula>
    </cfRule>
  </conditionalFormatting>
  <conditionalFormatting sqref="G16:G22">
    <cfRule type="containsText" dxfId="16" priority="7" operator="containsText" text="진행중">
      <formula>NOT(ISERROR(SEARCH("진행중",G16)))</formula>
    </cfRule>
  </conditionalFormatting>
  <conditionalFormatting sqref="H16:H22">
    <cfRule type="containsText" dxfId="10" priority="5" operator="containsText" text="완료">
      <formula>NOT(ISERROR(SEARCH("완료",H16)))</formula>
    </cfRule>
    <cfRule type="containsText" dxfId="9" priority="6" operator="containsText" text="중단">
      <formula>NOT(ISERROR(SEARCH("중단",H16)))</formula>
    </cfRule>
  </conditionalFormatting>
  <conditionalFormatting sqref="H16:H22">
    <cfRule type="containsText" dxfId="8" priority="3" operator="containsText" text="완료">
      <formula>NOT(ISERROR(SEARCH("완료",H16)))</formula>
    </cfRule>
    <cfRule type="containsText" dxfId="7" priority="4" operator="containsText" text="중단">
      <formula>NOT(ISERROR(SEARCH("중단",H16)))</formula>
    </cfRule>
  </conditionalFormatting>
  <conditionalFormatting sqref="H16:H22">
    <cfRule type="containsText" dxfId="6" priority="2" operator="containsText" text="진행중">
      <formula>NOT(ISERROR(SEARCH("진행중",H16)))</formula>
    </cfRule>
  </conditionalFormatting>
  <conditionalFormatting sqref="A1:AG23">
    <cfRule type="containsText" dxfId="5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249977111117893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6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22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2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21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5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21</v>
      </c>
      <c r="F8" s="85" t="s">
        <v>40</v>
      </c>
      <c r="G8" s="86" t="s">
        <v>16</v>
      </c>
      <c r="H8" s="86" t="s">
        <v>16</v>
      </c>
      <c r="I8" s="85" t="s">
        <v>40</v>
      </c>
      <c r="J8" s="1"/>
      <c r="K8" s="86" t="str">
        <f t="shared" ref="K8:N8" si="4">IF(NOT(LEN($I8)=0),K7,"")</f>
        <v>VITA</v>
      </c>
      <c r="L8" s="86" t="str">
        <f t="shared" si="4"/>
        <v>MARK II</v>
      </c>
      <c r="M8" s="86">
        <f t="shared" si="4"/>
        <v>160</v>
      </c>
      <c r="N8" s="86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21</v>
      </c>
      <c r="F9" s="85" t="s">
        <v>40</v>
      </c>
      <c r="G9" s="86" t="s">
        <v>16</v>
      </c>
      <c r="H9" s="86" t="s">
        <v>16</v>
      </c>
      <c r="I9" s="85" t="s">
        <v>40</v>
      </c>
      <c r="J9" s="1"/>
      <c r="K9" s="86" t="str">
        <f t="shared" ref="K9:K22" si="5">IF(NOT(LEN($I9)=0),K8,"")</f>
        <v>VITA</v>
      </c>
      <c r="L9" s="86" t="str">
        <f t="shared" ref="L9:L22" si="6">IF(NOT(LEN($I9)=0),L8,"")</f>
        <v>MARK II</v>
      </c>
      <c r="M9" s="86">
        <f t="shared" ref="M9:M22" si="7">IF(NOT(LEN($I9)=0),M8,"")</f>
        <v>160</v>
      </c>
      <c r="N9" s="86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6" t="s">
        <v>16</v>
      </c>
      <c r="H10" s="86" t="s">
        <v>16</v>
      </c>
      <c r="I10" s="85" t="s">
        <v>40</v>
      </c>
      <c r="J10" s="1"/>
      <c r="K10" s="86" t="str">
        <f t="shared" si="5"/>
        <v>VITA</v>
      </c>
      <c r="L10" s="86" t="str">
        <f t="shared" si="6"/>
        <v>MARK II</v>
      </c>
      <c r="M10" s="86">
        <f t="shared" si="7"/>
        <v>160</v>
      </c>
      <c r="N10" s="86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23</v>
      </c>
      <c r="F11" s="86">
        <v>0</v>
      </c>
      <c r="G11" s="86" t="s">
        <v>16</v>
      </c>
      <c r="H11" s="86" t="s">
        <v>16</v>
      </c>
      <c r="I11" s="86">
        <v>0</v>
      </c>
      <c r="J11" s="1"/>
      <c r="K11" s="86" t="str">
        <f t="shared" si="5"/>
        <v>VITA</v>
      </c>
      <c r="L11" s="86" t="str">
        <f t="shared" si="6"/>
        <v>MARK II</v>
      </c>
      <c r="M11" s="86">
        <f t="shared" si="7"/>
        <v>160</v>
      </c>
      <c r="N11" s="86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68</v>
      </c>
      <c r="V11" s="7" t="s">
        <v>69</v>
      </c>
      <c r="W11" s="7" t="s">
        <v>70</v>
      </c>
      <c r="X11" s="7" t="s">
        <v>71</v>
      </c>
      <c r="Y11" s="7" t="s">
        <v>72</v>
      </c>
      <c r="Z11" s="7" t="s">
        <v>73</v>
      </c>
      <c r="AA11" s="7" t="s">
        <v>74</v>
      </c>
      <c r="AB11" s="7" t="s">
        <v>75</v>
      </c>
      <c r="AC11" s="7" t="s">
        <v>67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21</v>
      </c>
      <c r="F12" s="86">
        <f>IF(NOT(LEN($A12)=0),IF(F11+1&gt;15,"버교체요망",F11+1),"")</f>
        <v>1</v>
      </c>
      <c r="G12" s="86" t="s">
        <v>16</v>
      </c>
      <c r="H12" s="86" t="s">
        <v>16</v>
      </c>
      <c r="I12" s="86">
        <f>IF(NOT(LEN($A12)=0),IF(I11+1&gt;15,"버교체요망",I11+1),"")</f>
        <v>1</v>
      </c>
      <c r="J12" s="1"/>
      <c r="K12" s="86" t="str">
        <f t="shared" si="5"/>
        <v>VITA</v>
      </c>
      <c r="L12" s="86" t="str">
        <f t="shared" si="6"/>
        <v>MARK II</v>
      </c>
      <c r="M12" s="86">
        <f t="shared" si="7"/>
        <v>160</v>
      </c>
      <c r="N12" s="86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5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7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21</v>
      </c>
      <c r="F13" s="86">
        <f t="shared" ref="F13:F16" si="12">IF(NOT(LEN($A13)=0),IF(F12+1&gt;15,"버교체요망",F12+1),"")</f>
        <v>2</v>
      </c>
      <c r="G13" s="86" t="s">
        <v>16</v>
      </c>
      <c r="H13" s="86" t="s">
        <v>16</v>
      </c>
      <c r="I13" s="86">
        <f t="shared" ref="I13:I16" si="13">IF(NOT(LEN($A13)=0),IF(I12+1&gt;15,"버교체요망",I12+1),"")</f>
        <v>2</v>
      </c>
      <c r="J13" s="1"/>
      <c r="K13" s="86" t="str">
        <f t="shared" si="5"/>
        <v>VITA</v>
      </c>
      <c r="L13" s="86" t="str">
        <f t="shared" si="6"/>
        <v>MARK II</v>
      </c>
      <c r="M13" s="86">
        <f t="shared" si="7"/>
        <v>160</v>
      </c>
      <c r="N13" s="86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7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23</v>
      </c>
      <c r="F14" s="86">
        <f t="shared" si="12"/>
        <v>3</v>
      </c>
      <c r="G14" s="86" t="s">
        <v>16</v>
      </c>
      <c r="H14" s="86" t="s">
        <v>16</v>
      </c>
      <c r="I14" s="86">
        <f t="shared" si="13"/>
        <v>3</v>
      </c>
      <c r="J14" s="1"/>
      <c r="K14" s="86" t="str">
        <f t="shared" si="5"/>
        <v>VITA</v>
      </c>
      <c r="L14" s="86" t="str">
        <f t="shared" si="6"/>
        <v>MARK II</v>
      </c>
      <c r="M14" s="86">
        <f t="shared" si="7"/>
        <v>160</v>
      </c>
      <c r="N14" s="86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7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4">IF(B15="","",
  IF(MOD($B15,1)=0,
    "Dimensions: L W H",
    "-"
  )
)</f>
        <v>Dimensions: L W H</v>
      </c>
      <c r="D15" s="6" t="str">
        <f>IF(NOT(LEN(B15)=0),IF(LEN(D16)=0,"진행중","완료"),"")</f>
        <v>완료</v>
      </c>
      <c r="E15" s="24">
        <v>23</v>
      </c>
      <c r="F15" s="86">
        <f t="shared" si="12"/>
        <v>4</v>
      </c>
      <c r="G15" s="86" t="s">
        <v>16</v>
      </c>
      <c r="H15" s="86" t="s">
        <v>16</v>
      </c>
      <c r="I15" s="86">
        <f t="shared" si="13"/>
        <v>4</v>
      </c>
      <c r="J15" s="1"/>
      <c r="K15" s="86" t="str">
        <f t="shared" si="5"/>
        <v>VITA</v>
      </c>
      <c r="L15" s="86" t="str">
        <f t="shared" si="6"/>
        <v>MARK II</v>
      </c>
      <c r="M15" s="86">
        <f t="shared" si="7"/>
        <v>160</v>
      </c>
      <c r="N15" s="86" t="str">
        <f t="shared" si="8"/>
        <v>-</v>
      </c>
      <c r="O15" s="24">
        <f>IF(LEN(A15)&gt;0, 종합!$C$27, "")</f>
        <v>2.2599999999999998</v>
      </c>
      <c r="P15" s="1"/>
      <c r="Q15" s="7" t="str">
        <f t="shared" si="10"/>
        <v>-</v>
      </c>
      <c r="R15" s="7" t="str">
        <f t="shared" si="10"/>
        <v>-</v>
      </c>
      <c r="S15" s="7" t="str">
        <f t="shared" si="10"/>
        <v>-</v>
      </c>
      <c r="T15" s="7" t="str">
        <f t="shared" si="10"/>
        <v>-</v>
      </c>
      <c r="U15" s="7" t="str">
        <f t="shared" si="11"/>
        <v>-</v>
      </c>
      <c r="V15" s="7" t="str">
        <f t="shared" si="11"/>
        <v>-</v>
      </c>
      <c r="W15" s="7" t="str">
        <f t="shared" si="11"/>
        <v>-</v>
      </c>
      <c r="X15" s="7" t="str">
        <f t="shared" si="11"/>
        <v>-</v>
      </c>
      <c r="Y15" s="7" t="str">
        <f t="shared" si="11"/>
        <v>-</v>
      </c>
      <c r="Z15" s="7" t="str">
        <f t="shared" si="11"/>
        <v>-</v>
      </c>
      <c r="AA15" s="7" t="str">
        <f t="shared" si="11"/>
        <v>-</v>
      </c>
      <c r="AB15" s="7" t="str">
        <f t="shared" si="11"/>
        <v>-</v>
      </c>
      <c r="AC15" s="7" t="str">
        <f>IF(MOD($B15,5)=0, "스핀들소음 :","-" )</f>
        <v>-</v>
      </c>
      <c r="AD15" s="7" t="str">
        <f t="shared" si="3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IF(NOT(LEN(B16)=0),IF(LEN(D17)=0,"진행중","완료"),"")</f>
        <v>진행중</v>
      </c>
      <c r="E16" s="24">
        <v>21</v>
      </c>
      <c r="F16" s="86">
        <f t="shared" si="12"/>
        <v>5</v>
      </c>
      <c r="G16" s="86" t="str">
        <f t="shared" ref="G16:H16" si="15">IF(NOT(LEN($I16)=0),G15,"")</f>
        <v>-</v>
      </c>
      <c r="H16" s="86" t="str">
        <f t="shared" si="15"/>
        <v>-</v>
      </c>
      <c r="I16" s="86">
        <f t="shared" si="13"/>
        <v>5</v>
      </c>
      <c r="J16" s="1"/>
      <c r="K16" s="86" t="str">
        <f t="shared" si="5"/>
        <v>VITA</v>
      </c>
      <c r="L16" s="86" t="str">
        <f t="shared" si="6"/>
        <v>MARK II</v>
      </c>
      <c r="M16" s="86">
        <f t="shared" si="7"/>
        <v>160</v>
      </c>
      <c r="N16" s="86" t="str">
        <f t="shared" si="8"/>
        <v>-</v>
      </c>
      <c r="O16" s="24">
        <f>IF(LEN(A16)&gt;0, 종합!$C$27, "")</f>
        <v>2.2599999999999998</v>
      </c>
      <c r="P16" s="1"/>
      <c r="Q16" s="85" t="str">
        <f t="shared" ref="Q16:AE22" si="16">IF(NOT(LEN($A16)=0),"누락","")</f>
        <v>누락</v>
      </c>
      <c r="R16" s="85" t="str">
        <f t="shared" si="16"/>
        <v>누락</v>
      </c>
      <c r="S16" s="85" t="str">
        <f t="shared" si="16"/>
        <v>누락</v>
      </c>
      <c r="T16" s="85" t="str">
        <f t="shared" si="16"/>
        <v>누락</v>
      </c>
      <c r="U16" s="85" t="str">
        <f t="shared" si="16"/>
        <v>누락</v>
      </c>
      <c r="V16" s="85" t="str">
        <f t="shared" si="16"/>
        <v>누락</v>
      </c>
      <c r="W16" s="85" t="str">
        <f t="shared" si="16"/>
        <v>누락</v>
      </c>
      <c r="X16" s="85" t="str">
        <f t="shared" si="16"/>
        <v>누락</v>
      </c>
      <c r="Y16" s="85" t="str">
        <f t="shared" si="16"/>
        <v>누락</v>
      </c>
      <c r="Z16" s="85" t="str">
        <f t="shared" si="16"/>
        <v>누락</v>
      </c>
      <c r="AA16" s="85" t="str">
        <f t="shared" si="16"/>
        <v>누락</v>
      </c>
      <c r="AB16" s="85" t="str">
        <f t="shared" si="16"/>
        <v>누락</v>
      </c>
      <c r="AC16" s="85" t="str">
        <f t="shared" si="16"/>
        <v>누락</v>
      </c>
      <c r="AD16" s="85" t="str">
        <f t="shared" si="16"/>
        <v>누락</v>
      </c>
      <c r="AE16" s="85" t="str">
        <f t="shared" si="16"/>
        <v>누락</v>
      </c>
      <c r="AF16" s="1" t="s">
        <v>16</v>
      </c>
      <c r="AG16" s="1" t="s">
        <v>16</v>
      </c>
    </row>
    <row r="17" spans="1:33" x14ac:dyDescent="0.45">
      <c r="A17" s="3"/>
      <c r="B17" s="24" t="str">
        <f t="shared" si="9"/>
        <v/>
      </c>
      <c r="C17" s="7" t="str">
        <f t="shared" ref="C17:C22" si="17">IF(B17="","",
  IF(MOD($B17,1)=0,
    "Dimensions: L W H",
    "-"
  )
)</f>
        <v/>
      </c>
      <c r="D17" s="6" t="str">
        <f>IF(NOT(LEN(B17)=0),IF(LEN(D18)=0,"진행중","완료"),"")</f>
        <v/>
      </c>
      <c r="E17" s="24"/>
      <c r="F17" s="85" t="str">
        <f t="shared" ref="F17:F22" si="18">IF(NOT(LEN($A17)=0),IF(F16+1&gt;15,"버교체요망",F16+1),"")</f>
        <v/>
      </c>
      <c r="G17" s="86" t="str">
        <f t="shared" ref="G17:G22" si="19">IF(NOT(LEN($I17)=0),G16,"")</f>
        <v/>
      </c>
      <c r="H17" s="86" t="str">
        <f t="shared" ref="H17:H22" si="20">IF(NOT(LEN($I17)=0),H16,"")</f>
        <v/>
      </c>
      <c r="I17" s="85" t="str">
        <f t="shared" ref="I17:I22" si="21">IF(NOT(LEN($A17)=0),IF(I16+1&gt;15,"버교체요망",I16+1),"")</f>
        <v/>
      </c>
      <c r="J17" s="1"/>
      <c r="K17" s="86" t="str">
        <f t="shared" si="5"/>
        <v/>
      </c>
      <c r="L17" s="86" t="str">
        <f t="shared" si="6"/>
        <v/>
      </c>
      <c r="M17" s="86" t="str">
        <f t="shared" si="7"/>
        <v/>
      </c>
      <c r="N17" s="86" t="str">
        <f t="shared" si="8"/>
        <v/>
      </c>
      <c r="O17" s="24" t="str">
        <f>IF(LEN(A17)&gt;0, 종합!$C$27, "")</f>
        <v/>
      </c>
      <c r="P17" s="1"/>
      <c r="Q17" s="85" t="str">
        <f t="shared" si="16"/>
        <v/>
      </c>
      <c r="R17" s="85" t="str">
        <f t="shared" si="16"/>
        <v/>
      </c>
      <c r="S17" s="85" t="str">
        <f t="shared" si="16"/>
        <v/>
      </c>
      <c r="T17" s="85" t="str">
        <f t="shared" si="16"/>
        <v/>
      </c>
      <c r="U17" s="85" t="str">
        <f t="shared" si="16"/>
        <v/>
      </c>
      <c r="V17" s="85" t="str">
        <f t="shared" si="16"/>
        <v/>
      </c>
      <c r="W17" s="85" t="str">
        <f t="shared" si="16"/>
        <v/>
      </c>
      <c r="X17" s="85" t="str">
        <f t="shared" si="16"/>
        <v/>
      </c>
      <c r="Y17" s="85" t="str">
        <f t="shared" si="16"/>
        <v/>
      </c>
      <c r="Z17" s="85" t="str">
        <f t="shared" si="16"/>
        <v/>
      </c>
      <c r="AA17" s="85" t="str">
        <f t="shared" si="16"/>
        <v/>
      </c>
      <c r="AB17" s="85" t="str">
        <f t="shared" si="16"/>
        <v/>
      </c>
      <c r="AC17" s="85" t="str">
        <f t="shared" si="16"/>
        <v/>
      </c>
      <c r="AD17" s="85" t="str">
        <f t="shared" si="16"/>
        <v/>
      </c>
      <c r="AE17" s="85" t="str">
        <f t="shared" si="16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7"/>
        <v/>
      </c>
      <c r="D18" s="6" t="str">
        <f>IF(NOT(LEN(B18)=0),IF(LEN(D19)=0,"진행중","완료"),"")</f>
        <v/>
      </c>
      <c r="E18" s="24"/>
      <c r="F18" s="85" t="str">
        <f t="shared" si="18"/>
        <v/>
      </c>
      <c r="G18" s="86" t="str">
        <f t="shared" si="19"/>
        <v/>
      </c>
      <c r="H18" s="86" t="str">
        <f t="shared" si="20"/>
        <v/>
      </c>
      <c r="I18" s="85" t="str">
        <f t="shared" si="21"/>
        <v/>
      </c>
      <c r="J18" s="1"/>
      <c r="K18" s="86" t="str">
        <f t="shared" si="5"/>
        <v/>
      </c>
      <c r="L18" s="86" t="str">
        <f t="shared" si="6"/>
        <v/>
      </c>
      <c r="M18" s="86" t="str">
        <f t="shared" si="7"/>
        <v/>
      </c>
      <c r="N18" s="86" t="str">
        <f t="shared" si="8"/>
        <v/>
      </c>
      <c r="O18" s="24" t="str">
        <f>IF(LEN(A18)&gt;0, 종합!$C$27, "")</f>
        <v/>
      </c>
      <c r="P18" s="1"/>
      <c r="Q18" s="85" t="str">
        <f t="shared" si="16"/>
        <v/>
      </c>
      <c r="R18" s="85" t="str">
        <f t="shared" si="16"/>
        <v/>
      </c>
      <c r="S18" s="85" t="str">
        <f t="shared" si="16"/>
        <v/>
      </c>
      <c r="T18" s="85" t="str">
        <f t="shared" si="16"/>
        <v/>
      </c>
      <c r="U18" s="85" t="str">
        <f t="shared" si="16"/>
        <v/>
      </c>
      <c r="V18" s="85" t="str">
        <f t="shared" si="16"/>
        <v/>
      </c>
      <c r="W18" s="85" t="str">
        <f t="shared" si="16"/>
        <v/>
      </c>
      <c r="X18" s="85" t="str">
        <f t="shared" si="16"/>
        <v/>
      </c>
      <c r="Y18" s="85" t="str">
        <f t="shared" si="16"/>
        <v/>
      </c>
      <c r="Z18" s="85" t="str">
        <f t="shared" si="16"/>
        <v/>
      </c>
      <c r="AA18" s="85" t="str">
        <f t="shared" si="16"/>
        <v/>
      </c>
      <c r="AB18" s="85" t="str">
        <f t="shared" si="16"/>
        <v/>
      </c>
      <c r="AC18" s="85" t="str">
        <f t="shared" si="16"/>
        <v/>
      </c>
      <c r="AD18" s="85" t="str">
        <f t="shared" si="16"/>
        <v/>
      </c>
      <c r="AE18" s="85" t="str">
        <f t="shared" si="16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7"/>
        <v/>
      </c>
      <c r="D19" s="6" t="str">
        <f>IF(NOT(LEN(B19)=0),IF(LEN(D20)=0,"진행중","완료"),"")</f>
        <v/>
      </c>
      <c r="E19" s="24"/>
      <c r="F19" s="85" t="str">
        <f t="shared" si="18"/>
        <v/>
      </c>
      <c r="G19" s="86" t="str">
        <f t="shared" si="19"/>
        <v/>
      </c>
      <c r="H19" s="86" t="str">
        <f t="shared" si="20"/>
        <v/>
      </c>
      <c r="I19" s="85" t="str">
        <f t="shared" si="21"/>
        <v/>
      </c>
      <c r="J19" s="1"/>
      <c r="K19" s="86" t="str">
        <f t="shared" si="5"/>
        <v/>
      </c>
      <c r="L19" s="86" t="str">
        <f t="shared" si="6"/>
        <v/>
      </c>
      <c r="M19" s="86" t="str">
        <f t="shared" si="7"/>
        <v/>
      </c>
      <c r="N19" s="86" t="str">
        <f t="shared" si="8"/>
        <v/>
      </c>
      <c r="O19" s="24" t="str">
        <f>IF(LEN(A19)&gt;0, 종합!$C$27, "")</f>
        <v/>
      </c>
      <c r="P19" s="1"/>
      <c r="Q19" s="85" t="str">
        <f t="shared" si="16"/>
        <v/>
      </c>
      <c r="R19" s="85" t="str">
        <f t="shared" si="16"/>
        <v/>
      </c>
      <c r="S19" s="85" t="str">
        <f t="shared" si="16"/>
        <v/>
      </c>
      <c r="T19" s="85" t="str">
        <f t="shared" si="16"/>
        <v/>
      </c>
      <c r="U19" s="85" t="str">
        <f t="shared" si="16"/>
        <v/>
      </c>
      <c r="V19" s="85" t="str">
        <f t="shared" si="16"/>
        <v/>
      </c>
      <c r="W19" s="85" t="str">
        <f t="shared" si="16"/>
        <v/>
      </c>
      <c r="X19" s="85" t="str">
        <f t="shared" si="16"/>
        <v/>
      </c>
      <c r="Y19" s="85" t="str">
        <f t="shared" si="16"/>
        <v/>
      </c>
      <c r="Z19" s="85" t="str">
        <f t="shared" si="16"/>
        <v/>
      </c>
      <c r="AA19" s="85" t="str">
        <f t="shared" si="16"/>
        <v/>
      </c>
      <c r="AB19" s="85" t="str">
        <f t="shared" si="16"/>
        <v/>
      </c>
      <c r="AC19" s="85" t="str">
        <f t="shared" si="16"/>
        <v/>
      </c>
      <c r="AD19" s="85" t="str">
        <f t="shared" si="16"/>
        <v/>
      </c>
      <c r="AE19" s="85" t="str">
        <f t="shared" si="16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7"/>
        <v/>
      </c>
      <c r="D20" s="6" t="str">
        <f>IF(NOT(LEN(B20)=0),IF(LEN(D21)=0,"진행중","완료"),"")</f>
        <v/>
      </c>
      <c r="E20" s="24"/>
      <c r="F20" s="85" t="str">
        <f t="shared" si="18"/>
        <v/>
      </c>
      <c r="G20" s="86" t="str">
        <f t="shared" si="19"/>
        <v/>
      </c>
      <c r="H20" s="86" t="str">
        <f t="shared" si="20"/>
        <v/>
      </c>
      <c r="I20" s="85" t="str">
        <f t="shared" si="21"/>
        <v/>
      </c>
      <c r="J20" s="1"/>
      <c r="K20" s="86" t="str">
        <f t="shared" si="5"/>
        <v/>
      </c>
      <c r="L20" s="86" t="str">
        <f t="shared" si="6"/>
        <v/>
      </c>
      <c r="M20" s="86" t="str">
        <f t="shared" si="7"/>
        <v/>
      </c>
      <c r="N20" s="86" t="str">
        <f t="shared" si="8"/>
        <v/>
      </c>
      <c r="O20" s="24" t="str">
        <f>IF(LEN(A20)&gt;0, 종합!$C$27, "")</f>
        <v/>
      </c>
      <c r="P20" s="1"/>
      <c r="Q20" s="85" t="str">
        <f t="shared" si="16"/>
        <v/>
      </c>
      <c r="R20" s="85" t="str">
        <f t="shared" si="16"/>
        <v/>
      </c>
      <c r="S20" s="85" t="str">
        <f t="shared" si="16"/>
        <v/>
      </c>
      <c r="T20" s="85" t="str">
        <f t="shared" si="16"/>
        <v/>
      </c>
      <c r="U20" s="85" t="str">
        <f t="shared" si="16"/>
        <v/>
      </c>
      <c r="V20" s="85" t="str">
        <f t="shared" si="16"/>
        <v/>
      </c>
      <c r="W20" s="85" t="str">
        <f t="shared" si="16"/>
        <v/>
      </c>
      <c r="X20" s="85" t="str">
        <f t="shared" si="16"/>
        <v/>
      </c>
      <c r="Y20" s="85" t="str">
        <f t="shared" si="16"/>
        <v/>
      </c>
      <c r="Z20" s="85" t="str">
        <f t="shared" si="16"/>
        <v/>
      </c>
      <c r="AA20" s="85" t="str">
        <f t="shared" si="16"/>
        <v/>
      </c>
      <c r="AB20" s="85" t="str">
        <f t="shared" si="16"/>
        <v/>
      </c>
      <c r="AC20" s="85" t="str">
        <f t="shared" si="16"/>
        <v/>
      </c>
      <c r="AD20" s="85" t="str">
        <f t="shared" si="16"/>
        <v/>
      </c>
      <c r="AE20" s="85" t="str">
        <f t="shared" si="16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7"/>
        <v/>
      </c>
      <c r="D21" s="6" t="str">
        <f>IF(NOT(LEN(B21)=0),IF(LEN(D22)=0,"진행중","완료"),"")</f>
        <v/>
      </c>
      <c r="E21" s="24"/>
      <c r="F21" s="85" t="str">
        <f t="shared" si="18"/>
        <v/>
      </c>
      <c r="G21" s="86" t="str">
        <f t="shared" si="19"/>
        <v/>
      </c>
      <c r="H21" s="86" t="str">
        <f t="shared" si="20"/>
        <v/>
      </c>
      <c r="I21" s="85" t="str">
        <f t="shared" si="21"/>
        <v/>
      </c>
      <c r="J21" s="1"/>
      <c r="K21" s="86" t="str">
        <f t="shared" si="5"/>
        <v/>
      </c>
      <c r="L21" s="86" t="str">
        <f t="shared" si="6"/>
        <v/>
      </c>
      <c r="M21" s="86" t="str">
        <f t="shared" si="7"/>
        <v/>
      </c>
      <c r="N21" s="86" t="str">
        <f t="shared" si="8"/>
        <v/>
      </c>
      <c r="O21" s="24" t="str">
        <f>IF(LEN(A21)&gt;0, 종합!$C$27, "")</f>
        <v/>
      </c>
      <c r="P21" s="1"/>
      <c r="Q21" s="85" t="str">
        <f t="shared" si="16"/>
        <v/>
      </c>
      <c r="R21" s="85" t="str">
        <f t="shared" si="16"/>
        <v/>
      </c>
      <c r="S21" s="85" t="str">
        <f t="shared" si="16"/>
        <v/>
      </c>
      <c r="T21" s="85" t="str">
        <f t="shared" si="16"/>
        <v/>
      </c>
      <c r="U21" s="85" t="str">
        <f t="shared" si="16"/>
        <v/>
      </c>
      <c r="V21" s="85" t="str">
        <f t="shared" si="16"/>
        <v/>
      </c>
      <c r="W21" s="85" t="str">
        <f t="shared" si="16"/>
        <v/>
      </c>
      <c r="X21" s="85" t="str">
        <f t="shared" si="16"/>
        <v/>
      </c>
      <c r="Y21" s="85" t="str">
        <f t="shared" si="16"/>
        <v/>
      </c>
      <c r="Z21" s="85" t="str">
        <f t="shared" si="16"/>
        <v/>
      </c>
      <c r="AA21" s="85" t="str">
        <f t="shared" si="16"/>
        <v/>
      </c>
      <c r="AB21" s="85" t="str">
        <f t="shared" si="16"/>
        <v/>
      </c>
      <c r="AC21" s="85" t="str">
        <f t="shared" si="16"/>
        <v/>
      </c>
      <c r="AD21" s="85" t="str">
        <f t="shared" si="16"/>
        <v/>
      </c>
      <c r="AE21" s="85" t="str">
        <f t="shared" si="16"/>
        <v/>
      </c>
      <c r="AF21" s="1" t="s">
        <v>16</v>
      </c>
      <c r="AG21" s="1" t="s">
        <v>16</v>
      </c>
    </row>
    <row r="22" spans="1:33" x14ac:dyDescent="0.45">
      <c r="A22" s="3"/>
      <c r="B22" s="24" t="str">
        <f t="shared" si="9"/>
        <v/>
      </c>
      <c r="C22" s="7" t="str">
        <f t="shared" si="17"/>
        <v/>
      </c>
      <c r="D22" s="6" t="str">
        <f>IF(NOT(LEN(B22)=0),IF(LEN(D23)=0,"진행중","완료"),"")</f>
        <v/>
      </c>
      <c r="E22" s="1"/>
      <c r="F22" s="85" t="str">
        <f t="shared" si="18"/>
        <v/>
      </c>
      <c r="G22" s="86" t="str">
        <f t="shared" si="19"/>
        <v/>
      </c>
      <c r="H22" s="86" t="str">
        <f t="shared" si="20"/>
        <v/>
      </c>
      <c r="I22" s="85" t="str">
        <f t="shared" si="21"/>
        <v/>
      </c>
      <c r="J22" s="1"/>
      <c r="K22" s="86" t="str">
        <f t="shared" si="5"/>
        <v/>
      </c>
      <c r="L22" s="86" t="str">
        <f t="shared" si="6"/>
        <v/>
      </c>
      <c r="M22" s="86" t="str">
        <f t="shared" si="7"/>
        <v/>
      </c>
      <c r="N22" s="86" t="str">
        <f t="shared" si="8"/>
        <v/>
      </c>
      <c r="O22" s="24" t="str">
        <f>IF(LEN(A22)&gt;0, 종합!$C$27, "")</f>
        <v/>
      </c>
      <c r="P22" s="1"/>
      <c r="Q22" s="85" t="str">
        <f t="shared" si="16"/>
        <v/>
      </c>
      <c r="R22" s="85" t="str">
        <f t="shared" si="16"/>
        <v/>
      </c>
      <c r="S22" s="85" t="str">
        <f t="shared" si="16"/>
        <v/>
      </c>
      <c r="T22" s="85" t="str">
        <f t="shared" si="16"/>
        <v/>
      </c>
      <c r="U22" s="85" t="str">
        <f t="shared" si="16"/>
        <v/>
      </c>
      <c r="V22" s="85" t="str">
        <f t="shared" si="16"/>
        <v/>
      </c>
      <c r="W22" s="85" t="str">
        <f t="shared" si="16"/>
        <v/>
      </c>
      <c r="X22" s="85" t="str">
        <f t="shared" si="16"/>
        <v/>
      </c>
      <c r="Y22" s="85" t="str">
        <f t="shared" si="16"/>
        <v/>
      </c>
      <c r="Z22" s="85" t="str">
        <f t="shared" si="16"/>
        <v/>
      </c>
      <c r="AA22" s="85" t="str">
        <f t="shared" si="16"/>
        <v/>
      </c>
      <c r="AB22" s="85" t="str">
        <f t="shared" si="16"/>
        <v/>
      </c>
      <c r="AC22" s="85" t="str">
        <f t="shared" si="16"/>
        <v/>
      </c>
      <c r="AD22" s="85" t="str">
        <f t="shared" si="16"/>
        <v/>
      </c>
      <c r="AE22" s="85" t="str">
        <f t="shared" si="16"/>
        <v/>
      </c>
      <c r="AF22" s="1" t="s">
        <v>16</v>
      </c>
      <c r="AG22" s="1" t="s">
        <v>16</v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3">
    <cfRule type="containsText" dxfId="1265" priority="168" operator="containsText" text="진행중">
      <formula>NOT(ISERROR(SEARCH("진행중",D23)))</formula>
    </cfRule>
  </conditionalFormatting>
  <conditionalFormatting sqref="K8:K22">
    <cfRule type="containsText" dxfId="1214" priority="116" operator="containsText" text="완료">
      <formula>NOT(ISERROR(SEARCH("완료",K8)))</formula>
    </cfRule>
    <cfRule type="containsText" dxfId="1213" priority="117" operator="containsText" text="중단">
      <formula>NOT(ISERROR(SEARCH("중단",K8)))</formula>
    </cfRule>
  </conditionalFormatting>
  <conditionalFormatting sqref="K8:K22">
    <cfRule type="containsText" dxfId="1212" priority="114" operator="containsText" text="완료">
      <formula>NOT(ISERROR(SEARCH("완료",K8)))</formula>
    </cfRule>
    <cfRule type="containsText" dxfId="1211" priority="115" operator="containsText" text="중단">
      <formula>NOT(ISERROR(SEARCH("중단",K8)))</formula>
    </cfRule>
  </conditionalFormatting>
  <conditionalFormatting sqref="K8:K22">
    <cfRule type="containsText" dxfId="1210" priority="113" operator="containsText" text="진행중">
      <formula>NOT(ISERROR(SEARCH("진행중",K8)))</formula>
    </cfRule>
  </conditionalFormatting>
  <conditionalFormatting sqref="L8:L22">
    <cfRule type="containsText" dxfId="1209" priority="111" operator="containsText" text="완료">
      <formula>NOT(ISERROR(SEARCH("완료",L8)))</formula>
    </cfRule>
    <cfRule type="containsText" dxfId="1208" priority="112" operator="containsText" text="중단">
      <formula>NOT(ISERROR(SEARCH("중단",L8)))</formula>
    </cfRule>
  </conditionalFormatting>
  <conditionalFormatting sqref="L8:L22">
    <cfRule type="containsText" dxfId="1207" priority="109" operator="containsText" text="완료">
      <formula>NOT(ISERROR(SEARCH("완료",L8)))</formula>
    </cfRule>
    <cfRule type="containsText" dxfId="1206" priority="110" operator="containsText" text="중단">
      <formula>NOT(ISERROR(SEARCH("중단",L8)))</formula>
    </cfRule>
  </conditionalFormatting>
  <conditionalFormatting sqref="L8:L22">
    <cfRule type="containsText" dxfId="1205" priority="108" operator="containsText" text="진행중">
      <formula>NOT(ISERROR(SEARCH("진행중",L8)))</formula>
    </cfRule>
  </conditionalFormatting>
  <conditionalFormatting sqref="M8:N22">
    <cfRule type="containsText" dxfId="1204" priority="106" operator="containsText" text="완료">
      <formula>NOT(ISERROR(SEARCH("완료",M8)))</formula>
    </cfRule>
    <cfRule type="containsText" dxfId="1203" priority="107" operator="containsText" text="중단">
      <formula>NOT(ISERROR(SEARCH("중단",M8)))</formula>
    </cfRule>
  </conditionalFormatting>
  <conditionalFormatting sqref="M8:N22">
    <cfRule type="containsText" dxfId="1202" priority="104" operator="containsText" text="완료">
      <formula>NOT(ISERROR(SEARCH("완료",M8)))</formula>
    </cfRule>
    <cfRule type="containsText" dxfId="1201" priority="105" operator="containsText" text="중단">
      <formula>NOT(ISERROR(SEARCH("중단",M8)))</formula>
    </cfRule>
  </conditionalFormatting>
  <conditionalFormatting sqref="M8:N22">
    <cfRule type="containsText" dxfId="1200" priority="103" operator="containsText" text="진행중">
      <formula>NOT(ISERROR(SEARCH("진행중",M8)))</formula>
    </cfRule>
  </conditionalFormatting>
  <conditionalFormatting sqref="Q16:Q22">
    <cfRule type="containsText" dxfId="1194" priority="96" operator="containsText" text="완료">
      <formula>NOT(ISERROR(SEARCH("완료",Q16)))</formula>
    </cfRule>
    <cfRule type="containsText" dxfId="1193" priority="97" operator="containsText" text="중단">
      <formula>NOT(ISERROR(SEARCH("중단",Q16)))</formula>
    </cfRule>
  </conditionalFormatting>
  <conditionalFormatting sqref="Q16:Q22">
    <cfRule type="containsText" dxfId="1192" priority="94" operator="containsText" text="완료">
      <formula>NOT(ISERROR(SEARCH("완료",Q16)))</formula>
    </cfRule>
    <cfRule type="containsText" dxfId="1191" priority="95" operator="containsText" text="중단">
      <formula>NOT(ISERROR(SEARCH("중단",Q16)))</formula>
    </cfRule>
  </conditionalFormatting>
  <conditionalFormatting sqref="Q16:Q22">
    <cfRule type="containsText" dxfId="1190" priority="93" operator="containsText" text="진행중">
      <formula>NOT(ISERROR(SEARCH("진행중",Q16)))</formula>
    </cfRule>
  </conditionalFormatting>
  <conditionalFormatting sqref="R16:R22">
    <cfRule type="containsText" dxfId="1189" priority="91" operator="containsText" text="완료">
      <formula>NOT(ISERROR(SEARCH("완료",R16)))</formula>
    </cfRule>
    <cfRule type="containsText" dxfId="1188" priority="92" operator="containsText" text="중단">
      <formula>NOT(ISERROR(SEARCH("중단",R16)))</formula>
    </cfRule>
  </conditionalFormatting>
  <conditionalFormatting sqref="R16:R22">
    <cfRule type="containsText" dxfId="1187" priority="89" operator="containsText" text="완료">
      <formula>NOT(ISERROR(SEARCH("완료",R16)))</formula>
    </cfRule>
    <cfRule type="containsText" dxfId="1186" priority="90" operator="containsText" text="중단">
      <formula>NOT(ISERROR(SEARCH("중단",R16)))</formula>
    </cfRule>
  </conditionalFormatting>
  <conditionalFormatting sqref="R16:R22">
    <cfRule type="containsText" dxfId="1185" priority="88" operator="containsText" text="진행중">
      <formula>NOT(ISERROR(SEARCH("진행중",R16)))</formula>
    </cfRule>
  </conditionalFormatting>
  <conditionalFormatting sqref="S16:S22">
    <cfRule type="containsText" dxfId="1184" priority="86" operator="containsText" text="완료">
      <formula>NOT(ISERROR(SEARCH("완료",S16)))</formula>
    </cfRule>
    <cfRule type="containsText" dxfId="1183" priority="87" operator="containsText" text="중단">
      <formula>NOT(ISERROR(SEARCH("중단",S16)))</formula>
    </cfRule>
  </conditionalFormatting>
  <conditionalFormatting sqref="S16:S22">
    <cfRule type="containsText" dxfId="1182" priority="84" operator="containsText" text="완료">
      <formula>NOT(ISERROR(SEARCH("완료",S16)))</formula>
    </cfRule>
    <cfRule type="containsText" dxfId="1181" priority="85" operator="containsText" text="중단">
      <formula>NOT(ISERROR(SEARCH("중단",S16)))</formula>
    </cfRule>
  </conditionalFormatting>
  <conditionalFormatting sqref="S16:S22">
    <cfRule type="containsText" dxfId="1180" priority="83" operator="containsText" text="진행중">
      <formula>NOT(ISERROR(SEARCH("진행중",S16)))</formula>
    </cfRule>
  </conditionalFormatting>
  <conditionalFormatting sqref="T16:T22">
    <cfRule type="containsText" dxfId="1179" priority="81" operator="containsText" text="완료">
      <formula>NOT(ISERROR(SEARCH("완료",T16)))</formula>
    </cfRule>
    <cfRule type="containsText" dxfId="1178" priority="82" operator="containsText" text="중단">
      <formula>NOT(ISERROR(SEARCH("중단",T16)))</formula>
    </cfRule>
  </conditionalFormatting>
  <conditionalFormatting sqref="T16:T22">
    <cfRule type="containsText" dxfId="1177" priority="79" operator="containsText" text="완료">
      <formula>NOT(ISERROR(SEARCH("완료",T16)))</formula>
    </cfRule>
    <cfRule type="containsText" dxfId="1176" priority="80" operator="containsText" text="중단">
      <formula>NOT(ISERROR(SEARCH("중단",T16)))</formula>
    </cfRule>
  </conditionalFormatting>
  <conditionalFormatting sqref="T16:T22">
    <cfRule type="containsText" dxfId="1175" priority="78" operator="containsText" text="진행중">
      <formula>NOT(ISERROR(SEARCH("진행중",T16)))</formula>
    </cfRule>
  </conditionalFormatting>
  <conditionalFormatting sqref="U16:AC22">
    <cfRule type="containsText" dxfId="1174" priority="76" operator="containsText" text="완료">
      <formula>NOT(ISERROR(SEARCH("완료",U16)))</formula>
    </cfRule>
    <cfRule type="containsText" dxfId="1173" priority="77" operator="containsText" text="중단">
      <formula>NOT(ISERROR(SEARCH("중단",U16)))</formula>
    </cfRule>
  </conditionalFormatting>
  <conditionalFormatting sqref="U16:AC22">
    <cfRule type="containsText" dxfId="1172" priority="74" operator="containsText" text="완료">
      <formula>NOT(ISERROR(SEARCH("완료",U16)))</formula>
    </cfRule>
    <cfRule type="containsText" dxfId="1171" priority="75" operator="containsText" text="중단">
      <formula>NOT(ISERROR(SEARCH("중단",U16)))</formula>
    </cfRule>
  </conditionalFormatting>
  <conditionalFormatting sqref="U16:AC22">
    <cfRule type="containsText" dxfId="1170" priority="73" operator="containsText" text="진행중">
      <formula>NOT(ISERROR(SEARCH("진행중",U16)))</formula>
    </cfRule>
  </conditionalFormatting>
  <conditionalFormatting sqref="AD16:AD22">
    <cfRule type="containsText" dxfId="1169" priority="71" operator="containsText" text="완료">
      <formula>NOT(ISERROR(SEARCH("완료",AD16)))</formula>
    </cfRule>
    <cfRule type="containsText" dxfId="1168" priority="72" operator="containsText" text="중단">
      <formula>NOT(ISERROR(SEARCH("중단",AD16)))</formula>
    </cfRule>
  </conditionalFormatting>
  <conditionalFormatting sqref="AD16:AD22">
    <cfRule type="containsText" dxfId="1167" priority="69" operator="containsText" text="완료">
      <formula>NOT(ISERROR(SEARCH("완료",AD16)))</formula>
    </cfRule>
    <cfRule type="containsText" dxfId="1166" priority="70" operator="containsText" text="중단">
      <formula>NOT(ISERROR(SEARCH("중단",AD16)))</formula>
    </cfRule>
  </conditionalFormatting>
  <conditionalFormatting sqref="AD16:AD22">
    <cfRule type="containsText" dxfId="1165" priority="68" operator="containsText" text="진행중">
      <formula>NOT(ISERROR(SEARCH("진행중",AD16)))</formula>
    </cfRule>
  </conditionalFormatting>
  <conditionalFormatting sqref="AE16:AE22">
    <cfRule type="containsText" dxfId="1164" priority="66" operator="containsText" text="완료">
      <formula>NOT(ISERROR(SEARCH("완료",AE16)))</formula>
    </cfRule>
    <cfRule type="containsText" dxfId="1163" priority="67" operator="containsText" text="중단">
      <formula>NOT(ISERROR(SEARCH("중단",AE16)))</formula>
    </cfRule>
  </conditionalFormatting>
  <conditionalFormatting sqref="AE16:AE22">
    <cfRule type="containsText" dxfId="1162" priority="64" operator="containsText" text="완료">
      <formula>NOT(ISERROR(SEARCH("완료",AE16)))</formula>
    </cfRule>
    <cfRule type="containsText" dxfId="1161" priority="65" operator="containsText" text="중단">
      <formula>NOT(ISERROR(SEARCH("중단",AE16)))</formula>
    </cfRule>
  </conditionalFormatting>
  <conditionalFormatting sqref="AE16:AE22">
    <cfRule type="containsText" dxfId="1160" priority="63" operator="containsText" text="진행중">
      <formula>NOT(ISERROR(SEARCH("진행중",AE16)))</formula>
    </cfRule>
  </conditionalFormatting>
  <conditionalFormatting sqref="H7:H9 F7:F9">
    <cfRule type="containsText" dxfId="1159" priority="61" operator="containsText" text="신품">
      <formula>NOT(ISERROR(SEARCH("신품",F7)))</formula>
    </cfRule>
    <cfRule type="containsText" dxfId="1158" priority="62" operator="containsText" text="중고">
      <formula>NOT(ISERROR(SEARCH("중고",F7)))</formula>
    </cfRule>
  </conditionalFormatting>
  <conditionalFormatting sqref="I7:I9">
    <cfRule type="containsText" dxfId="1157" priority="59" operator="containsText" text="신품">
      <formula>NOT(ISERROR(SEARCH("신품",I7)))</formula>
    </cfRule>
    <cfRule type="containsText" dxfId="1156" priority="60" operator="containsText" text="중고">
      <formula>NOT(ISERROR(SEARCH("중고",I7)))</formula>
    </cfRule>
  </conditionalFormatting>
  <conditionalFormatting sqref="H10 F10">
    <cfRule type="containsText" dxfId="1155" priority="57" operator="containsText" text="신품">
      <formula>NOT(ISERROR(SEARCH("신품",F10)))</formula>
    </cfRule>
    <cfRule type="containsText" dxfId="1154" priority="58" operator="containsText" text="중고">
      <formula>NOT(ISERROR(SEARCH("중고",F10)))</formula>
    </cfRule>
  </conditionalFormatting>
  <conditionalFormatting sqref="I10">
    <cfRule type="containsText" dxfId="1153" priority="55" operator="containsText" text="신품">
      <formula>NOT(ISERROR(SEARCH("신품",I10)))</formula>
    </cfRule>
    <cfRule type="containsText" dxfId="1152" priority="56" operator="containsText" text="중고">
      <formula>NOT(ISERROR(SEARCH("중고",I10)))</formula>
    </cfRule>
  </conditionalFormatting>
  <conditionalFormatting sqref="H11">
    <cfRule type="containsText" dxfId="1151" priority="53" operator="containsText" text="신품">
      <formula>NOT(ISERROR(SEARCH("신품",H11)))</formula>
    </cfRule>
    <cfRule type="containsText" dxfId="1150" priority="54" operator="containsText" text="중고">
      <formula>NOT(ISERROR(SEARCH("중고",H11)))</formula>
    </cfRule>
  </conditionalFormatting>
  <conditionalFormatting sqref="H12:H15">
    <cfRule type="containsText" dxfId="1149" priority="51" operator="containsText" text="신품">
      <formula>NOT(ISERROR(SEARCH("신품",H12)))</formula>
    </cfRule>
    <cfRule type="containsText" dxfId="1148" priority="52" operator="containsText" text="중고">
      <formula>NOT(ISERROR(SEARCH("중고",H12)))</formula>
    </cfRule>
  </conditionalFormatting>
  <conditionalFormatting sqref="F12:F22">
    <cfRule type="containsText" dxfId="1147" priority="49" operator="containsText" text="완료">
      <formula>NOT(ISERROR(SEARCH("완료",F12)))</formula>
    </cfRule>
    <cfRule type="containsText" dxfId="1146" priority="50" operator="containsText" text="중단">
      <formula>NOT(ISERROR(SEARCH("중단",F12)))</formula>
    </cfRule>
  </conditionalFormatting>
  <conditionalFormatting sqref="F12:F22">
    <cfRule type="containsText" dxfId="1145" priority="47" operator="containsText" text="완료">
      <formula>NOT(ISERROR(SEARCH("완료",F12)))</formula>
    </cfRule>
    <cfRule type="containsText" dxfId="1144" priority="48" operator="containsText" text="중단">
      <formula>NOT(ISERROR(SEARCH("중단",F12)))</formula>
    </cfRule>
  </conditionalFormatting>
  <conditionalFormatting sqref="F12:F22">
    <cfRule type="containsText" dxfId="1143" priority="46" operator="containsText" text="진행중">
      <formula>NOT(ISERROR(SEARCH("진행중",F12)))</formula>
    </cfRule>
  </conditionalFormatting>
  <conditionalFormatting sqref="F11">
    <cfRule type="containsText" dxfId="1142" priority="44" operator="containsText" text="완료">
      <formula>NOT(ISERROR(SEARCH("완료",F11)))</formula>
    </cfRule>
    <cfRule type="containsText" dxfId="1141" priority="45" operator="containsText" text="중단">
      <formula>NOT(ISERROR(SEARCH("중단",F11)))</formula>
    </cfRule>
  </conditionalFormatting>
  <conditionalFormatting sqref="F11">
    <cfRule type="containsText" dxfId="1140" priority="42" operator="containsText" text="완료">
      <formula>NOT(ISERROR(SEARCH("완료",F11)))</formula>
    </cfRule>
    <cfRule type="containsText" dxfId="1139" priority="43" operator="containsText" text="중단">
      <formula>NOT(ISERROR(SEARCH("중단",F11)))</formula>
    </cfRule>
  </conditionalFormatting>
  <conditionalFormatting sqref="F11">
    <cfRule type="containsText" dxfId="1138" priority="41" operator="containsText" text="진행중">
      <formula>NOT(ISERROR(SEARCH("진행중",F11)))</formula>
    </cfRule>
  </conditionalFormatting>
  <conditionalFormatting sqref="I12:I22">
    <cfRule type="containsText" dxfId="1137" priority="39" operator="containsText" text="완료">
      <formula>NOT(ISERROR(SEARCH("완료",I12)))</formula>
    </cfRule>
    <cfRule type="containsText" dxfId="1136" priority="40" operator="containsText" text="중단">
      <formula>NOT(ISERROR(SEARCH("중단",I12)))</formula>
    </cfRule>
  </conditionalFormatting>
  <conditionalFormatting sqref="I12:I22">
    <cfRule type="containsText" dxfId="1135" priority="37" operator="containsText" text="완료">
      <formula>NOT(ISERROR(SEARCH("완료",I12)))</formula>
    </cfRule>
    <cfRule type="containsText" dxfId="1134" priority="38" operator="containsText" text="중단">
      <formula>NOT(ISERROR(SEARCH("중단",I12)))</formula>
    </cfRule>
  </conditionalFormatting>
  <conditionalFormatting sqref="I12:I22">
    <cfRule type="containsText" dxfId="1133" priority="36" operator="containsText" text="진행중">
      <formula>NOT(ISERROR(SEARCH("진행중",I12)))</formula>
    </cfRule>
  </conditionalFormatting>
  <conditionalFormatting sqref="I11">
    <cfRule type="containsText" dxfId="1132" priority="34" operator="containsText" text="완료">
      <formula>NOT(ISERROR(SEARCH("완료",I11)))</formula>
    </cfRule>
    <cfRule type="containsText" dxfId="1131" priority="35" operator="containsText" text="중단">
      <formula>NOT(ISERROR(SEARCH("중단",I11)))</formula>
    </cfRule>
  </conditionalFormatting>
  <conditionalFormatting sqref="I11">
    <cfRule type="containsText" dxfId="1130" priority="32" operator="containsText" text="완료">
      <formula>NOT(ISERROR(SEARCH("완료",I11)))</formula>
    </cfRule>
    <cfRule type="containsText" dxfId="1129" priority="33" operator="containsText" text="중단">
      <formula>NOT(ISERROR(SEARCH("중단",I11)))</formula>
    </cfRule>
  </conditionalFormatting>
  <conditionalFormatting sqref="I11">
    <cfRule type="containsText" dxfId="1128" priority="31" operator="containsText" text="진행중">
      <formula>NOT(ISERROR(SEARCH("진행중",I11)))</formula>
    </cfRule>
  </conditionalFormatting>
  <conditionalFormatting sqref="D8:D19">
    <cfRule type="containsText" dxfId="1127" priority="29" operator="containsText" text="완료">
      <formula>NOT(ISERROR(SEARCH("완료",D8)))</formula>
    </cfRule>
    <cfRule type="containsText" dxfId="1126" priority="30" operator="containsText" text="중단">
      <formula>NOT(ISERROR(SEARCH("중단",D8)))</formula>
    </cfRule>
  </conditionalFormatting>
  <conditionalFormatting sqref="D11">
    <cfRule type="containsText" dxfId="1125" priority="27" operator="containsText" text="완료">
      <formula>NOT(ISERROR(SEARCH("완료",D11)))</formula>
    </cfRule>
    <cfRule type="containsText" dxfId="1124" priority="28" operator="containsText" text="중단">
      <formula>NOT(ISERROR(SEARCH("중단",D11)))</formula>
    </cfRule>
  </conditionalFormatting>
  <conditionalFormatting sqref="D12:D19">
    <cfRule type="containsText" dxfId="1123" priority="25" operator="containsText" text="완료">
      <formula>NOT(ISERROR(SEARCH("완료",D12)))</formula>
    </cfRule>
    <cfRule type="containsText" dxfId="1122" priority="26" operator="containsText" text="중단">
      <formula>NOT(ISERROR(SEARCH("중단",D12)))</formula>
    </cfRule>
  </conditionalFormatting>
  <conditionalFormatting sqref="D13:D19">
    <cfRule type="containsText" dxfId="1121" priority="23" operator="containsText" text="완료">
      <formula>NOT(ISERROR(SEARCH("완료",D13)))</formula>
    </cfRule>
    <cfRule type="containsText" dxfId="1120" priority="24" operator="containsText" text="중단">
      <formula>NOT(ISERROR(SEARCH("중단",D13)))</formula>
    </cfRule>
  </conditionalFormatting>
  <conditionalFormatting sqref="D8:D19">
    <cfRule type="containsText" dxfId="1119" priority="22" operator="containsText" text="진행중">
      <formula>NOT(ISERROR(SEARCH("진행중",D8)))</formula>
    </cfRule>
  </conditionalFormatting>
  <conditionalFormatting sqref="D8:D22">
    <cfRule type="containsText" dxfId="1118" priority="20" operator="containsText" text="완료">
      <formula>NOT(ISERROR(SEARCH("완료",D8)))</formula>
    </cfRule>
    <cfRule type="containsText" dxfId="1117" priority="21" operator="containsText" text="중단">
      <formula>NOT(ISERROR(SEARCH("중단",D8)))</formula>
    </cfRule>
  </conditionalFormatting>
  <conditionalFormatting sqref="D8:D22">
    <cfRule type="containsText" dxfId="1116" priority="18" operator="containsText" text="완료">
      <formula>NOT(ISERROR(SEARCH("완료",D8)))</formula>
    </cfRule>
    <cfRule type="containsText" dxfId="1115" priority="19" operator="containsText" text="중단">
      <formula>NOT(ISERROR(SEARCH("중단",D8)))</formula>
    </cfRule>
  </conditionalFormatting>
  <conditionalFormatting sqref="D8:D22">
    <cfRule type="containsText" dxfId="1114" priority="17" operator="containsText" text="진행중">
      <formula>NOT(ISERROR(SEARCH("진행중",D8)))</formula>
    </cfRule>
  </conditionalFormatting>
  <conditionalFormatting sqref="D7">
    <cfRule type="containsText" dxfId="1113" priority="15" operator="containsText" text="완료">
      <formula>NOT(ISERROR(SEARCH("완료",D7)))</formula>
    </cfRule>
    <cfRule type="containsText" dxfId="1112" priority="16" operator="containsText" text="중단">
      <formula>NOT(ISERROR(SEARCH("중단",D7)))</formula>
    </cfRule>
  </conditionalFormatting>
  <conditionalFormatting sqref="D7">
    <cfRule type="containsText" dxfId="1111" priority="13" operator="containsText" text="완료">
      <formula>NOT(ISERROR(SEARCH("완료",D7)))</formula>
    </cfRule>
    <cfRule type="containsText" dxfId="1110" priority="14" operator="containsText" text="중단">
      <formula>NOT(ISERROR(SEARCH("중단",D7)))</formula>
    </cfRule>
  </conditionalFormatting>
  <conditionalFormatting sqref="D7">
    <cfRule type="containsText" dxfId="1109" priority="12" operator="containsText" text="진행중">
      <formula>NOT(ISERROR(SEARCH("진행중",D7)))</formula>
    </cfRule>
  </conditionalFormatting>
  <conditionalFormatting sqref="G16:G22">
    <cfRule type="containsText" dxfId="25" priority="10" operator="containsText" text="완료">
      <formula>NOT(ISERROR(SEARCH("완료",G16)))</formula>
    </cfRule>
    <cfRule type="containsText" dxfId="24" priority="11" operator="containsText" text="중단">
      <formula>NOT(ISERROR(SEARCH("중단",G16)))</formula>
    </cfRule>
  </conditionalFormatting>
  <conditionalFormatting sqref="G16:G22">
    <cfRule type="containsText" dxfId="23" priority="8" operator="containsText" text="완료">
      <formula>NOT(ISERROR(SEARCH("완료",G16)))</formula>
    </cfRule>
    <cfRule type="containsText" dxfId="22" priority="9" operator="containsText" text="중단">
      <formula>NOT(ISERROR(SEARCH("중단",G16)))</formula>
    </cfRule>
  </conditionalFormatting>
  <conditionalFormatting sqref="G16:G22">
    <cfRule type="containsText" dxfId="21" priority="7" operator="containsText" text="진행중">
      <formula>NOT(ISERROR(SEARCH("진행중",G16)))</formula>
    </cfRule>
  </conditionalFormatting>
  <conditionalFormatting sqref="H16:H22">
    <cfRule type="containsText" dxfId="15" priority="5" operator="containsText" text="완료">
      <formula>NOT(ISERROR(SEARCH("완료",H16)))</formula>
    </cfRule>
    <cfRule type="containsText" dxfId="14" priority="6" operator="containsText" text="중단">
      <formula>NOT(ISERROR(SEARCH("중단",H16)))</formula>
    </cfRule>
  </conditionalFormatting>
  <conditionalFormatting sqref="H16:H22">
    <cfRule type="containsText" dxfId="13" priority="3" operator="containsText" text="완료">
      <formula>NOT(ISERROR(SEARCH("완료",H16)))</formula>
    </cfRule>
    <cfRule type="containsText" dxfId="12" priority="4" operator="containsText" text="중단">
      <formula>NOT(ISERROR(SEARCH("중단",H16)))</formula>
    </cfRule>
  </conditionalFormatting>
  <conditionalFormatting sqref="H16:H22">
    <cfRule type="containsText" dxfId="11" priority="2" operator="containsText" text="진행중">
      <formula>NOT(ISERROR(SEARCH("진행중",H16)))</formula>
    </cfRule>
  </conditionalFormatting>
  <conditionalFormatting sqref="A1:AG23">
    <cfRule type="containsText" dxfId="4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499984740745262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G22" si="2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5" t="s">
        <v>40</v>
      </c>
      <c r="G8" s="86" t="str">
        <f>IF(NOT(LEN($I8)=0),G7,"")</f>
        <v>-</v>
      </c>
      <c r="H8" s="86" t="str">
        <f>IF(NOT(LEN($I8)=0),H7,"")</f>
        <v>-</v>
      </c>
      <c r="I8" s="85" t="s">
        <v>40</v>
      </c>
      <c r="J8" s="1"/>
      <c r="K8" s="86" t="str">
        <f t="shared" ref="K8:K17" si="3">IF(NOT(LEN($I8)=0),K7,"")</f>
        <v>VITA</v>
      </c>
      <c r="L8" s="86" t="str">
        <f t="shared" ref="L8:L17" si="4">IF(NOT(LEN($I8)=0),L7,"")</f>
        <v>MARK II</v>
      </c>
      <c r="M8" s="86">
        <f t="shared" ref="M8:O8" si="5">IF(NOT(LEN($I8)=0),M7,"")</f>
        <v>160</v>
      </c>
      <c r="N8" s="86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 t="shared" ref="AE8:AE22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/>
    </row>
    <row r="9" spans="1:42" x14ac:dyDescent="0.45">
      <c r="A9" s="3">
        <v>45971</v>
      </c>
      <c r="B9" s="24">
        <f t="shared" ref="B9:B22" si="7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5" t="s">
        <v>40</v>
      </c>
      <c r="G9" s="86" t="str">
        <f t="shared" ref="G9:G19" si="8">IF(NOT(LEN($I9)=0),G8,"")</f>
        <v>-</v>
      </c>
      <c r="H9" s="86" t="str">
        <f t="shared" ref="H9:H19" si="9">IF(NOT(LEN($I9)=0),H8,"")</f>
        <v>-</v>
      </c>
      <c r="I9" s="85" t="s">
        <v>40</v>
      </c>
      <c r="J9" s="1"/>
      <c r="K9" s="86" t="str">
        <f t="shared" si="3"/>
        <v>VITA</v>
      </c>
      <c r="L9" s="86" t="str">
        <f t="shared" si="4"/>
        <v>MARK II</v>
      </c>
      <c r="M9" s="86">
        <f t="shared" ref="M9:M18" si="10">IF(NOT(LEN($I9)=0),M8,"")</f>
        <v>160</v>
      </c>
      <c r="N9" s="86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6" t="str">
        <f t="shared" si="8"/>
        <v>-</v>
      </c>
      <c r="H10" s="86" t="str">
        <f t="shared" si="9"/>
        <v>-</v>
      </c>
      <c r="I10" s="85" t="s">
        <v>40</v>
      </c>
      <c r="J10" s="1"/>
      <c r="K10" s="86" t="str">
        <f t="shared" si="3"/>
        <v>VITA</v>
      </c>
      <c r="L10" s="86" t="str">
        <f t="shared" si="4"/>
        <v>MARK II</v>
      </c>
      <c r="M10" s="86">
        <f t="shared" si="10"/>
        <v>160</v>
      </c>
      <c r="N10" s="86" t="str">
        <f t="shared" si="11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5" t="s">
        <v>40</v>
      </c>
      <c r="G11" s="86" t="str">
        <f t="shared" si="8"/>
        <v>-</v>
      </c>
      <c r="H11" s="86" t="str">
        <f t="shared" si="9"/>
        <v>-</v>
      </c>
      <c r="I11" s="85" t="s">
        <v>40</v>
      </c>
      <c r="J11" s="1"/>
      <c r="K11" s="86" t="str">
        <f t="shared" si="3"/>
        <v>VITA</v>
      </c>
      <c r="L11" s="86" t="str">
        <f t="shared" si="4"/>
        <v>MARK II</v>
      </c>
      <c r="M11" s="86">
        <f t="shared" si="10"/>
        <v>160</v>
      </c>
      <c r="N11" s="86" t="str">
        <f t="shared" si="11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76</v>
      </c>
      <c r="V11" s="7" t="s">
        <v>77</v>
      </c>
      <c r="W11" s="7" t="s">
        <v>78</v>
      </c>
      <c r="X11" s="7" t="s">
        <v>79</v>
      </c>
      <c r="Y11" s="7" t="s">
        <v>80</v>
      </c>
      <c r="Z11" s="7" t="s">
        <v>81</v>
      </c>
      <c r="AA11" s="7" t="s">
        <v>82</v>
      </c>
      <c r="AB11" s="7" t="s">
        <v>83</v>
      </c>
      <c r="AC11" s="7" t="s">
        <v>67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5" t="s">
        <v>40</v>
      </c>
      <c r="G12" s="86" t="str">
        <f t="shared" si="8"/>
        <v>-</v>
      </c>
      <c r="H12" s="86" t="str">
        <f t="shared" si="9"/>
        <v>-</v>
      </c>
      <c r="I12" s="85" t="s">
        <v>40</v>
      </c>
      <c r="J12" s="1"/>
      <c r="K12" s="86" t="str">
        <f t="shared" si="3"/>
        <v>VITA</v>
      </c>
      <c r="L12" s="86" t="str">
        <f t="shared" si="4"/>
        <v>MARK II</v>
      </c>
      <c r="M12" s="86">
        <f t="shared" si="10"/>
        <v>160</v>
      </c>
      <c r="N12" s="86" t="str">
        <f t="shared" si="11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86">
        <v>0</v>
      </c>
      <c r="G13" s="86" t="str">
        <f t="shared" si="8"/>
        <v>-</v>
      </c>
      <c r="H13" s="86" t="str">
        <f t="shared" si="9"/>
        <v>-</v>
      </c>
      <c r="I13" s="86">
        <v>0</v>
      </c>
      <c r="J13" s="1"/>
      <c r="K13" s="86" t="str">
        <f t="shared" si="3"/>
        <v>VITA</v>
      </c>
      <c r="L13" s="86" t="str">
        <f t="shared" si="4"/>
        <v>MARK II</v>
      </c>
      <c r="M13" s="86">
        <f t="shared" si="10"/>
        <v>160</v>
      </c>
      <c r="N13" s="86" t="str">
        <f t="shared" si="11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8"/>
        <v>-</v>
      </c>
      <c r="H14" s="86" t="str">
        <f t="shared" si="9"/>
        <v>-</v>
      </c>
      <c r="I14" s="86">
        <f>IF(NOT(LEN($A14)=0),IF(I13+1&gt;15,"버교체요망",I13+1),"")</f>
        <v>1</v>
      </c>
      <c r="J14" s="1"/>
      <c r="K14" s="86" t="str">
        <f t="shared" si="3"/>
        <v>VITA</v>
      </c>
      <c r="L14" s="86" t="str">
        <f t="shared" si="4"/>
        <v>MARK II</v>
      </c>
      <c r="M14" s="86">
        <f t="shared" si="10"/>
        <v>160</v>
      </c>
      <c r="N14" s="86" t="str">
        <f t="shared" si="11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86">
        <f t="shared" ref="F15:F22" si="13">IF(NOT(LEN($A15)=0),IF(F14+1&gt;15,"버교체요망",F14+1),"")</f>
        <v>2</v>
      </c>
      <c r="G15" s="86" t="str">
        <f t="shared" si="8"/>
        <v>-</v>
      </c>
      <c r="H15" s="86" t="str">
        <f t="shared" si="9"/>
        <v>-</v>
      </c>
      <c r="I15" s="86">
        <f t="shared" ref="I15:I22" si="14">IF(NOT(LEN($A15)=0),IF(I14+1&gt;15,"버교체요망",I14+1),"")</f>
        <v>2</v>
      </c>
      <c r="J15" s="1"/>
      <c r="K15" s="86" t="str">
        <f t="shared" si="3"/>
        <v>VITA</v>
      </c>
      <c r="L15" s="86" t="str">
        <f t="shared" si="4"/>
        <v>MARK II</v>
      </c>
      <c r="M15" s="86">
        <f t="shared" si="10"/>
        <v>160</v>
      </c>
      <c r="N15" s="86" t="str">
        <f t="shared" si="11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86">
        <f t="shared" si="13"/>
        <v>3</v>
      </c>
      <c r="G16" s="86" t="str">
        <f t="shared" si="8"/>
        <v>-</v>
      </c>
      <c r="H16" s="86" t="str">
        <f t="shared" si="9"/>
        <v>-</v>
      </c>
      <c r="I16" s="86">
        <f t="shared" si="14"/>
        <v>3</v>
      </c>
      <c r="J16" s="1"/>
      <c r="K16" s="86" t="str">
        <f t="shared" si="3"/>
        <v>VITA</v>
      </c>
      <c r="L16" s="86" t="str">
        <f t="shared" si="4"/>
        <v>MARK II</v>
      </c>
      <c r="M16" s="86">
        <f t="shared" si="10"/>
        <v>160</v>
      </c>
      <c r="N16" s="86" t="str">
        <f t="shared" si="11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/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86">
        <f t="shared" si="13"/>
        <v>4</v>
      </c>
      <c r="G17" s="86" t="str">
        <f t="shared" si="8"/>
        <v>-</v>
      </c>
      <c r="H17" s="86" t="str">
        <f t="shared" si="9"/>
        <v>-</v>
      </c>
      <c r="I17" s="86">
        <f t="shared" si="14"/>
        <v>4</v>
      </c>
      <c r="J17" s="1"/>
      <c r="K17" s="86" t="str">
        <f t="shared" si="3"/>
        <v>VITA</v>
      </c>
      <c r="L17" s="86" t="str">
        <f t="shared" si="4"/>
        <v>MARK II</v>
      </c>
      <c r="M17" s="86">
        <f t="shared" si="10"/>
        <v>160</v>
      </c>
      <c r="N17" s="86" t="str">
        <f t="shared" si="11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/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4">
        <v>23</v>
      </c>
      <c r="F18" s="86">
        <f t="shared" si="13"/>
        <v>5</v>
      </c>
      <c r="G18" s="86" t="str">
        <f t="shared" si="8"/>
        <v>-</v>
      </c>
      <c r="H18" s="86" t="str">
        <f t="shared" si="9"/>
        <v>-</v>
      </c>
      <c r="I18" s="86">
        <f t="shared" si="14"/>
        <v>5</v>
      </c>
      <c r="K18" s="86" t="str">
        <f>IF(NOT(LEN($I18)=0),K17,"")</f>
        <v>VITA</v>
      </c>
      <c r="L18" s="86" t="str">
        <f>IF(NOT(LEN($I18)=0),L17,"")</f>
        <v>MARK II</v>
      </c>
      <c r="M18" s="86">
        <f t="shared" si="10"/>
        <v>160</v>
      </c>
      <c r="N18" s="86" t="str">
        <f t="shared" si="11"/>
        <v>-</v>
      </c>
      <c r="O18" s="24">
        <f>IF(LEN(A18)&gt;0, 종합!$C$27, "")</f>
        <v>2.2599999999999998</v>
      </c>
      <c r="Q18" s="7" t="str">
        <f t="shared" ref="Q12:T22" si="15">IF(MOD($B18,5)=0, "스핀들유격: ","-" )</f>
        <v>-</v>
      </c>
      <c r="R18" s="7" t="str">
        <f t="shared" si="15"/>
        <v>-</v>
      </c>
      <c r="S18" s="7" t="str">
        <f t="shared" si="15"/>
        <v>-</v>
      </c>
      <c r="T18" s="7" t="str">
        <f t="shared" si="15"/>
        <v>-</v>
      </c>
      <c r="U18" s="7" t="str">
        <f t="shared" ref="U12:AB22" si="16">IF(MOD($B18,5)=0, "000-000","-" )</f>
        <v>-</v>
      </c>
      <c r="V18" s="7" t="str">
        <f t="shared" si="16"/>
        <v>-</v>
      </c>
      <c r="W18" s="7" t="str">
        <f t="shared" si="16"/>
        <v>-</v>
      </c>
      <c r="X18" s="7" t="str">
        <f t="shared" si="16"/>
        <v>-</v>
      </c>
      <c r="Y18" s="7" t="str">
        <f t="shared" si="16"/>
        <v>-</v>
      </c>
      <c r="Z18" s="7" t="str">
        <f t="shared" si="16"/>
        <v>-</v>
      </c>
      <c r="AA18" s="7" t="str">
        <f t="shared" si="16"/>
        <v>-</v>
      </c>
      <c r="AB18" s="7" t="str">
        <f t="shared" si="16"/>
        <v>-</v>
      </c>
      <c r="AC18" s="7" t="str">
        <f t="shared" ref="AC12:AC22" si="17">IF(MOD($B18,5)=0, "스핀들소음 :","-"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/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6">
        <v>21</v>
      </c>
      <c r="F19" s="86">
        <f t="shared" si="13"/>
        <v>6</v>
      </c>
      <c r="G19" s="86" t="str">
        <f t="shared" si="8"/>
        <v>-</v>
      </c>
      <c r="H19" s="86" t="str">
        <f t="shared" si="9"/>
        <v>-</v>
      </c>
      <c r="I19" s="86">
        <f t="shared" si="14"/>
        <v>6</v>
      </c>
      <c r="K19" s="86" t="str">
        <f t="shared" ref="K19:K22" si="18">IF(NOT(LEN($I19)=0),K18,"")</f>
        <v>VITA</v>
      </c>
      <c r="L19" s="86" t="str">
        <f t="shared" ref="L19:L22" si="19">IF(NOT(LEN($I19)=0),L18,"")</f>
        <v>MARK II</v>
      </c>
      <c r="M19" s="86">
        <f t="shared" ref="M19:M22" si="20">IF(NOT(LEN($I19)=0),M18,"")</f>
        <v>160</v>
      </c>
      <c r="N19" s="86" t="str">
        <f t="shared" ref="N19:N22" si="21">IF(NOT(LEN($I19)=0),N18,"")</f>
        <v>-</v>
      </c>
      <c r="O19" s="24">
        <f>IF(LEN(A19)&gt;0, 종합!$C$27, "")</f>
        <v>2.2599999999999998</v>
      </c>
      <c r="Q19" s="7" t="str">
        <f t="shared" si="15"/>
        <v>-</v>
      </c>
      <c r="R19" s="7" t="str">
        <f t="shared" si="15"/>
        <v>-</v>
      </c>
      <c r="S19" s="7" t="str">
        <f t="shared" si="15"/>
        <v>-</v>
      </c>
      <c r="T19" s="7" t="str">
        <f t="shared" si="15"/>
        <v>-</v>
      </c>
      <c r="U19" s="7" t="str">
        <f t="shared" si="16"/>
        <v>-</v>
      </c>
      <c r="V19" s="7" t="str">
        <f t="shared" si="16"/>
        <v>-</v>
      </c>
      <c r="W19" s="7" t="str">
        <f t="shared" si="16"/>
        <v>-</v>
      </c>
      <c r="X19" s="7" t="str">
        <f t="shared" si="16"/>
        <v>-</v>
      </c>
      <c r="Y19" s="7" t="str">
        <f t="shared" si="16"/>
        <v>-</v>
      </c>
      <c r="Z19" s="7" t="str">
        <f t="shared" si="16"/>
        <v>-</v>
      </c>
      <c r="AA19" s="7" t="str">
        <f t="shared" si="16"/>
        <v>-</v>
      </c>
      <c r="AB19" s="7" t="str">
        <f t="shared" si="16"/>
        <v>-</v>
      </c>
      <c r="AC19" s="7" t="str">
        <f t="shared" si="17"/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/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6">
        <v>21</v>
      </c>
      <c r="F20" s="86">
        <f t="shared" si="13"/>
        <v>7</v>
      </c>
      <c r="G20" s="86" t="str">
        <f t="shared" ref="G20" si="22">IF(NOT(LEN($I20)=0),G19,"")</f>
        <v>-</v>
      </c>
      <c r="H20" s="86" t="str">
        <f t="shared" ref="H20" si="23">IF(NOT(LEN($I20)=0),H19,"")</f>
        <v>-</v>
      </c>
      <c r="I20" s="86">
        <f t="shared" si="14"/>
        <v>7</v>
      </c>
      <c r="K20" s="86" t="str">
        <f t="shared" si="18"/>
        <v>VITA</v>
      </c>
      <c r="L20" s="86" t="str">
        <f t="shared" si="19"/>
        <v>MARK II</v>
      </c>
      <c r="M20" s="86">
        <f t="shared" si="20"/>
        <v>160</v>
      </c>
      <c r="N20" s="86" t="str">
        <f t="shared" si="21"/>
        <v>-</v>
      </c>
      <c r="O20" s="24">
        <f>IF(LEN(A20)&gt;0, 종합!$C$27, "")</f>
        <v>2.2599999999999998</v>
      </c>
      <c r="Q20" s="85" t="str">
        <f t="shared" ref="Q20:AG22" si="24">IF(NOT(LEN($A20)=0),"누락","")</f>
        <v>누락</v>
      </c>
      <c r="R20" s="85" t="str">
        <f t="shared" si="24"/>
        <v>누락</v>
      </c>
      <c r="S20" s="85" t="str">
        <f t="shared" si="24"/>
        <v>누락</v>
      </c>
      <c r="T20" s="85" t="str">
        <f t="shared" si="24"/>
        <v>누락</v>
      </c>
      <c r="U20" s="85" t="str">
        <f t="shared" si="24"/>
        <v>누락</v>
      </c>
      <c r="V20" s="85" t="str">
        <f t="shared" si="24"/>
        <v>누락</v>
      </c>
      <c r="W20" s="85" t="str">
        <f t="shared" si="24"/>
        <v>누락</v>
      </c>
      <c r="X20" s="85" t="str">
        <f t="shared" si="24"/>
        <v>누락</v>
      </c>
      <c r="Y20" s="85" t="str">
        <f t="shared" si="24"/>
        <v>누락</v>
      </c>
      <c r="Z20" s="85" t="str">
        <f t="shared" si="24"/>
        <v>누락</v>
      </c>
      <c r="AA20" s="85" t="str">
        <f t="shared" si="24"/>
        <v>누락</v>
      </c>
      <c r="AB20" s="85" t="str">
        <f t="shared" si="24"/>
        <v>누락</v>
      </c>
      <c r="AC20" s="85" t="str">
        <f t="shared" si="24"/>
        <v>누락</v>
      </c>
      <c r="AD20" s="85" t="str">
        <f t="shared" si="24"/>
        <v>누락</v>
      </c>
      <c r="AE20" s="85" t="str">
        <f t="shared" si="24"/>
        <v>누락</v>
      </c>
      <c r="AF20" s="1" t="s">
        <v>16</v>
      </c>
      <c r="AG20" s="1"/>
    </row>
    <row r="21" spans="1:33" x14ac:dyDescent="0.45">
      <c r="A21" s="3"/>
      <c r="B21" s="24" t="str">
        <f t="shared" si="7"/>
        <v/>
      </c>
      <c r="C21" s="7" t="str">
        <f t="shared" si="0"/>
        <v/>
      </c>
      <c r="D21" s="6" t="str">
        <f>IF(NOT(LEN(B21)=0),IF(LEN(D22)=0,"진행중","완료"),"")</f>
        <v/>
      </c>
      <c r="E21" s="85" t="str">
        <f t="shared" ref="E21:E22" si="25">IF(NOT(LEN($A21)=0),"누락","")</f>
        <v/>
      </c>
      <c r="F21" s="85" t="str">
        <f t="shared" si="13"/>
        <v/>
      </c>
      <c r="G21" s="90"/>
      <c r="H21" s="90"/>
      <c r="I21" s="85" t="str">
        <f t="shared" si="14"/>
        <v/>
      </c>
      <c r="K21" s="86" t="str">
        <f t="shared" si="18"/>
        <v/>
      </c>
      <c r="L21" s="86" t="str">
        <f t="shared" si="19"/>
        <v/>
      </c>
      <c r="M21" s="86" t="str">
        <f t="shared" si="20"/>
        <v/>
      </c>
      <c r="N21" s="86" t="str">
        <f t="shared" si="21"/>
        <v/>
      </c>
      <c r="O21" s="24" t="str">
        <f>IF(LEN(A21)&gt;0, 종합!$C$27, "")</f>
        <v/>
      </c>
      <c r="Q21" s="85" t="str">
        <f t="shared" si="24"/>
        <v/>
      </c>
      <c r="R21" s="85" t="str">
        <f t="shared" si="24"/>
        <v/>
      </c>
      <c r="S21" s="85" t="str">
        <f t="shared" si="24"/>
        <v/>
      </c>
      <c r="T21" s="85" t="str">
        <f t="shared" si="24"/>
        <v/>
      </c>
      <c r="U21" s="85" t="str">
        <f t="shared" si="24"/>
        <v/>
      </c>
      <c r="V21" s="85" t="str">
        <f t="shared" si="24"/>
        <v/>
      </c>
      <c r="W21" s="85" t="str">
        <f t="shared" si="24"/>
        <v/>
      </c>
      <c r="X21" s="85" t="str">
        <f t="shared" si="24"/>
        <v/>
      </c>
      <c r="Y21" s="85" t="str">
        <f t="shared" si="24"/>
        <v/>
      </c>
      <c r="Z21" s="85" t="str">
        <f t="shared" si="24"/>
        <v/>
      </c>
      <c r="AA21" s="85" t="str">
        <f t="shared" si="24"/>
        <v/>
      </c>
      <c r="AB21" s="85" t="str">
        <f t="shared" si="24"/>
        <v/>
      </c>
      <c r="AC21" s="85" t="str">
        <f t="shared" si="24"/>
        <v/>
      </c>
      <c r="AD21" s="85" t="str">
        <f t="shared" si="24"/>
        <v/>
      </c>
      <c r="AE21" s="85" t="str">
        <f t="shared" si="24"/>
        <v/>
      </c>
      <c r="AF21" s="1" t="s">
        <v>16</v>
      </c>
      <c r="AG21" s="1"/>
    </row>
    <row r="22" spans="1:33" x14ac:dyDescent="0.45">
      <c r="B22" s="24" t="str">
        <f t="shared" si="7"/>
        <v/>
      </c>
      <c r="C22" s="7" t="str">
        <f t="shared" si="0"/>
        <v/>
      </c>
      <c r="D22" s="6" t="str">
        <f>IF(NOT(LEN(B22)=0),IF(LEN(D23)=0,"진행중","완료"),"")</f>
        <v/>
      </c>
      <c r="E22" s="85" t="str">
        <f t="shared" si="25"/>
        <v/>
      </c>
      <c r="F22" s="85" t="str">
        <f t="shared" si="13"/>
        <v/>
      </c>
      <c r="G22" s="90"/>
      <c r="H22" s="90"/>
      <c r="I22" s="85" t="str">
        <f t="shared" si="14"/>
        <v/>
      </c>
      <c r="K22" s="86" t="str">
        <f t="shared" si="18"/>
        <v/>
      </c>
      <c r="L22" s="86" t="str">
        <f t="shared" si="19"/>
        <v/>
      </c>
      <c r="M22" s="86" t="str">
        <f t="shared" si="20"/>
        <v/>
      </c>
      <c r="N22" s="86" t="str">
        <f t="shared" si="21"/>
        <v/>
      </c>
      <c r="O22" s="24" t="str">
        <f>IF(LEN(A22)&gt;0, 종합!$C$27, "")</f>
        <v/>
      </c>
      <c r="Q22" s="85" t="str">
        <f t="shared" si="24"/>
        <v/>
      </c>
      <c r="R22" s="85" t="str">
        <f t="shared" si="24"/>
        <v/>
      </c>
      <c r="S22" s="85" t="str">
        <f t="shared" si="24"/>
        <v/>
      </c>
      <c r="T22" s="85" t="str">
        <f t="shared" si="24"/>
        <v/>
      </c>
      <c r="U22" s="85" t="str">
        <f t="shared" si="24"/>
        <v/>
      </c>
      <c r="V22" s="85" t="str">
        <f t="shared" si="24"/>
        <v/>
      </c>
      <c r="W22" s="85" t="str">
        <f t="shared" si="24"/>
        <v/>
      </c>
      <c r="X22" s="85" t="str">
        <f t="shared" si="24"/>
        <v/>
      </c>
      <c r="Y22" s="85" t="str">
        <f t="shared" si="24"/>
        <v/>
      </c>
      <c r="Z22" s="85" t="str">
        <f t="shared" si="24"/>
        <v/>
      </c>
      <c r="AA22" s="85" t="str">
        <f t="shared" si="24"/>
        <v/>
      </c>
      <c r="AB22" s="85" t="str">
        <f t="shared" si="24"/>
        <v/>
      </c>
      <c r="AC22" s="85" t="str">
        <f t="shared" si="24"/>
        <v/>
      </c>
      <c r="AD22" s="85" t="str">
        <f t="shared" si="24"/>
        <v/>
      </c>
      <c r="AE22" s="85" t="str">
        <f t="shared" si="24"/>
        <v/>
      </c>
      <c r="AF22" s="1" t="s">
        <v>16</v>
      </c>
      <c r="AG22" s="1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1108" priority="275" operator="containsText" text="완료">
      <formula>NOT(ISERROR(SEARCH("완료",D8)))</formula>
    </cfRule>
    <cfRule type="containsText" dxfId="1107" priority="276" operator="containsText" text="중단">
      <formula>NOT(ISERROR(SEARCH("중단",D8)))</formula>
    </cfRule>
  </conditionalFormatting>
  <conditionalFormatting sqref="H7 F7:F10">
    <cfRule type="containsText" dxfId="1106" priority="272" operator="containsText" text="신품">
      <formula>NOT(ISERROR(SEARCH("신품",F7)))</formula>
    </cfRule>
    <cfRule type="containsText" dxfId="1105" priority="274" operator="containsText" text="중고">
      <formula>NOT(ISERROR(SEARCH("중고",F7)))</formula>
    </cfRule>
  </conditionalFormatting>
  <conditionalFormatting sqref="I7:I10">
    <cfRule type="containsText" dxfId="1104" priority="270" operator="containsText" text="신품">
      <formula>NOT(ISERROR(SEARCH("신품",I7)))</formula>
    </cfRule>
    <cfRule type="containsText" dxfId="1103" priority="271" operator="containsText" text="중고">
      <formula>NOT(ISERROR(SEARCH("중고",I7)))</formula>
    </cfRule>
  </conditionalFormatting>
  <conditionalFormatting sqref="D11">
    <cfRule type="containsText" dxfId="1102" priority="266" operator="containsText" text="완료">
      <formula>NOT(ISERROR(SEARCH("완료",D11)))</formula>
    </cfRule>
    <cfRule type="containsText" dxfId="1101" priority="267" operator="containsText" text="중단">
      <formula>NOT(ISERROR(SEARCH("중단",D11)))</formula>
    </cfRule>
  </conditionalFormatting>
  <conditionalFormatting sqref="F11">
    <cfRule type="containsText" dxfId="1100" priority="264" operator="containsText" text="신품">
      <formula>NOT(ISERROR(SEARCH("신품",F11)))</formula>
    </cfRule>
    <cfRule type="containsText" dxfId="1099" priority="265" operator="containsText" text="중고">
      <formula>NOT(ISERROR(SEARCH("중고",F11)))</formula>
    </cfRule>
  </conditionalFormatting>
  <conditionalFormatting sqref="I11">
    <cfRule type="containsText" dxfId="1098" priority="262" operator="containsText" text="신품">
      <formula>NOT(ISERROR(SEARCH("신품",I11)))</formula>
    </cfRule>
    <cfRule type="containsText" dxfId="1097" priority="263" operator="containsText" text="중고">
      <formula>NOT(ISERROR(SEARCH("중고",I11)))</formula>
    </cfRule>
  </conditionalFormatting>
  <conditionalFormatting sqref="D12:D19">
    <cfRule type="containsText" dxfId="1096" priority="260" operator="containsText" text="완료">
      <formula>NOT(ISERROR(SEARCH("완료",D12)))</formula>
    </cfRule>
    <cfRule type="containsText" dxfId="1095" priority="261" operator="containsText" text="중단">
      <formula>NOT(ISERROR(SEARCH("중단",D12)))</formula>
    </cfRule>
  </conditionalFormatting>
  <conditionalFormatting sqref="F12">
    <cfRule type="containsText" dxfId="1094" priority="258" operator="containsText" text="신품">
      <formula>NOT(ISERROR(SEARCH("신품",F12)))</formula>
    </cfRule>
    <cfRule type="containsText" dxfId="1093" priority="259" operator="containsText" text="중고">
      <formula>NOT(ISERROR(SEARCH("중고",F12)))</formula>
    </cfRule>
  </conditionalFormatting>
  <conditionalFormatting sqref="I12">
    <cfRule type="containsText" dxfId="1092" priority="256" operator="containsText" text="신품">
      <formula>NOT(ISERROR(SEARCH("신품",I12)))</formula>
    </cfRule>
    <cfRule type="containsText" dxfId="1091" priority="257" operator="containsText" text="중고">
      <formula>NOT(ISERROR(SEARCH("중고",I12)))</formula>
    </cfRule>
  </conditionalFormatting>
  <conditionalFormatting sqref="D13:D19">
    <cfRule type="containsText" dxfId="1090" priority="254" operator="containsText" text="완료">
      <formula>NOT(ISERROR(SEARCH("완료",D13)))</formula>
    </cfRule>
    <cfRule type="containsText" dxfId="1089" priority="255" operator="containsText" text="중단">
      <formula>NOT(ISERROR(SEARCH("중단",D13)))</formula>
    </cfRule>
  </conditionalFormatting>
  <conditionalFormatting sqref="D23 D8:D19">
    <cfRule type="containsText" dxfId="1084" priority="249" operator="containsText" text="진행중">
      <formula>NOT(ISERROR(SEARCH("진행중",D8)))</formula>
    </cfRule>
  </conditionalFormatting>
  <conditionalFormatting sqref="D8:D22">
    <cfRule type="containsText" dxfId="1071" priority="235" operator="containsText" text="완료">
      <formula>NOT(ISERROR(SEARCH("완료",D8)))</formula>
    </cfRule>
    <cfRule type="containsText" dxfId="1070" priority="236" operator="containsText" text="중단">
      <formula>NOT(ISERROR(SEARCH("중단",D8)))</formula>
    </cfRule>
  </conditionalFormatting>
  <conditionalFormatting sqref="D8:D22">
    <cfRule type="containsText" dxfId="1069" priority="233" operator="containsText" text="완료">
      <formula>NOT(ISERROR(SEARCH("완료",D8)))</formula>
    </cfRule>
    <cfRule type="containsText" dxfId="1068" priority="234" operator="containsText" text="중단">
      <formula>NOT(ISERROR(SEARCH("중단",D8)))</formula>
    </cfRule>
  </conditionalFormatting>
  <conditionalFormatting sqref="D8:D22">
    <cfRule type="containsText" dxfId="1067" priority="232" operator="containsText" text="진행중">
      <formula>NOT(ISERROR(SEARCH("진행중",D8)))</formula>
    </cfRule>
  </conditionalFormatting>
  <conditionalFormatting sqref="F14:F22">
    <cfRule type="containsText" dxfId="1061" priority="225" operator="containsText" text="완료">
      <formula>NOT(ISERROR(SEARCH("완료",F14)))</formula>
    </cfRule>
    <cfRule type="containsText" dxfId="1060" priority="226" operator="containsText" text="중단">
      <formula>NOT(ISERROR(SEARCH("중단",F14)))</formula>
    </cfRule>
  </conditionalFormatting>
  <conditionalFormatting sqref="F14:F22">
    <cfRule type="containsText" dxfId="1059" priority="223" operator="containsText" text="완료">
      <formula>NOT(ISERROR(SEARCH("완료",F14)))</formula>
    </cfRule>
    <cfRule type="containsText" dxfId="1058" priority="224" operator="containsText" text="중단">
      <formula>NOT(ISERROR(SEARCH("중단",F14)))</formula>
    </cfRule>
  </conditionalFormatting>
  <conditionalFormatting sqref="F14:F22">
    <cfRule type="containsText" dxfId="1057" priority="222" operator="containsText" text="진행중">
      <formula>NOT(ISERROR(SEARCH("진행중",F14)))</formula>
    </cfRule>
  </conditionalFormatting>
  <conditionalFormatting sqref="K8:K17">
    <cfRule type="containsText" dxfId="1056" priority="115" operator="containsText" text="완료">
      <formula>NOT(ISERROR(SEARCH("완료",K8)))</formula>
    </cfRule>
    <cfRule type="containsText" dxfId="1055" priority="116" operator="containsText" text="중단">
      <formula>NOT(ISERROR(SEARCH("중단",K8)))</formula>
    </cfRule>
  </conditionalFormatting>
  <conditionalFormatting sqref="K8:K17">
    <cfRule type="containsText" dxfId="1054" priority="113" operator="containsText" text="완료">
      <formula>NOT(ISERROR(SEARCH("완료",K8)))</formula>
    </cfRule>
    <cfRule type="containsText" dxfId="1053" priority="114" operator="containsText" text="중단">
      <formula>NOT(ISERROR(SEARCH("중단",K8)))</formula>
    </cfRule>
  </conditionalFormatting>
  <conditionalFormatting sqref="K8:K17">
    <cfRule type="containsText" dxfId="1052" priority="112" operator="containsText" text="진행중">
      <formula>NOT(ISERROR(SEARCH("진행중",K8)))</formula>
    </cfRule>
  </conditionalFormatting>
  <conditionalFormatting sqref="L8:L17">
    <cfRule type="containsText" dxfId="1051" priority="110" operator="containsText" text="완료">
      <formula>NOT(ISERROR(SEARCH("완료",L8)))</formula>
    </cfRule>
    <cfRule type="containsText" dxfId="1050" priority="111" operator="containsText" text="중단">
      <formula>NOT(ISERROR(SEARCH("중단",L8)))</formula>
    </cfRule>
  </conditionalFormatting>
  <conditionalFormatting sqref="L8:L17">
    <cfRule type="containsText" dxfId="1049" priority="108" operator="containsText" text="완료">
      <formula>NOT(ISERROR(SEARCH("완료",L8)))</formula>
    </cfRule>
    <cfRule type="containsText" dxfId="1048" priority="109" operator="containsText" text="중단">
      <formula>NOT(ISERROR(SEARCH("중단",L8)))</formula>
    </cfRule>
  </conditionalFormatting>
  <conditionalFormatting sqref="L8:L17">
    <cfRule type="containsText" dxfId="1047" priority="107" operator="containsText" text="진행중">
      <formula>NOT(ISERROR(SEARCH("진행중",L8)))</formula>
    </cfRule>
  </conditionalFormatting>
  <conditionalFormatting sqref="M8:N22">
    <cfRule type="containsText" dxfId="1041" priority="100" operator="containsText" text="완료">
      <formula>NOT(ISERROR(SEARCH("완료",M8)))</formula>
    </cfRule>
    <cfRule type="containsText" dxfId="1040" priority="101" operator="containsText" text="중단">
      <formula>NOT(ISERROR(SEARCH("중단",M8)))</formula>
    </cfRule>
  </conditionalFormatting>
  <conditionalFormatting sqref="M8:N22">
    <cfRule type="containsText" dxfId="1039" priority="98" operator="containsText" text="완료">
      <formula>NOT(ISERROR(SEARCH("완료",M8)))</formula>
    </cfRule>
    <cfRule type="containsText" dxfId="1038" priority="99" operator="containsText" text="중단">
      <formula>NOT(ISERROR(SEARCH("중단",M8)))</formula>
    </cfRule>
  </conditionalFormatting>
  <conditionalFormatting sqref="M8:N22">
    <cfRule type="containsText" dxfId="1037" priority="97" operator="containsText" text="진행중">
      <formula>NOT(ISERROR(SEARCH("진행중",M8)))</formula>
    </cfRule>
  </conditionalFormatting>
  <conditionalFormatting sqref="E19">
    <cfRule type="containsText" dxfId="1026" priority="90" operator="containsText" text="완료">
      <formula>NOT(ISERROR(SEARCH("완료",E19)))</formula>
    </cfRule>
    <cfRule type="containsText" dxfId="1025" priority="91" operator="containsText" text="중단">
      <formula>NOT(ISERROR(SEARCH("중단",E19)))</formula>
    </cfRule>
  </conditionalFormatting>
  <conditionalFormatting sqref="E19">
    <cfRule type="containsText" dxfId="1024" priority="88" operator="containsText" text="완료">
      <formula>NOT(ISERROR(SEARCH("완료",E19)))</formula>
    </cfRule>
    <cfRule type="containsText" dxfId="1023" priority="89" operator="containsText" text="중단">
      <formula>NOT(ISERROR(SEARCH("중단",E19)))</formula>
    </cfRule>
  </conditionalFormatting>
  <conditionalFormatting sqref="E19">
    <cfRule type="containsText" dxfId="1022" priority="87" operator="containsText" text="진행중">
      <formula>NOT(ISERROR(SEARCH("진행중",E19)))</formula>
    </cfRule>
  </conditionalFormatting>
  <conditionalFormatting sqref="I14:I22">
    <cfRule type="containsText" dxfId="1016" priority="180" operator="containsText" text="완료">
      <formula>NOT(ISERROR(SEARCH("완료",I14)))</formula>
    </cfRule>
    <cfRule type="containsText" dxfId="1015" priority="181" operator="containsText" text="중단">
      <formula>NOT(ISERROR(SEARCH("중단",I14)))</formula>
    </cfRule>
  </conditionalFormatting>
  <conditionalFormatting sqref="I14:I22">
    <cfRule type="containsText" dxfId="1014" priority="178" operator="containsText" text="완료">
      <formula>NOT(ISERROR(SEARCH("완료",I14)))</formula>
    </cfRule>
    <cfRule type="containsText" dxfId="1013" priority="179" operator="containsText" text="중단">
      <formula>NOT(ISERROR(SEARCH("중단",I14)))</formula>
    </cfRule>
  </conditionalFormatting>
  <conditionalFormatting sqref="I14:I22">
    <cfRule type="containsText" dxfId="1012" priority="177" operator="containsText" text="진행중">
      <formula>NOT(ISERROR(SEARCH("진행중",I14)))</formula>
    </cfRule>
  </conditionalFormatting>
  <conditionalFormatting sqref="F13">
    <cfRule type="containsText" dxfId="1011" priority="175" operator="containsText" text="완료">
      <formula>NOT(ISERROR(SEARCH("완료",F13)))</formula>
    </cfRule>
    <cfRule type="containsText" dxfId="1010" priority="176" operator="containsText" text="중단">
      <formula>NOT(ISERROR(SEARCH("중단",F13)))</formula>
    </cfRule>
  </conditionalFormatting>
  <conditionalFormatting sqref="F13">
    <cfRule type="containsText" dxfId="1009" priority="173" operator="containsText" text="완료">
      <formula>NOT(ISERROR(SEARCH("완료",F13)))</formula>
    </cfRule>
    <cfRule type="containsText" dxfId="1008" priority="174" operator="containsText" text="중단">
      <formula>NOT(ISERROR(SEARCH("중단",F13)))</formula>
    </cfRule>
  </conditionalFormatting>
  <conditionalFormatting sqref="F13">
    <cfRule type="containsText" dxfId="1007" priority="172" operator="containsText" text="진행중">
      <formula>NOT(ISERROR(SEARCH("진행중",F13)))</formula>
    </cfRule>
  </conditionalFormatting>
  <conditionalFormatting sqref="I13">
    <cfRule type="containsText" dxfId="1006" priority="170" operator="containsText" text="완료">
      <formula>NOT(ISERROR(SEARCH("완료",I13)))</formula>
    </cfRule>
    <cfRule type="containsText" dxfId="1005" priority="171" operator="containsText" text="중단">
      <formula>NOT(ISERROR(SEARCH("중단",I13)))</formula>
    </cfRule>
  </conditionalFormatting>
  <conditionalFormatting sqref="I13">
    <cfRule type="containsText" dxfId="1004" priority="168" operator="containsText" text="완료">
      <formula>NOT(ISERROR(SEARCH("완료",I13)))</formula>
    </cfRule>
    <cfRule type="containsText" dxfId="1003" priority="169" operator="containsText" text="중단">
      <formula>NOT(ISERROR(SEARCH("중단",I13)))</formula>
    </cfRule>
  </conditionalFormatting>
  <conditionalFormatting sqref="I13">
    <cfRule type="containsText" dxfId="1002" priority="167" operator="containsText" text="진행중">
      <formula>NOT(ISERROR(SEARCH("진행중",I13)))</formula>
    </cfRule>
  </conditionalFormatting>
  <conditionalFormatting sqref="E20:E22">
    <cfRule type="containsText" dxfId="1001" priority="80" operator="containsText" text="완료">
      <formula>NOT(ISERROR(SEARCH("완료",E20)))</formula>
    </cfRule>
    <cfRule type="containsText" dxfId="1000" priority="81" operator="containsText" text="중단">
      <formula>NOT(ISERROR(SEARCH("중단",E20)))</formula>
    </cfRule>
  </conditionalFormatting>
  <conditionalFormatting sqref="E20:E22">
    <cfRule type="containsText" dxfId="999" priority="78" operator="containsText" text="완료">
      <formula>NOT(ISERROR(SEARCH("완료",E20)))</formula>
    </cfRule>
    <cfRule type="containsText" dxfId="998" priority="79" operator="containsText" text="중단">
      <formula>NOT(ISERROR(SEARCH("중단",E20)))</formula>
    </cfRule>
  </conditionalFormatting>
  <conditionalFormatting sqref="E20:E22">
    <cfRule type="containsText" dxfId="997" priority="77" operator="containsText" text="진행중">
      <formula>NOT(ISERROR(SEARCH("진행중",E20)))</formula>
    </cfRule>
  </conditionalFormatting>
  <conditionalFormatting sqref="K18:K22">
    <cfRule type="containsText" dxfId="996" priority="160" operator="containsText" text="완료">
      <formula>NOT(ISERROR(SEARCH("완료",K18)))</formula>
    </cfRule>
    <cfRule type="containsText" dxfId="995" priority="161" operator="containsText" text="중단">
      <formula>NOT(ISERROR(SEARCH("중단",K18)))</formula>
    </cfRule>
  </conditionalFormatting>
  <conditionalFormatting sqref="K18:K22">
    <cfRule type="containsText" dxfId="994" priority="158" operator="containsText" text="완료">
      <formula>NOT(ISERROR(SEARCH("완료",K18)))</formula>
    </cfRule>
    <cfRule type="containsText" dxfId="993" priority="159" operator="containsText" text="중단">
      <formula>NOT(ISERROR(SEARCH("중단",K18)))</formula>
    </cfRule>
  </conditionalFormatting>
  <conditionalFormatting sqref="K18:K22">
    <cfRule type="containsText" dxfId="992" priority="157" operator="containsText" text="진행중">
      <formula>NOT(ISERROR(SEARCH("진행중",K18)))</formula>
    </cfRule>
  </conditionalFormatting>
  <conditionalFormatting sqref="L18:L22">
    <cfRule type="containsText" dxfId="986" priority="150" operator="containsText" text="완료">
      <formula>NOT(ISERROR(SEARCH("완료",L18)))</formula>
    </cfRule>
    <cfRule type="containsText" dxfId="985" priority="151" operator="containsText" text="중단">
      <formula>NOT(ISERROR(SEARCH("중단",L18)))</formula>
    </cfRule>
  </conditionalFormatting>
  <conditionalFormatting sqref="L18:L22">
    <cfRule type="containsText" dxfId="984" priority="148" operator="containsText" text="완료">
      <formula>NOT(ISERROR(SEARCH("완료",L18)))</formula>
    </cfRule>
    <cfRule type="containsText" dxfId="983" priority="149" operator="containsText" text="중단">
      <formula>NOT(ISERROR(SEARCH("중단",L18)))</formula>
    </cfRule>
  </conditionalFormatting>
  <conditionalFormatting sqref="L18:L22">
    <cfRule type="containsText" dxfId="982" priority="147" operator="containsText" text="진행중">
      <formula>NOT(ISERROR(SEARCH("진행중",L18)))</formula>
    </cfRule>
  </conditionalFormatting>
  <conditionalFormatting sqref="G8:G20">
    <cfRule type="containsText" dxfId="911" priority="75" operator="containsText" text="완료">
      <formula>NOT(ISERROR(SEARCH("완료",G8)))</formula>
    </cfRule>
    <cfRule type="containsText" dxfId="910" priority="76" operator="containsText" text="중단">
      <formula>NOT(ISERROR(SEARCH("중단",G8)))</formula>
    </cfRule>
  </conditionalFormatting>
  <conditionalFormatting sqref="G8:G20">
    <cfRule type="containsText" dxfId="909" priority="73" operator="containsText" text="완료">
      <formula>NOT(ISERROR(SEARCH("완료",G8)))</formula>
    </cfRule>
    <cfRule type="containsText" dxfId="908" priority="74" operator="containsText" text="중단">
      <formula>NOT(ISERROR(SEARCH("중단",G8)))</formula>
    </cfRule>
  </conditionalFormatting>
  <conditionalFormatting sqref="G8:G20">
    <cfRule type="containsText" dxfId="907" priority="72" operator="containsText" text="진행중">
      <formula>NOT(ISERROR(SEARCH("진행중",G8)))</formula>
    </cfRule>
  </conditionalFormatting>
  <conditionalFormatting sqref="H8:H20">
    <cfRule type="containsText" dxfId="906" priority="70" operator="containsText" text="완료">
      <formula>NOT(ISERROR(SEARCH("완료",H8)))</formula>
    </cfRule>
    <cfRule type="containsText" dxfId="905" priority="71" operator="containsText" text="중단">
      <formula>NOT(ISERROR(SEARCH("중단",H8)))</formula>
    </cfRule>
  </conditionalFormatting>
  <conditionalFormatting sqref="H8:H20">
    <cfRule type="containsText" dxfId="904" priority="68" operator="containsText" text="완료">
      <formula>NOT(ISERROR(SEARCH("완료",H8)))</formula>
    </cfRule>
    <cfRule type="containsText" dxfId="903" priority="69" operator="containsText" text="중단">
      <formula>NOT(ISERROR(SEARCH("중단",H8)))</formula>
    </cfRule>
  </conditionalFormatting>
  <conditionalFormatting sqref="H8:H20">
    <cfRule type="containsText" dxfId="902" priority="67" operator="containsText" text="진행중">
      <formula>NOT(ISERROR(SEARCH("진행중",H8)))</formula>
    </cfRule>
  </conditionalFormatting>
  <conditionalFormatting sqref="Q20:Q22">
    <cfRule type="containsText" dxfId="881" priority="45" operator="containsText" text="완료">
      <formula>NOT(ISERROR(SEARCH("완료",Q20)))</formula>
    </cfRule>
    <cfRule type="containsText" dxfId="880" priority="46" operator="containsText" text="중단">
      <formula>NOT(ISERROR(SEARCH("중단",Q20)))</formula>
    </cfRule>
  </conditionalFormatting>
  <conditionalFormatting sqref="Q20:Q22">
    <cfRule type="containsText" dxfId="879" priority="43" operator="containsText" text="완료">
      <formula>NOT(ISERROR(SEARCH("완료",Q20)))</formula>
    </cfRule>
    <cfRule type="containsText" dxfId="878" priority="44" operator="containsText" text="중단">
      <formula>NOT(ISERROR(SEARCH("중단",Q20)))</formula>
    </cfRule>
  </conditionalFormatting>
  <conditionalFormatting sqref="Q20:Q22">
    <cfRule type="containsText" dxfId="877" priority="42" operator="containsText" text="진행중">
      <formula>NOT(ISERROR(SEARCH("진행중",Q20)))</formula>
    </cfRule>
  </conditionalFormatting>
  <conditionalFormatting sqref="R20:R22">
    <cfRule type="containsText" dxfId="876" priority="40" operator="containsText" text="완료">
      <formula>NOT(ISERROR(SEARCH("완료",R20)))</formula>
    </cfRule>
    <cfRule type="containsText" dxfId="875" priority="41" operator="containsText" text="중단">
      <formula>NOT(ISERROR(SEARCH("중단",R20)))</formula>
    </cfRule>
  </conditionalFormatting>
  <conditionalFormatting sqref="R20:R22">
    <cfRule type="containsText" dxfId="874" priority="38" operator="containsText" text="완료">
      <formula>NOT(ISERROR(SEARCH("완료",R20)))</formula>
    </cfRule>
    <cfRule type="containsText" dxfId="873" priority="39" operator="containsText" text="중단">
      <formula>NOT(ISERROR(SEARCH("중단",R20)))</formula>
    </cfRule>
  </conditionalFormatting>
  <conditionalFormatting sqref="R20:R22">
    <cfRule type="containsText" dxfId="872" priority="37" operator="containsText" text="진행중">
      <formula>NOT(ISERROR(SEARCH("진행중",R20)))</formula>
    </cfRule>
  </conditionalFormatting>
  <conditionalFormatting sqref="S20:S22">
    <cfRule type="containsText" dxfId="871" priority="35" operator="containsText" text="완료">
      <formula>NOT(ISERROR(SEARCH("완료",S20)))</formula>
    </cfRule>
    <cfRule type="containsText" dxfId="870" priority="36" operator="containsText" text="중단">
      <formula>NOT(ISERROR(SEARCH("중단",S20)))</formula>
    </cfRule>
  </conditionalFormatting>
  <conditionalFormatting sqref="S20:S22">
    <cfRule type="containsText" dxfId="869" priority="33" operator="containsText" text="완료">
      <formula>NOT(ISERROR(SEARCH("완료",S20)))</formula>
    </cfRule>
    <cfRule type="containsText" dxfId="868" priority="34" operator="containsText" text="중단">
      <formula>NOT(ISERROR(SEARCH("중단",S20)))</formula>
    </cfRule>
  </conditionalFormatting>
  <conditionalFormatting sqref="S20:S22">
    <cfRule type="containsText" dxfId="867" priority="32" operator="containsText" text="진행중">
      <formula>NOT(ISERROR(SEARCH("진행중",S20)))</formula>
    </cfRule>
  </conditionalFormatting>
  <conditionalFormatting sqref="T20:T22">
    <cfRule type="containsText" dxfId="866" priority="30" operator="containsText" text="완료">
      <formula>NOT(ISERROR(SEARCH("완료",T20)))</formula>
    </cfRule>
    <cfRule type="containsText" dxfId="865" priority="31" operator="containsText" text="중단">
      <formula>NOT(ISERROR(SEARCH("중단",T20)))</formula>
    </cfRule>
  </conditionalFormatting>
  <conditionalFormatting sqref="T20:T22">
    <cfRule type="containsText" dxfId="864" priority="28" operator="containsText" text="완료">
      <formula>NOT(ISERROR(SEARCH("완료",T20)))</formula>
    </cfRule>
    <cfRule type="containsText" dxfId="863" priority="29" operator="containsText" text="중단">
      <formula>NOT(ISERROR(SEARCH("중단",T20)))</formula>
    </cfRule>
  </conditionalFormatting>
  <conditionalFormatting sqref="T20:T22">
    <cfRule type="containsText" dxfId="862" priority="27" operator="containsText" text="진행중">
      <formula>NOT(ISERROR(SEARCH("진행중",T20)))</formula>
    </cfRule>
  </conditionalFormatting>
  <conditionalFormatting sqref="U20:AC22">
    <cfRule type="containsText" dxfId="856" priority="20" operator="containsText" text="완료">
      <formula>NOT(ISERROR(SEARCH("완료",U20)))</formula>
    </cfRule>
    <cfRule type="containsText" dxfId="855" priority="21" operator="containsText" text="중단">
      <formula>NOT(ISERROR(SEARCH("중단",U20)))</formula>
    </cfRule>
  </conditionalFormatting>
  <conditionalFormatting sqref="U20:AC22">
    <cfRule type="containsText" dxfId="854" priority="18" operator="containsText" text="완료">
      <formula>NOT(ISERROR(SEARCH("완료",U20)))</formula>
    </cfRule>
    <cfRule type="containsText" dxfId="853" priority="19" operator="containsText" text="중단">
      <formula>NOT(ISERROR(SEARCH("중단",U20)))</formula>
    </cfRule>
  </conditionalFormatting>
  <conditionalFormatting sqref="U20:AC22">
    <cfRule type="containsText" dxfId="852" priority="17" operator="containsText" text="진행중">
      <formula>NOT(ISERROR(SEARCH("진행중",U20)))</formula>
    </cfRule>
  </conditionalFormatting>
  <conditionalFormatting sqref="AD20:AD22">
    <cfRule type="containsText" dxfId="851" priority="15" operator="containsText" text="완료">
      <formula>NOT(ISERROR(SEARCH("완료",AD20)))</formula>
    </cfRule>
    <cfRule type="containsText" dxfId="850" priority="16" operator="containsText" text="중단">
      <formula>NOT(ISERROR(SEARCH("중단",AD20)))</formula>
    </cfRule>
  </conditionalFormatting>
  <conditionalFormatting sqref="AD20:AD22">
    <cfRule type="containsText" dxfId="849" priority="13" operator="containsText" text="완료">
      <formula>NOT(ISERROR(SEARCH("완료",AD20)))</formula>
    </cfRule>
    <cfRule type="containsText" dxfId="848" priority="14" operator="containsText" text="중단">
      <formula>NOT(ISERROR(SEARCH("중단",AD20)))</formula>
    </cfRule>
  </conditionalFormatting>
  <conditionalFormatting sqref="AD20:AD22">
    <cfRule type="containsText" dxfId="847" priority="12" operator="containsText" text="진행중">
      <formula>NOT(ISERROR(SEARCH("진행중",AD20)))</formula>
    </cfRule>
  </conditionalFormatting>
  <conditionalFormatting sqref="AE20:AE22">
    <cfRule type="containsText" dxfId="846" priority="10" operator="containsText" text="완료">
      <formula>NOT(ISERROR(SEARCH("완료",AE20)))</formula>
    </cfRule>
    <cfRule type="containsText" dxfId="845" priority="11" operator="containsText" text="중단">
      <formula>NOT(ISERROR(SEARCH("중단",AE20)))</formula>
    </cfRule>
  </conditionalFormatting>
  <conditionalFormatting sqref="AE20:AE22">
    <cfRule type="containsText" dxfId="844" priority="8" operator="containsText" text="완료">
      <formula>NOT(ISERROR(SEARCH("완료",AE20)))</formula>
    </cfRule>
    <cfRule type="containsText" dxfId="843" priority="9" operator="containsText" text="중단">
      <formula>NOT(ISERROR(SEARCH("중단",AE20)))</formula>
    </cfRule>
  </conditionalFormatting>
  <conditionalFormatting sqref="AE20:AE22">
    <cfRule type="containsText" dxfId="842" priority="7" operator="containsText" text="진행중">
      <formula>NOT(ISERROR(SEARCH("진행중",AE20)))</formula>
    </cfRule>
  </conditionalFormatting>
  <conditionalFormatting sqref="D7">
    <cfRule type="containsText" dxfId="841" priority="5" operator="containsText" text="완료">
      <formula>NOT(ISERROR(SEARCH("완료",D7)))</formula>
    </cfRule>
    <cfRule type="containsText" dxfId="840" priority="6" operator="containsText" text="중단">
      <formula>NOT(ISERROR(SEARCH("중단",D7)))</formula>
    </cfRule>
  </conditionalFormatting>
  <conditionalFormatting sqref="D7">
    <cfRule type="containsText" dxfId="839" priority="3" operator="containsText" text="완료">
      <formula>NOT(ISERROR(SEARCH("완료",D7)))</formula>
    </cfRule>
    <cfRule type="containsText" dxfId="838" priority="4" operator="containsText" text="중단">
      <formula>NOT(ISERROR(SEARCH("중단",D7)))</formula>
    </cfRule>
  </conditionalFormatting>
  <conditionalFormatting sqref="D7">
    <cfRule type="containsText" dxfId="837" priority="2" operator="containsText" text="진행중">
      <formula>NOT(ISERROR(SEARCH("진행중",D7)))</formula>
    </cfRule>
  </conditionalFormatting>
  <conditionalFormatting sqref="A1:AG23">
    <cfRule type="containsText" dxfId="3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499984740745262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E22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85" t="s">
        <v>40</v>
      </c>
      <c r="G8" s="87" t="str">
        <f>IF(NOT(LEN($I8)=0),G7,"")</f>
        <v>-</v>
      </c>
      <c r="H8" s="87" t="str">
        <f>IF(NOT(LEN($I8)=0),H7,"")</f>
        <v>-</v>
      </c>
      <c r="I8" s="85" t="s">
        <v>40</v>
      </c>
      <c r="J8" s="1"/>
      <c r="K8" s="87" t="str">
        <f t="shared" ref="K8:K17" si="5">IF(NOT(LEN($I8)=0),K7,"")</f>
        <v>VITA</v>
      </c>
      <c r="L8" s="87" t="str">
        <f t="shared" ref="L8:L17" si="6">IF(NOT(LEN($I8)=0),L7,"")</f>
        <v>MARK II</v>
      </c>
      <c r="M8" s="87">
        <f t="shared" ref="M8:M17" si="7">IF(NOT(LEN($I8)=0),M7,"")</f>
        <v>160</v>
      </c>
      <c r="N8" s="87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85" t="s">
        <v>40</v>
      </c>
      <c r="G9" s="87" t="str">
        <f t="shared" ref="G9:G19" si="9">IF(NOT(LEN($I9)=0),G8,"")</f>
        <v>-</v>
      </c>
      <c r="H9" s="87" t="str">
        <f t="shared" ref="H9:H19" si="10">IF(NOT(LEN($I9)=0),H8,"")</f>
        <v>-</v>
      </c>
      <c r="I9" s="85" t="s">
        <v>40</v>
      </c>
      <c r="J9" s="1"/>
      <c r="K9" s="87" t="str">
        <f t="shared" si="5"/>
        <v>VITA</v>
      </c>
      <c r="L9" s="87" t="str">
        <f t="shared" si="6"/>
        <v>MARK II</v>
      </c>
      <c r="M9" s="87">
        <f t="shared" ref="M9:M18" si="11">IF(NOT(LEN($I9)=0),M8,"")</f>
        <v>160</v>
      </c>
      <c r="N9" s="87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85" t="s">
        <v>40</v>
      </c>
      <c r="G10" s="87" t="str">
        <f t="shared" si="9"/>
        <v>-</v>
      </c>
      <c r="H10" s="87" t="str">
        <f t="shared" si="10"/>
        <v>-</v>
      </c>
      <c r="I10" s="85" t="s">
        <v>40</v>
      </c>
      <c r="J10" s="1"/>
      <c r="K10" s="87" t="str">
        <f t="shared" si="5"/>
        <v>VITA</v>
      </c>
      <c r="L10" s="87" t="str">
        <f t="shared" si="6"/>
        <v>MARK II</v>
      </c>
      <c r="M10" s="87">
        <f t="shared" si="11"/>
        <v>160</v>
      </c>
      <c r="N10" s="87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85" t="s">
        <v>40</v>
      </c>
      <c r="G11" s="87" t="str">
        <f t="shared" si="9"/>
        <v>-</v>
      </c>
      <c r="H11" s="87" t="str">
        <f t="shared" si="10"/>
        <v>-</v>
      </c>
      <c r="I11" s="85" t="s">
        <v>40</v>
      </c>
      <c r="J11" s="1"/>
      <c r="K11" s="87" t="str">
        <f t="shared" si="5"/>
        <v>VITA</v>
      </c>
      <c r="L11" s="87" t="str">
        <f t="shared" si="6"/>
        <v>MARK II</v>
      </c>
      <c r="M11" s="87">
        <f t="shared" si="11"/>
        <v>160</v>
      </c>
      <c r="N11" s="87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84</v>
      </c>
      <c r="V11" s="7" t="s">
        <v>85</v>
      </c>
      <c r="W11" s="7" t="s">
        <v>86</v>
      </c>
      <c r="X11" s="7" t="s">
        <v>87</v>
      </c>
      <c r="Y11" s="7" t="s">
        <v>88</v>
      </c>
      <c r="Z11" s="7" t="s">
        <v>89</v>
      </c>
      <c r="AA11" s="7" t="s">
        <v>90</v>
      </c>
      <c r="AB11" s="7" t="s">
        <v>91</v>
      </c>
      <c r="AC11" s="7" t="s">
        <v>67</v>
      </c>
      <c r="AD11" s="7" t="str">
        <f t="shared" si="4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85" t="s">
        <v>40</v>
      </c>
      <c r="G12" s="87" t="str">
        <f t="shared" si="9"/>
        <v>-</v>
      </c>
      <c r="H12" s="87" t="str">
        <f t="shared" si="10"/>
        <v>-</v>
      </c>
      <c r="I12" s="85" t="s">
        <v>40</v>
      </c>
      <c r="J12" s="1"/>
      <c r="K12" s="87" t="str">
        <f t="shared" si="5"/>
        <v>VITA</v>
      </c>
      <c r="L12" s="87" t="str">
        <f t="shared" si="6"/>
        <v>MARK II</v>
      </c>
      <c r="M12" s="87">
        <f t="shared" si="11"/>
        <v>160</v>
      </c>
      <c r="N12" s="87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T22" si="13">IF(MOD($B12,5)=0, "스핀들유격: ","-" 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ref="U12:AB22" si="14">IF(MOD($B12,5)=0, "000-000","-" )</f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86">
        <v>0</v>
      </c>
      <c r="G13" s="86" t="str">
        <f t="shared" si="9"/>
        <v>-</v>
      </c>
      <c r="H13" s="86" t="str">
        <f t="shared" si="10"/>
        <v>-</v>
      </c>
      <c r="I13" s="86">
        <v>0</v>
      </c>
      <c r="J13" s="1"/>
      <c r="K13" s="87" t="str">
        <f t="shared" si="5"/>
        <v>VITA</v>
      </c>
      <c r="L13" s="87" t="str">
        <f t="shared" si="6"/>
        <v>MARK II</v>
      </c>
      <c r="M13" s="87">
        <f t="shared" si="11"/>
        <v>160</v>
      </c>
      <c r="N13" s="87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9"/>
        <v>-</v>
      </c>
      <c r="H14" s="86" t="str">
        <f t="shared" si="10"/>
        <v>-</v>
      </c>
      <c r="I14" s="86">
        <f>IF(NOT(LEN($A14)=0),IF(I13+1&gt;15,"버교체요망",I13+1),"")</f>
        <v>1</v>
      </c>
      <c r="J14" s="1"/>
      <c r="K14" s="87" t="str">
        <f t="shared" si="5"/>
        <v>VITA</v>
      </c>
      <c r="L14" s="87" t="str">
        <f t="shared" si="6"/>
        <v>MARK II</v>
      </c>
      <c r="M14" s="87">
        <f t="shared" si="11"/>
        <v>160</v>
      </c>
      <c r="N14" s="87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86">
        <f t="shared" ref="F15:F22" si="15">IF(NOT(LEN($A15)=0),IF(F14+1&gt;15,"버교체요망",F14+1),"")</f>
        <v>2</v>
      </c>
      <c r="G15" s="86" t="str">
        <f t="shared" si="9"/>
        <v>-</v>
      </c>
      <c r="H15" s="86" t="str">
        <f t="shared" si="10"/>
        <v>-</v>
      </c>
      <c r="I15" s="86">
        <f t="shared" ref="I15:I22" si="16">IF(NOT(LEN($A15)=0),IF(I14+1&gt;15,"버교체요망",I14+1),"")</f>
        <v>2</v>
      </c>
      <c r="J15" s="1"/>
      <c r="K15" s="87" t="str">
        <f t="shared" si="5"/>
        <v>VITA</v>
      </c>
      <c r="L15" s="87" t="str">
        <f t="shared" si="6"/>
        <v>MARK II</v>
      </c>
      <c r="M15" s="87">
        <f t="shared" si="11"/>
        <v>160</v>
      </c>
      <c r="N15" s="87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86">
        <f t="shared" si="15"/>
        <v>3</v>
      </c>
      <c r="G16" s="86" t="str">
        <f t="shared" si="9"/>
        <v>-</v>
      </c>
      <c r="H16" s="86" t="str">
        <f t="shared" si="10"/>
        <v>-</v>
      </c>
      <c r="I16" s="86">
        <f t="shared" si="16"/>
        <v>3</v>
      </c>
      <c r="J16" s="1"/>
      <c r="K16" s="87" t="str">
        <f t="shared" si="5"/>
        <v>VITA</v>
      </c>
      <c r="L16" s="87" t="str">
        <f t="shared" si="6"/>
        <v>MARK II</v>
      </c>
      <c r="M16" s="87">
        <f t="shared" si="11"/>
        <v>160</v>
      </c>
      <c r="N16" s="87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ref="Q16:AC21" si="17">IFERROR(IF(MOD($B16,5)=0, "스핀들유격: ","-" ),"-")</f>
        <v xml:space="preserve">스핀들유격: </v>
      </c>
      <c r="R16" s="7" t="str">
        <f t="shared" si="17"/>
        <v xml:space="preserve">스핀들유격: </v>
      </c>
      <c r="S16" s="7" t="str">
        <f t="shared" si="17"/>
        <v xml:space="preserve">스핀들유격: </v>
      </c>
      <c r="T16" s="7" t="str">
        <f t="shared" si="17"/>
        <v xml:space="preserve">스핀들유격: </v>
      </c>
      <c r="U16" s="7" t="str">
        <f t="shared" si="17"/>
        <v xml:space="preserve">스핀들유격: </v>
      </c>
      <c r="V16" s="7" t="str">
        <f t="shared" si="17"/>
        <v xml:space="preserve">스핀들유격: </v>
      </c>
      <c r="W16" s="7" t="str">
        <f t="shared" si="17"/>
        <v xml:space="preserve">스핀들유격: </v>
      </c>
      <c r="X16" s="7" t="str">
        <f t="shared" si="17"/>
        <v xml:space="preserve">스핀들유격: </v>
      </c>
      <c r="Y16" s="7" t="str">
        <f t="shared" si="17"/>
        <v xml:space="preserve">스핀들유격: </v>
      </c>
      <c r="Z16" s="7" t="str">
        <f t="shared" si="17"/>
        <v xml:space="preserve">스핀들유격: </v>
      </c>
      <c r="AA16" s="7" t="str">
        <f t="shared" si="17"/>
        <v xml:space="preserve">스핀들유격: </v>
      </c>
      <c r="AB16" s="7" t="str">
        <f t="shared" si="17"/>
        <v xml:space="preserve">스핀들유격: </v>
      </c>
      <c r="AC16" s="7" t="str">
        <f t="shared" si="17"/>
        <v xml:space="preserve">스핀들유격: </v>
      </c>
      <c r="AD16" s="7" t="str">
        <f t="shared" si="4"/>
        <v>-</v>
      </c>
      <c r="AE16" s="7" t="str">
        <f t="shared" ref="AE16:AE22" si="18">IF($B16="","-",
  IFERROR(
    IF(AND($B16&lt;&gt;0, MOD($B16,160)=0),
       "TENSION (XL : / ZL : / XR : / ZR : / Y : )" &amp; CHAR(10) &amp; "필터교체",
       "-"
    ),
    "-"
  )
)</f>
        <v>-</v>
      </c>
      <c r="AF16" s="83" t="s">
        <v>115</v>
      </c>
      <c r="AG16" s="2"/>
    </row>
    <row r="17" spans="1:33" x14ac:dyDescent="0.45">
      <c r="A17" s="3">
        <v>45973</v>
      </c>
      <c r="B17" s="24">
        <f t="shared" si="8"/>
        <v>11</v>
      </c>
      <c r="C17" s="7" t="str">
        <f t="shared" ref="C17:C22" si="19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86">
        <f t="shared" si="15"/>
        <v>4</v>
      </c>
      <c r="G17" s="86" t="str">
        <f t="shared" si="9"/>
        <v>-</v>
      </c>
      <c r="H17" s="86" t="str">
        <f t="shared" si="10"/>
        <v>-</v>
      </c>
      <c r="I17" s="86">
        <f t="shared" si="16"/>
        <v>4</v>
      </c>
      <c r="J17" s="1"/>
      <c r="K17" s="87" t="str">
        <f t="shared" si="5"/>
        <v>VITA</v>
      </c>
      <c r="L17" s="87" t="str">
        <f t="shared" si="6"/>
        <v>MARK II</v>
      </c>
      <c r="M17" s="87">
        <f t="shared" si="11"/>
        <v>160</v>
      </c>
      <c r="N17" s="87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7"/>
        <v>-</v>
      </c>
      <c r="R17" s="7" t="str">
        <f t="shared" si="17"/>
        <v>-</v>
      </c>
      <c r="S17" s="7" t="str">
        <f t="shared" si="17"/>
        <v>-</v>
      </c>
      <c r="T17" s="7" t="str">
        <f t="shared" si="17"/>
        <v>-</v>
      </c>
      <c r="U17" s="7" t="str">
        <f t="shared" si="17"/>
        <v>-</v>
      </c>
      <c r="V17" s="7" t="str">
        <f t="shared" si="17"/>
        <v>-</v>
      </c>
      <c r="W17" s="7" t="str">
        <f t="shared" si="17"/>
        <v>-</v>
      </c>
      <c r="X17" s="7" t="str">
        <f t="shared" si="17"/>
        <v>-</v>
      </c>
      <c r="Y17" s="7" t="str">
        <f t="shared" si="17"/>
        <v>-</v>
      </c>
      <c r="Z17" s="7" t="str">
        <f t="shared" si="17"/>
        <v>-</v>
      </c>
      <c r="AA17" s="7" t="str">
        <f t="shared" si="17"/>
        <v>-</v>
      </c>
      <c r="AB17" s="7" t="str">
        <f t="shared" si="17"/>
        <v>-</v>
      </c>
      <c r="AC17" s="7" t="str">
        <f t="shared" si="17"/>
        <v>-</v>
      </c>
      <c r="AD17" s="7" t="str">
        <f t="shared" si="4"/>
        <v>-</v>
      </c>
      <c r="AE17" s="7" t="str">
        <f t="shared" si="18"/>
        <v>-</v>
      </c>
      <c r="AF17" s="84" t="s">
        <v>127</v>
      </c>
      <c r="AG17" s="2"/>
    </row>
    <row r="18" spans="1:33" x14ac:dyDescent="0.45">
      <c r="A18" s="3">
        <v>45973</v>
      </c>
      <c r="B18" s="24">
        <f t="shared" si="8"/>
        <v>12</v>
      </c>
      <c r="C18" s="7" t="str">
        <f t="shared" si="19"/>
        <v>Dimensions: L W H</v>
      </c>
      <c r="D18" s="6" t="str">
        <f t="shared" si="1"/>
        <v>완료</v>
      </c>
      <c r="E18" s="24">
        <v>21</v>
      </c>
      <c r="F18" s="86">
        <f t="shared" si="15"/>
        <v>5</v>
      </c>
      <c r="G18" s="86" t="str">
        <f t="shared" si="9"/>
        <v>-</v>
      </c>
      <c r="H18" s="86" t="str">
        <f t="shared" si="10"/>
        <v>-</v>
      </c>
      <c r="I18" s="86">
        <f t="shared" si="16"/>
        <v>5</v>
      </c>
      <c r="J18" s="1"/>
      <c r="K18" s="87" t="str">
        <f>IF(NOT(LEN($I18)=0),K17,"")</f>
        <v>VITA</v>
      </c>
      <c r="L18" s="87" t="str">
        <f>IF(NOT(LEN($I18)=0),L17,"")</f>
        <v>MARK II</v>
      </c>
      <c r="M18" s="87">
        <f t="shared" si="11"/>
        <v>160</v>
      </c>
      <c r="N18" s="87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2" si="20">IF(MOD($B18,5)=0, "스핀들유격: ","-" )</f>
        <v>-</v>
      </c>
      <c r="R18" s="7" t="str">
        <f t="shared" si="20"/>
        <v>-</v>
      </c>
      <c r="S18" s="7" t="str">
        <f t="shared" si="20"/>
        <v>-</v>
      </c>
      <c r="T18" s="7" t="str">
        <f t="shared" si="20"/>
        <v>-</v>
      </c>
      <c r="U18" s="7" t="str">
        <f t="shared" ref="U18:AB22" si="21">IF(MOD($B18,5)=0, "000-000","-" )</f>
        <v>-</v>
      </c>
      <c r="V18" s="7" t="str">
        <f t="shared" si="21"/>
        <v>-</v>
      </c>
      <c r="W18" s="7" t="str">
        <f t="shared" si="21"/>
        <v>-</v>
      </c>
      <c r="X18" s="7" t="str">
        <f t="shared" si="21"/>
        <v>-</v>
      </c>
      <c r="Y18" s="7" t="str">
        <f t="shared" si="21"/>
        <v>-</v>
      </c>
      <c r="Z18" s="7" t="str">
        <f t="shared" si="21"/>
        <v>-</v>
      </c>
      <c r="AA18" s="7" t="str">
        <f t="shared" si="21"/>
        <v>-</v>
      </c>
      <c r="AB18" s="7" t="str">
        <f t="shared" si="21"/>
        <v>-</v>
      </c>
      <c r="AC18" s="7" t="str">
        <f t="shared" ref="AC18:AC22" si="22">IF(MOD($B18,5)=0, "스핀들소음 :","-" )</f>
        <v>-</v>
      </c>
      <c r="AD18" s="7" t="str">
        <f t="shared" si="4"/>
        <v>-</v>
      </c>
      <c r="AE18" s="7" t="str">
        <f t="shared" si="18"/>
        <v>-</v>
      </c>
      <c r="AF18" s="1"/>
      <c r="AG18" s="2"/>
    </row>
    <row r="19" spans="1:33" x14ac:dyDescent="0.45">
      <c r="A19" s="3">
        <v>45973</v>
      </c>
      <c r="B19" s="24">
        <f t="shared" si="8"/>
        <v>13</v>
      </c>
      <c r="C19" s="7" t="str">
        <f t="shared" si="19"/>
        <v>Dimensions: L W H</v>
      </c>
      <c r="D19" s="6" t="s">
        <v>21</v>
      </c>
      <c r="E19" s="85" t="str">
        <f>IF(NOT(LEN(C19)=0),"누락","")</f>
        <v>누락</v>
      </c>
      <c r="F19" s="85">
        <f t="shared" si="15"/>
        <v>6</v>
      </c>
      <c r="G19" s="87" t="str">
        <f t="shared" si="9"/>
        <v>-</v>
      </c>
      <c r="H19" s="87" t="str">
        <f t="shared" si="10"/>
        <v>-</v>
      </c>
      <c r="I19" s="85">
        <f t="shared" si="16"/>
        <v>6</v>
      </c>
      <c r="J19" s="1"/>
      <c r="K19" s="87" t="str">
        <f t="shared" ref="K19:K22" si="23">IF(NOT(LEN($I19)=0),K18,"")</f>
        <v>VITA</v>
      </c>
      <c r="L19" s="87" t="str">
        <f t="shared" ref="L19:L22" si="24">IF(NOT(LEN($I19)=0),L18,"")</f>
        <v>MARK II</v>
      </c>
      <c r="M19" s="87">
        <f t="shared" ref="M19:M22" si="25">IF(NOT(LEN($I19)=0),M18,"")</f>
        <v>160</v>
      </c>
      <c r="N19" s="87" t="str">
        <f t="shared" ref="N19:N22" si="26">IF(NOT(LEN($I19)=0),N18,"")</f>
        <v>-</v>
      </c>
      <c r="O19" s="24">
        <f>IF(LEN(A19)&gt;0, 종합!$C$27, "")</f>
        <v>2.2599999999999998</v>
      </c>
      <c r="P19" s="1"/>
      <c r="Q19" s="7" t="str">
        <f t="shared" si="20"/>
        <v>-</v>
      </c>
      <c r="R19" s="7" t="str">
        <f t="shared" si="20"/>
        <v>-</v>
      </c>
      <c r="S19" s="7" t="str">
        <f t="shared" si="20"/>
        <v>-</v>
      </c>
      <c r="T19" s="7" t="str">
        <f t="shared" si="20"/>
        <v>-</v>
      </c>
      <c r="U19" s="7" t="str">
        <f t="shared" si="21"/>
        <v>-</v>
      </c>
      <c r="V19" s="7" t="str">
        <f t="shared" si="21"/>
        <v>-</v>
      </c>
      <c r="W19" s="7" t="str">
        <f t="shared" si="21"/>
        <v>-</v>
      </c>
      <c r="X19" s="7" t="str">
        <f t="shared" si="21"/>
        <v>-</v>
      </c>
      <c r="Y19" s="7" t="str">
        <f t="shared" si="21"/>
        <v>-</v>
      </c>
      <c r="Z19" s="7" t="str">
        <f t="shared" si="21"/>
        <v>-</v>
      </c>
      <c r="AA19" s="7" t="str">
        <f t="shared" si="21"/>
        <v>-</v>
      </c>
      <c r="AB19" s="7" t="str">
        <f t="shared" si="21"/>
        <v>-</v>
      </c>
      <c r="AC19" s="7" t="str">
        <f t="shared" si="22"/>
        <v>-</v>
      </c>
      <c r="AD19" s="7" t="str">
        <f t="shared" si="4"/>
        <v>-</v>
      </c>
      <c r="AE19" s="7" t="str">
        <f t="shared" si="18"/>
        <v>-</v>
      </c>
      <c r="AF19" s="1"/>
      <c r="AG19" s="2"/>
    </row>
    <row r="20" spans="1:33" x14ac:dyDescent="0.45">
      <c r="A20" s="23"/>
      <c r="B20" s="24" t="str">
        <f t="shared" si="8"/>
        <v/>
      </c>
      <c r="C20" s="7" t="str">
        <f t="shared" si="19"/>
        <v/>
      </c>
      <c r="D20" s="6" t="str">
        <f t="shared" ref="D20:D22" si="27">IF(NOT(LEN(B20)=0),"진행중","")</f>
        <v/>
      </c>
      <c r="E20" s="85" t="str">
        <f>IF(NOT(LEN($A20)=0),"누락","")</f>
        <v/>
      </c>
      <c r="F20" s="85" t="str">
        <f t="shared" si="15"/>
        <v/>
      </c>
      <c r="G20" s="91"/>
      <c r="H20" s="91"/>
      <c r="I20" s="85" t="str">
        <f t="shared" si="16"/>
        <v/>
      </c>
      <c r="J20" s="1"/>
      <c r="K20" s="87" t="str">
        <f t="shared" si="23"/>
        <v/>
      </c>
      <c r="L20" s="87" t="str">
        <f t="shared" si="24"/>
        <v/>
      </c>
      <c r="M20" s="87" t="str">
        <f t="shared" si="25"/>
        <v/>
      </c>
      <c r="N20" s="87" t="str">
        <f t="shared" si="26"/>
        <v/>
      </c>
      <c r="O20" s="24" t="str">
        <f>IF(LEN(A20)&gt;0, 종합!$C$27, "")</f>
        <v/>
      </c>
      <c r="P20" s="1"/>
      <c r="Q20" s="85" t="str">
        <f t="shared" ref="Q20:AE22" si="28">IF(NOT(LEN($A20)=0),"누락","")</f>
        <v/>
      </c>
      <c r="R20" s="85" t="str">
        <f t="shared" si="28"/>
        <v/>
      </c>
      <c r="S20" s="85" t="str">
        <f t="shared" si="28"/>
        <v/>
      </c>
      <c r="T20" s="85" t="str">
        <f t="shared" si="28"/>
        <v/>
      </c>
      <c r="U20" s="85" t="str">
        <f t="shared" si="28"/>
        <v/>
      </c>
      <c r="V20" s="85" t="str">
        <f t="shared" si="28"/>
        <v/>
      </c>
      <c r="W20" s="85" t="str">
        <f t="shared" si="28"/>
        <v/>
      </c>
      <c r="X20" s="85" t="str">
        <f t="shared" si="28"/>
        <v/>
      </c>
      <c r="Y20" s="85" t="str">
        <f t="shared" si="28"/>
        <v/>
      </c>
      <c r="Z20" s="85" t="str">
        <f t="shared" si="28"/>
        <v/>
      </c>
      <c r="AA20" s="85" t="str">
        <f t="shared" si="28"/>
        <v/>
      </c>
      <c r="AB20" s="85" t="str">
        <f t="shared" si="28"/>
        <v/>
      </c>
      <c r="AC20" s="85" t="str">
        <f t="shared" si="28"/>
        <v/>
      </c>
      <c r="AD20" s="85" t="str">
        <f t="shared" si="28"/>
        <v/>
      </c>
      <c r="AE20" s="85" t="str">
        <f t="shared" si="28"/>
        <v/>
      </c>
      <c r="AF20" s="1"/>
      <c r="AG20" s="2"/>
    </row>
    <row r="21" spans="1:33" x14ac:dyDescent="0.45">
      <c r="B21" s="24" t="str">
        <f t="shared" si="8"/>
        <v/>
      </c>
      <c r="C21" s="7" t="str">
        <f t="shared" si="19"/>
        <v/>
      </c>
      <c r="D21" s="6" t="str">
        <f t="shared" si="27"/>
        <v/>
      </c>
      <c r="E21" s="85" t="str">
        <f t="shared" ref="E21:E22" si="29">IF(NOT(LEN($A21)=0),"누락","")</f>
        <v/>
      </c>
      <c r="F21" s="85" t="str">
        <f t="shared" si="15"/>
        <v/>
      </c>
      <c r="G21" s="90"/>
      <c r="H21" s="90"/>
      <c r="I21" s="85" t="str">
        <f t="shared" si="16"/>
        <v/>
      </c>
      <c r="K21" s="87" t="str">
        <f t="shared" si="23"/>
        <v/>
      </c>
      <c r="L21" s="87" t="str">
        <f t="shared" si="24"/>
        <v/>
      </c>
      <c r="M21" s="87" t="str">
        <f t="shared" si="25"/>
        <v/>
      </c>
      <c r="N21" s="87" t="str">
        <f t="shared" si="26"/>
        <v/>
      </c>
      <c r="O21" s="24" t="str">
        <f>IF(LEN(A21)&gt;0, 종합!$C$27, "")</f>
        <v/>
      </c>
      <c r="Q21" s="85" t="str">
        <f t="shared" si="28"/>
        <v/>
      </c>
      <c r="R21" s="85" t="str">
        <f t="shared" si="28"/>
        <v/>
      </c>
      <c r="S21" s="85" t="str">
        <f t="shared" si="28"/>
        <v/>
      </c>
      <c r="T21" s="85" t="str">
        <f t="shared" si="28"/>
        <v/>
      </c>
      <c r="U21" s="85" t="str">
        <f t="shared" si="28"/>
        <v/>
      </c>
      <c r="V21" s="85" t="str">
        <f t="shared" si="28"/>
        <v/>
      </c>
      <c r="W21" s="85" t="str">
        <f t="shared" si="28"/>
        <v/>
      </c>
      <c r="X21" s="85" t="str">
        <f t="shared" si="28"/>
        <v/>
      </c>
      <c r="Y21" s="85" t="str">
        <f t="shared" si="28"/>
        <v/>
      </c>
      <c r="Z21" s="85" t="str">
        <f t="shared" si="28"/>
        <v/>
      </c>
      <c r="AA21" s="85" t="str">
        <f t="shared" si="28"/>
        <v/>
      </c>
      <c r="AB21" s="85" t="str">
        <f t="shared" si="28"/>
        <v/>
      </c>
      <c r="AC21" s="85" t="str">
        <f t="shared" si="28"/>
        <v/>
      </c>
      <c r="AD21" s="85" t="str">
        <f t="shared" si="28"/>
        <v/>
      </c>
      <c r="AE21" s="85" t="str">
        <f t="shared" si="28"/>
        <v/>
      </c>
      <c r="AF21" s="1"/>
    </row>
    <row r="22" spans="1:33" x14ac:dyDescent="0.45">
      <c r="B22" s="24" t="str">
        <f t="shared" si="8"/>
        <v/>
      </c>
      <c r="C22" s="7" t="str">
        <f t="shared" si="19"/>
        <v/>
      </c>
      <c r="D22" s="6" t="str">
        <f t="shared" si="27"/>
        <v/>
      </c>
      <c r="E22" s="85" t="str">
        <f t="shared" si="29"/>
        <v/>
      </c>
      <c r="F22" s="85" t="str">
        <f t="shared" si="15"/>
        <v/>
      </c>
      <c r="G22" s="90"/>
      <c r="H22" s="90"/>
      <c r="I22" s="85" t="str">
        <f t="shared" si="16"/>
        <v/>
      </c>
      <c r="K22" s="87" t="str">
        <f t="shared" si="23"/>
        <v/>
      </c>
      <c r="L22" s="87" t="str">
        <f t="shared" si="24"/>
        <v/>
      </c>
      <c r="M22" s="87" t="str">
        <f t="shared" si="25"/>
        <v/>
      </c>
      <c r="N22" s="87" t="str">
        <f t="shared" si="26"/>
        <v/>
      </c>
      <c r="O22" s="24" t="str">
        <f>IF(LEN(A22)&gt;0, 종합!$C$27, "")</f>
        <v/>
      </c>
      <c r="Q22" s="85" t="str">
        <f t="shared" si="28"/>
        <v/>
      </c>
      <c r="R22" s="85" t="str">
        <f t="shared" si="28"/>
        <v/>
      </c>
      <c r="S22" s="85" t="str">
        <f t="shared" si="28"/>
        <v/>
      </c>
      <c r="T22" s="85" t="str">
        <f t="shared" si="28"/>
        <v/>
      </c>
      <c r="U22" s="85" t="str">
        <f t="shared" si="28"/>
        <v/>
      </c>
      <c r="V22" s="85" t="str">
        <f t="shared" si="28"/>
        <v/>
      </c>
      <c r="W22" s="85" t="str">
        <f t="shared" si="28"/>
        <v/>
      </c>
      <c r="X22" s="85" t="str">
        <f t="shared" si="28"/>
        <v/>
      </c>
      <c r="Y22" s="85" t="str">
        <f t="shared" si="28"/>
        <v/>
      </c>
      <c r="Z22" s="85" t="str">
        <f t="shared" si="28"/>
        <v/>
      </c>
      <c r="AA22" s="85" t="str">
        <f t="shared" si="28"/>
        <v/>
      </c>
      <c r="AB22" s="85" t="str">
        <f t="shared" si="28"/>
        <v/>
      </c>
      <c r="AC22" s="85" t="str">
        <f t="shared" si="28"/>
        <v/>
      </c>
      <c r="AD22" s="85" t="str">
        <f t="shared" si="28"/>
        <v/>
      </c>
      <c r="AE22" s="85" t="str">
        <f t="shared" si="28"/>
        <v/>
      </c>
      <c r="AF22" s="1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836" priority="293" operator="containsText" text="신품">
      <formula>NOT(ISERROR(SEARCH("신품",F7)))</formula>
    </cfRule>
    <cfRule type="containsText" dxfId="835" priority="294" operator="containsText" text="중고">
      <formula>NOT(ISERROR(SEARCH("중고",F7)))</formula>
    </cfRule>
  </conditionalFormatting>
  <conditionalFormatting sqref="I7:I9">
    <cfRule type="containsText" dxfId="834" priority="291" operator="containsText" text="신품">
      <formula>NOT(ISERROR(SEARCH("신품",I7)))</formula>
    </cfRule>
    <cfRule type="containsText" dxfId="833" priority="292" operator="containsText" text="중고">
      <formula>NOT(ISERROR(SEARCH("중고",I7)))</formula>
    </cfRule>
  </conditionalFormatting>
  <conditionalFormatting sqref="F10">
    <cfRule type="containsText" dxfId="832" priority="287" operator="containsText" text="신품">
      <formula>NOT(ISERROR(SEARCH("신품",F10)))</formula>
    </cfRule>
    <cfRule type="containsText" dxfId="831" priority="288" operator="containsText" text="중고">
      <formula>NOT(ISERROR(SEARCH("중고",F10)))</formula>
    </cfRule>
  </conditionalFormatting>
  <conditionalFormatting sqref="I10">
    <cfRule type="containsText" dxfId="830" priority="285" operator="containsText" text="신품">
      <formula>NOT(ISERROR(SEARCH("신품",I10)))</formula>
    </cfRule>
    <cfRule type="containsText" dxfId="829" priority="286" operator="containsText" text="중고">
      <formula>NOT(ISERROR(SEARCH("중고",I10)))</formula>
    </cfRule>
  </conditionalFormatting>
  <conditionalFormatting sqref="F11">
    <cfRule type="containsText" dxfId="828" priority="281" operator="containsText" text="신품">
      <formula>NOT(ISERROR(SEARCH("신품",F11)))</formula>
    </cfRule>
    <cfRule type="containsText" dxfId="827" priority="282" operator="containsText" text="중고">
      <formula>NOT(ISERROR(SEARCH("중고",F11)))</formula>
    </cfRule>
  </conditionalFormatting>
  <conditionalFormatting sqref="I11">
    <cfRule type="containsText" dxfId="826" priority="279" operator="containsText" text="신품">
      <formula>NOT(ISERROR(SEARCH("신품",I11)))</formula>
    </cfRule>
    <cfRule type="containsText" dxfId="825" priority="280" operator="containsText" text="중고">
      <formula>NOT(ISERROR(SEARCH("중고",I11)))</formula>
    </cfRule>
  </conditionalFormatting>
  <conditionalFormatting sqref="H20 F12">
    <cfRule type="containsText" dxfId="824" priority="275" operator="containsText" text="신품">
      <formula>NOT(ISERROR(SEARCH("신품",F12)))</formula>
    </cfRule>
    <cfRule type="containsText" dxfId="823" priority="276" operator="containsText" text="중고">
      <formula>NOT(ISERROR(SEARCH("중고",F12)))</formula>
    </cfRule>
  </conditionalFormatting>
  <conditionalFormatting sqref="I12">
    <cfRule type="containsText" dxfId="822" priority="273" operator="containsText" text="신품">
      <formula>NOT(ISERROR(SEARCH("신품",I12)))</formula>
    </cfRule>
    <cfRule type="containsText" dxfId="821" priority="274" operator="containsText" text="중고">
      <formula>NOT(ISERROR(SEARCH("중고",I12)))</formula>
    </cfRule>
  </conditionalFormatting>
  <conditionalFormatting sqref="D7:D22">
    <cfRule type="containsText" dxfId="816" priority="265" operator="containsText" text="완료">
      <formula>NOT(ISERROR(SEARCH("완료",D7)))</formula>
    </cfRule>
    <cfRule type="containsText" dxfId="815" priority="266" operator="containsText" text="중단">
      <formula>NOT(ISERROR(SEARCH("중단",D7)))</formula>
    </cfRule>
  </conditionalFormatting>
  <conditionalFormatting sqref="D11">
    <cfRule type="containsText" dxfId="814" priority="263" operator="containsText" text="완료">
      <formula>NOT(ISERROR(SEARCH("완료",D11)))</formula>
    </cfRule>
    <cfRule type="containsText" dxfId="813" priority="264" operator="containsText" text="중단">
      <formula>NOT(ISERROR(SEARCH("중단",D11)))</formula>
    </cfRule>
  </conditionalFormatting>
  <conditionalFormatting sqref="D8:D22">
    <cfRule type="containsText" dxfId="812" priority="261" operator="containsText" text="완료">
      <formula>NOT(ISERROR(SEARCH("완료",D8)))</formula>
    </cfRule>
    <cfRule type="containsText" dxfId="811" priority="262" operator="containsText" text="중단">
      <formula>NOT(ISERROR(SEARCH("중단",D8)))</formula>
    </cfRule>
  </conditionalFormatting>
  <conditionalFormatting sqref="D8:D22">
    <cfRule type="containsText" dxfId="810" priority="259" operator="containsText" text="완료">
      <formula>NOT(ISERROR(SEARCH("완료",D8)))</formula>
    </cfRule>
    <cfRule type="containsText" dxfId="809" priority="260" operator="containsText" text="중단">
      <formula>NOT(ISERROR(SEARCH("중단",D8)))</formula>
    </cfRule>
  </conditionalFormatting>
  <conditionalFormatting sqref="D7:D23">
    <cfRule type="containsText" dxfId="808" priority="258" operator="containsText" text="진행중">
      <formula>NOT(ISERROR(SEARCH("진행중",D7)))</formula>
    </cfRule>
  </conditionalFormatting>
  <conditionalFormatting sqref="F14:F22">
    <cfRule type="containsText" dxfId="800" priority="249" operator="containsText" text="완료">
      <formula>NOT(ISERROR(SEARCH("완료",F14)))</formula>
    </cfRule>
    <cfRule type="containsText" dxfId="799" priority="250" operator="containsText" text="중단">
      <formula>NOT(ISERROR(SEARCH("중단",F14)))</formula>
    </cfRule>
  </conditionalFormatting>
  <conditionalFormatting sqref="F14:F22">
    <cfRule type="containsText" dxfId="798" priority="247" operator="containsText" text="완료">
      <formula>NOT(ISERROR(SEARCH("완료",F14)))</formula>
    </cfRule>
    <cfRule type="containsText" dxfId="797" priority="248" operator="containsText" text="중단">
      <formula>NOT(ISERROR(SEARCH("중단",F14)))</formula>
    </cfRule>
  </conditionalFormatting>
  <conditionalFormatting sqref="F14:F22">
    <cfRule type="containsText" dxfId="796" priority="245" operator="containsText" text="완료">
      <formula>NOT(ISERROR(SEARCH("완료",F14)))</formula>
    </cfRule>
    <cfRule type="containsText" dxfId="795" priority="246" operator="containsText" text="중단">
      <formula>NOT(ISERROR(SEARCH("중단",F14)))</formula>
    </cfRule>
  </conditionalFormatting>
  <conditionalFormatting sqref="F14:F22">
    <cfRule type="containsText" dxfId="794" priority="244" operator="containsText" text="진행중">
      <formula>NOT(ISERROR(SEARCH("진행중",F14)))</formula>
    </cfRule>
  </conditionalFormatting>
  <conditionalFormatting sqref="N8:N22">
    <cfRule type="containsText" dxfId="791" priority="123" operator="containsText" text="완료">
      <formula>NOT(ISERROR(SEARCH("완료",N8)))</formula>
    </cfRule>
    <cfRule type="containsText" dxfId="790" priority="124" operator="containsText" text="중단">
      <formula>NOT(ISERROR(SEARCH("중단",N8)))</formula>
    </cfRule>
  </conditionalFormatting>
  <conditionalFormatting sqref="N8:N22">
    <cfRule type="containsText" dxfId="789" priority="121" operator="containsText" text="완료">
      <formula>NOT(ISERROR(SEARCH("완료",N8)))</formula>
    </cfRule>
    <cfRule type="containsText" dxfId="788" priority="122" operator="containsText" text="중단">
      <formula>NOT(ISERROR(SEARCH("중단",N8)))</formula>
    </cfRule>
  </conditionalFormatting>
  <conditionalFormatting sqref="K8:K17">
    <cfRule type="containsText" dxfId="756" priority="95" operator="containsText" text="완료">
      <formula>NOT(ISERROR(SEARCH("완료",K8)))</formula>
    </cfRule>
    <cfRule type="containsText" dxfId="755" priority="96" operator="containsText" text="중단">
      <formula>NOT(ISERROR(SEARCH("중단",K8)))</formula>
    </cfRule>
  </conditionalFormatting>
  <conditionalFormatting sqref="K8:K17">
    <cfRule type="containsText" dxfId="754" priority="93" operator="containsText" text="완료">
      <formula>NOT(ISERROR(SEARCH("완료",K8)))</formula>
    </cfRule>
    <cfRule type="containsText" dxfId="753" priority="94" operator="containsText" text="중단">
      <formula>NOT(ISERROR(SEARCH("중단",K8)))</formula>
    </cfRule>
  </conditionalFormatting>
  <conditionalFormatting sqref="L8:L17">
    <cfRule type="containsText" dxfId="749" priority="88" operator="containsText" text="완료">
      <formula>NOT(ISERROR(SEARCH("완료",L8)))</formula>
    </cfRule>
    <cfRule type="containsText" dxfId="748" priority="89" operator="containsText" text="중단">
      <formula>NOT(ISERROR(SEARCH("중단",L8)))</formula>
    </cfRule>
  </conditionalFormatting>
  <conditionalFormatting sqref="L8:L17">
    <cfRule type="containsText" dxfId="747" priority="86" operator="containsText" text="완료">
      <formula>NOT(ISERROR(SEARCH("완료",L8)))</formula>
    </cfRule>
    <cfRule type="containsText" dxfId="746" priority="87" operator="containsText" text="중단">
      <formula>NOT(ISERROR(SEARCH("중단",L8)))</formula>
    </cfRule>
  </conditionalFormatting>
  <conditionalFormatting sqref="M8:M22">
    <cfRule type="containsText" dxfId="742" priority="81" operator="containsText" text="완료">
      <formula>NOT(ISERROR(SEARCH("완료",M8)))</formula>
    </cfRule>
    <cfRule type="containsText" dxfId="741" priority="82" operator="containsText" text="중단">
      <formula>NOT(ISERROR(SEARCH("중단",M8)))</formula>
    </cfRule>
  </conditionalFormatting>
  <conditionalFormatting sqref="M8:M22">
    <cfRule type="containsText" dxfId="740" priority="79" operator="containsText" text="완료">
      <formula>NOT(ISERROR(SEARCH("완료",M8)))</formula>
    </cfRule>
    <cfRule type="containsText" dxfId="739" priority="80" operator="containsText" text="중단">
      <formula>NOT(ISERROR(SEARCH("중단",M8)))</formula>
    </cfRule>
  </conditionalFormatting>
  <conditionalFormatting sqref="I14:I22">
    <cfRule type="containsText" dxfId="737" priority="186" operator="containsText" text="완료">
      <formula>NOT(ISERROR(SEARCH("완료",I14)))</formula>
    </cfRule>
    <cfRule type="containsText" dxfId="736" priority="187" operator="containsText" text="중단">
      <formula>NOT(ISERROR(SEARCH("중단",I14)))</formula>
    </cfRule>
  </conditionalFormatting>
  <conditionalFormatting sqref="I14:I22">
    <cfRule type="containsText" dxfId="735" priority="184" operator="containsText" text="완료">
      <formula>NOT(ISERROR(SEARCH("완료",I14)))</formula>
    </cfRule>
    <cfRule type="containsText" dxfId="734" priority="185" operator="containsText" text="중단">
      <formula>NOT(ISERROR(SEARCH("중단",I14)))</formula>
    </cfRule>
  </conditionalFormatting>
  <conditionalFormatting sqref="I14:I22">
    <cfRule type="containsText" dxfId="733" priority="182" operator="containsText" text="완료">
      <formula>NOT(ISERROR(SEARCH("완료",I14)))</formula>
    </cfRule>
    <cfRule type="containsText" dxfId="732" priority="183" operator="containsText" text="중단">
      <formula>NOT(ISERROR(SEARCH("중단",I14)))</formula>
    </cfRule>
  </conditionalFormatting>
  <conditionalFormatting sqref="I14:I22">
    <cfRule type="containsText" dxfId="731" priority="181" operator="containsText" text="진행중">
      <formula>NOT(ISERROR(SEARCH("진행중",I14)))</formula>
    </cfRule>
  </conditionalFormatting>
  <conditionalFormatting sqref="F13">
    <cfRule type="containsText" dxfId="730" priority="179" operator="containsText" text="완료">
      <formula>NOT(ISERROR(SEARCH("완료",F13)))</formula>
    </cfRule>
    <cfRule type="containsText" dxfId="729" priority="180" operator="containsText" text="중단">
      <formula>NOT(ISERROR(SEARCH("중단",F13)))</formula>
    </cfRule>
  </conditionalFormatting>
  <conditionalFormatting sqref="F13">
    <cfRule type="containsText" dxfId="728" priority="177" operator="containsText" text="완료">
      <formula>NOT(ISERROR(SEARCH("완료",F13)))</formula>
    </cfRule>
    <cfRule type="containsText" dxfId="727" priority="178" operator="containsText" text="중단">
      <formula>NOT(ISERROR(SEARCH("중단",F13)))</formula>
    </cfRule>
  </conditionalFormatting>
  <conditionalFormatting sqref="F13">
    <cfRule type="containsText" dxfId="726" priority="175" operator="containsText" text="완료">
      <formula>NOT(ISERROR(SEARCH("완료",F13)))</formula>
    </cfRule>
    <cfRule type="containsText" dxfId="725" priority="176" operator="containsText" text="중단">
      <formula>NOT(ISERROR(SEARCH("중단",F13)))</formula>
    </cfRule>
  </conditionalFormatting>
  <conditionalFormatting sqref="F13">
    <cfRule type="containsText" dxfId="724" priority="174" operator="containsText" text="진행중">
      <formula>NOT(ISERROR(SEARCH("진행중",F13)))</formula>
    </cfRule>
  </conditionalFormatting>
  <conditionalFormatting sqref="I13">
    <cfRule type="containsText" dxfId="723" priority="172" operator="containsText" text="완료">
      <formula>NOT(ISERROR(SEARCH("완료",I13)))</formula>
    </cfRule>
    <cfRule type="containsText" dxfId="722" priority="173" operator="containsText" text="중단">
      <formula>NOT(ISERROR(SEARCH("중단",I13)))</formula>
    </cfRule>
  </conditionalFormatting>
  <conditionalFormatting sqref="I13">
    <cfRule type="containsText" dxfId="721" priority="170" operator="containsText" text="완료">
      <formula>NOT(ISERROR(SEARCH("완료",I13)))</formula>
    </cfRule>
    <cfRule type="containsText" dxfId="720" priority="171" operator="containsText" text="중단">
      <formula>NOT(ISERROR(SEARCH("중단",I13)))</formula>
    </cfRule>
  </conditionalFormatting>
  <conditionalFormatting sqref="I13">
    <cfRule type="containsText" dxfId="719" priority="168" operator="containsText" text="완료">
      <formula>NOT(ISERROR(SEARCH("완료",I13)))</formula>
    </cfRule>
    <cfRule type="containsText" dxfId="718" priority="169" operator="containsText" text="중단">
      <formula>NOT(ISERROR(SEARCH("중단",I13)))</formula>
    </cfRule>
  </conditionalFormatting>
  <conditionalFormatting sqref="I13">
    <cfRule type="containsText" dxfId="717" priority="167" operator="containsText" text="진행중">
      <formula>NOT(ISERROR(SEARCH("진행중",I13)))</formula>
    </cfRule>
  </conditionalFormatting>
  <conditionalFormatting sqref="E19:E22">
    <cfRule type="containsText" dxfId="714" priority="74" operator="containsText" text="완료">
      <formula>NOT(ISERROR(SEARCH("완료",E19)))</formula>
    </cfRule>
    <cfRule type="containsText" dxfId="713" priority="75" operator="containsText" text="중단">
      <formula>NOT(ISERROR(SEARCH("중단",E19)))</formula>
    </cfRule>
  </conditionalFormatting>
  <conditionalFormatting sqref="E19:E22">
    <cfRule type="containsText" dxfId="712" priority="72" operator="containsText" text="완료">
      <formula>NOT(ISERROR(SEARCH("완료",E19)))</formula>
    </cfRule>
    <cfRule type="containsText" dxfId="711" priority="73" operator="containsText" text="중단">
      <formula>NOT(ISERROR(SEARCH("중단",E19)))</formula>
    </cfRule>
  </conditionalFormatting>
  <conditionalFormatting sqref="E19:E22">
    <cfRule type="containsText" dxfId="710" priority="71" operator="containsText" text="진행중">
      <formula>NOT(ISERROR(SEARCH("진행중",E19)))</formula>
    </cfRule>
  </conditionalFormatting>
  <conditionalFormatting sqref="K18:K22">
    <cfRule type="containsText" dxfId="709" priority="158" operator="containsText" text="완료">
      <formula>NOT(ISERROR(SEARCH("완료",K18)))</formula>
    </cfRule>
    <cfRule type="containsText" dxfId="708" priority="159" operator="containsText" text="중단">
      <formula>NOT(ISERROR(SEARCH("중단",K18)))</formula>
    </cfRule>
  </conditionalFormatting>
  <conditionalFormatting sqref="K18:K22">
    <cfRule type="containsText" dxfId="707" priority="156" operator="containsText" text="완료">
      <formula>NOT(ISERROR(SEARCH("완료",K18)))</formula>
    </cfRule>
    <cfRule type="containsText" dxfId="706" priority="157" operator="containsText" text="중단">
      <formula>NOT(ISERROR(SEARCH("중단",K18)))</formula>
    </cfRule>
  </conditionalFormatting>
  <conditionalFormatting sqref="K18:K22">
    <cfRule type="containsText" dxfId="705" priority="154" operator="containsText" text="완료">
      <formula>NOT(ISERROR(SEARCH("완료",K18)))</formula>
    </cfRule>
    <cfRule type="containsText" dxfId="704" priority="155" operator="containsText" text="중단">
      <formula>NOT(ISERROR(SEARCH("중단",K18)))</formula>
    </cfRule>
  </conditionalFormatting>
  <conditionalFormatting sqref="K18:K22">
    <cfRule type="containsText" dxfId="703" priority="153" operator="containsText" text="진행중">
      <formula>NOT(ISERROR(SEARCH("진행중",K18)))</formula>
    </cfRule>
  </conditionalFormatting>
  <conditionalFormatting sqref="L18:L22">
    <cfRule type="containsText" dxfId="695" priority="144" operator="containsText" text="완료">
      <formula>NOT(ISERROR(SEARCH("완료",L18)))</formula>
    </cfRule>
    <cfRule type="containsText" dxfId="694" priority="145" operator="containsText" text="중단">
      <formula>NOT(ISERROR(SEARCH("중단",L18)))</formula>
    </cfRule>
  </conditionalFormatting>
  <conditionalFormatting sqref="L18:L22">
    <cfRule type="containsText" dxfId="693" priority="142" operator="containsText" text="완료">
      <formula>NOT(ISERROR(SEARCH("완료",L18)))</formula>
    </cfRule>
    <cfRule type="containsText" dxfId="692" priority="143" operator="containsText" text="중단">
      <formula>NOT(ISERROR(SEARCH("중단",L18)))</formula>
    </cfRule>
  </conditionalFormatting>
  <conditionalFormatting sqref="L18:L22">
    <cfRule type="containsText" dxfId="691" priority="140" operator="containsText" text="완료">
      <formula>NOT(ISERROR(SEARCH("완료",L18)))</formula>
    </cfRule>
    <cfRule type="containsText" dxfId="690" priority="141" operator="containsText" text="중단">
      <formula>NOT(ISERROR(SEARCH("중단",L18)))</formula>
    </cfRule>
  </conditionalFormatting>
  <conditionalFormatting sqref="L18:L22">
    <cfRule type="containsText" dxfId="689" priority="139" operator="containsText" text="진행중">
      <formula>NOT(ISERROR(SEARCH("진행중",L18)))</formula>
    </cfRule>
  </conditionalFormatting>
  <conditionalFormatting sqref="N8:N22">
    <cfRule type="containsText" dxfId="670" priority="119" operator="containsText" text="완료">
      <formula>NOT(ISERROR(SEARCH("완료",N8)))</formula>
    </cfRule>
    <cfRule type="containsText" dxfId="669" priority="120" operator="containsText" text="중단">
      <formula>NOT(ISERROR(SEARCH("중단",N8)))</formula>
    </cfRule>
  </conditionalFormatting>
  <conditionalFormatting sqref="N8:N22">
    <cfRule type="containsText" dxfId="668" priority="118" operator="containsText" text="진행중">
      <formula>NOT(ISERROR(SEARCH("진행중",N8)))</formula>
    </cfRule>
  </conditionalFormatting>
  <conditionalFormatting sqref="K8:K17">
    <cfRule type="containsText" dxfId="642" priority="91" operator="containsText" text="완료">
      <formula>NOT(ISERROR(SEARCH("완료",K8)))</formula>
    </cfRule>
    <cfRule type="containsText" dxfId="641" priority="92" operator="containsText" text="중단">
      <formula>NOT(ISERROR(SEARCH("중단",K8)))</formula>
    </cfRule>
  </conditionalFormatting>
  <conditionalFormatting sqref="K8:K17">
    <cfRule type="containsText" dxfId="640" priority="90" operator="containsText" text="진행중">
      <formula>NOT(ISERROR(SEARCH("진행중",K8)))</formula>
    </cfRule>
  </conditionalFormatting>
  <conditionalFormatting sqref="L8:L17">
    <cfRule type="containsText" dxfId="635" priority="84" operator="containsText" text="완료">
      <formula>NOT(ISERROR(SEARCH("완료",L8)))</formula>
    </cfRule>
    <cfRule type="containsText" dxfId="634" priority="85" operator="containsText" text="중단">
      <formula>NOT(ISERROR(SEARCH("중단",L8)))</formula>
    </cfRule>
  </conditionalFormatting>
  <conditionalFormatting sqref="L8:L17">
    <cfRule type="containsText" dxfId="633" priority="83" operator="containsText" text="진행중">
      <formula>NOT(ISERROR(SEARCH("진행중",L8)))</formula>
    </cfRule>
  </conditionalFormatting>
  <conditionalFormatting sqref="M8:M22">
    <cfRule type="containsText" dxfId="628" priority="77" operator="containsText" text="완료">
      <formula>NOT(ISERROR(SEARCH("완료",M8)))</formula>
    </cfRule>
    <cfRule type="containsText" dxfId="627" priority="78" operator="containsText" text="중단">
      <formula>NOT(ISERROR(SEARCH("중단",M8)))</formula>
    </cfRule>
  </conditionalFormatting>
  <conditionalFormatting sqref="M8:M22">
    <cfRule type="containsText" dxfId="626" priority="76" operator="containsText" text="진행중">
      <formula>NOT(ISERROR(SEARCH("진행중",M8)))</formula>
    </cfRule>
  </conditionalFormatting>
  <conditionalFormatting sqref="G8:G19">
    <cfRule type="containsText" dxfId="620" priority="69" operator="containsText" text="완료">
      <formula>NOT(ISERROR(SEARCH("완료",G8)))</formula>
    </cfRule>
    <cfRule type="containsText" dxfId="619" priority="70" operator="containsText" text="중단">
      <formula>NOT(ISERROR(SEARCH("중단",G8)))</formula>
    </cfRule>
  </conditionalFormatting>
  <conditionalFormatting sqref="G8:G19">
    <cfRule type="containsText" dxfId="618" priority="67" operator="containsText" text="완료">
      <formula>NOT(ISERROR(SEARCH("완료",G8)))</formula>
    </cfRule>
    <cfRule type="containsText" dxfId="617" priority="68" operator="containsText" text="중단">
      <formula>NOT(ISERROR(SEARCH("중단",G8)))</formula>
    </cfRule>
  </conditionalFormatting>
  <conditionalFormatting sqref="G8:G19">
    <cfRule type="containsText" dxfId="616" priority="65" operator="containsText" text="완료">
      <formula>NOT(ISERROR(SEARCH("완료",G8)))</formula>
    </cfRule>
    <cfRule type="containsText" dxfId="615" priority="66" operator="containsText" text="중단">
      <formula>NOT(ISERROR(SEARCH("중단",G8)))</formula>
    </cfRule>
  </conditionalFormatting>
  <conditionalFormatting sqref="G8:G19">
    <cfRule type="containsText" dxfId="614" priority="64" operator="containsText" text="진행중">
      <formula>NOT(ISERROR(SEARCH("진행중",G8)))</formula>
    </cfRule>
  </conditionalFormatting>
  <conditionalFormatting sqref="H8:H19">
    <cfRule type="containsText" dxfId="613" priority="62" operator="containsText" text="완료">
      <formula>NOT(ISERROR(SEARCH("완료",H8)))</formula>
    </cfRule>
    <cfRule type="containsText" dxfId="612" priority="63" operator="containsText" text="중단">
      <formula>NOT(ISERROR(SEARCH("중단",H8)))</formula>
    </cfRule>
  </conditionalFormatting>
  <conditionalFormatting sqref="H8:H19">
    <cfRule type="containsText" dxfId="611" priority="60" operator="containsText" text="완료">
      <formula>NOT(ISERROR(SEARCH("완료",H8)))</formula>
    </cfRule>
    <cfRule type="containsText" dxfId="610" priority="61" operator="containsText" text="중단">
      <formula>NOT(ISERROR(SEARCH("중단",H8)))</formula>
    </cfRule>
  </conditionalFormatting>
  <conditionalFormatting sqref="H8:H19">
    <cfRule type="containsText" dxfId="609" priority="58" operator="containsText" text="완료">
      <formula>NOT(ISERROR(SEARCH("완료",H8)))</formula>
    </cfRule>
    <cfRule type="containsText" dxfId="608" priority="59" operator="containsText" text="중단">
      <formula>NOT(ISERROR(SEARCH("중단",H8)))</formula>
    </cfRule>
  </conditionalFormatting>
  <conditionalFormatting sqref="H8:H19">
    <cfRule type="containsText" dxfId="607" priority="57" operator="containsText" text="진행중">
      <formula>NOT(ISERROR(SEARCH("진행중",H8)))</formula>
    </cfRule>
  </conditionalFormatting>
  <conditionalFormatting sqref="Q20:Q22">
    <cfRule type="containsText" dxfId="586" priority="35" operator="containsText" text="완료">
      <formula>NOT(ISERROR(SEARCH("완료",Q20)))</formula>
    </cfRule>
    <cfRule type="containsText" dxfId="585" priority="36" operator="containsText" text="중단">
      <formula>NOT(ISERROR(SEARCH("중단",Q20)))</formula>
    </cfRule>
  </conditionalFormatting>
  <conditionalFormatting sqref="Q20:Q22">
    <cfRule type="containsText" dxfId="584" priority="33" operator="containsText" text="완료">
      <formula>NOT(ISERROR(SEARCH("완료",Q20)))</formula>
    </cfRule>
    <cfRule type="containsText" dxfId="583" priority="34" operator="containsText" text="중단">
      <formula>NOT(ISERROR(SEARCH("중단",Q20)))</formula>
    </cfRule>
  </conditionalFormatting>
  <conditionalFormatting sqref="Q20:Q22">
    <cfRule type="containsText" dxfId="582" priority="32" operator="containsText" text="진행중">
      <formula>NOT(ISERROR(SEARCH("진행중",Q20)))</formula>
    </cfRule>
  </conditionalFormatting>
  <conditionalFormatting sqref="R20:R22">
    <cfRule type="containsText" dxfId="581" priority="30" operator="containsText" text="완료">
      <formula>NOT(ISERROR(SEARCH("완료",R20)))</formula>
    </cfRule>
    <cfRule type="containsText" dxfId="580" priority="31" operator="containsText" text="중단">
      <formula>NOT(ISERROR(SEARCH("중단",R20)))</formula>
    </cfRule>
  </conditionalFormatting>
  <conditionalFormatting sqref="R20:R22">
    <cfRule type="containsText" dxfId="579" priority="28" operator="containsText" text="완료">
      <formula>NOT(ISERROR(SEARCH("완료",R20)))</formula>
    </cfRule>
    <cfRule type="containsText" dxfId="578" priority="29" operator="containsText" text="중단">
      <formula>NOT(ISERROR(SEARCH("중단",R20)))</formula>
    </cfRule>
  </conditionalFormatting>
  <conditionalFormatting sqref="R20:R22">
    <cfRule type="containsText" dxfId="577" priority="27" operator="containsText" text="진행중">
      <formula>NOT(ISERROR(SEARCH("진행중",R20)))</formula>
    </cfRule>
  </conditionalFormatting>
  <conditionalFormatting sqref="S20:S22">
    <cfRule type="containsText" dxfId="576" priority="25" operator="containsText" text="완료">
      <formula>NOT(ISERROR(SEARCH("완료",S20)))</formula>
    </cfRule>
    <cfRule type="containsText" dxfId="575" priority="26" operator="containsText" text="중단">
      <formula>NOT(ISERROR(SEARCH("중단",S20)))</formula>
    </cfRule>
  </conditionalFormatting>
  <conditionalFormatting sqref="S20:S22">
    <cfRule type="containsText" dxfId="574" priority="23" operator="containsText" text="완료">
      <formula>NOT(ISERROR(SEARCH("완료",S20)))</formula>
    </cfRule>
    <cfRule type="containsText" dxfId="573" priority="24" operator="containsText" text="중단">
      <formula>NOT(ISERROR(SEARCH("중단",S20)))</formula>
    </cfRule>
  </conditionalFormatting>
  <conditionalFormatting sqref="S20:S22">
    <cfRule type="containsText" dxfId="572" priority="22" operator="containsText" text="진행중">
      <formula>NOT(ISERROR(SEARCH("진행중",S20)))</formula>
    </cfRule>
  </conditionalFormatting>
  <conditionalFormatting sqref="T20:T22">
    <cfRule type="containsText" dxfId="571" priority="20" operator="containsText" text="완료">
      <formula>NOT(ISERROR(SEARCH("완료",T20)))</formula>
    </cfRule>
    <cfRule type="containsText" dxfId="570" priority="21" operator="containsText" text="중단">
      <formula>NOT(ISERROR(SEARCH("중단",T20)))</formula>
    </cfRule>
  </conditionalFormatting>
  <conditionalFormatting sqref="T20:T22">
    <cfRule type="containsText" dxfId="569" priority="18" operator="containsText" text="완료">
      <formula>NOT(ISERROR(SEARCH("완료",T20)))</formula>
    </cfRule>
    <cfRule type="containsText" dxfId="568" priority="19" operator="containsText" text="중단">
      <formula>NOT(ISERROR(SEARCH("중단",T20)))</formula>
    </cfRule>
  </conditionalFormatting>
  <conditionalFormatting sqref="T20:T22">
    <cfRule type="containsText" dxfId="567" priority="17" operator="containsText" text="진행중">
      <formula>NOT(ISERROR(SEARCH("진행중",T20)))</formula>
    </cfRule>
  </conditionalFormatting>
  <conditionalFormatting sqref="U20:AC22">
    <cfRule type="containsText" dxfId="566" priority="15" operator="containsText" text="완료">
      <formula>NOT(ISERROR(SEARCH("완료",U20)))</formula>
    </cfRule>
    <cfRule type="containsText" dxfId="565" priority="16" operator="containsText" text="중단">
      <formula>NOT(ISERROR(SEARCH("중단",U20)))</formula>
    </cfRule>
  </conditionalFormatting>
  <conditionalFormatting sqref="U20:AC22">
    <cfRule type="containsText" dxfId="564" priority="13" operator="containsText" text="완료">
      <formula>NOT(ISERROR(SEARCH("완료",U20)))</formula>
    </cfRule>
    <cfRule type="containsText" dxfId="563" priority="14" operator="containsText" text="중단">
      <formula>NOT(ISERROR(SEARCH("중단",U20)))</formula>
    </cfRule>
  </conditionalFormatting>
  <conditionalFormatting sqref="U20:AC22">
    <cfRule type="containsText" dxfId="562" priority="12" operator="containsText" text="진행중">
      <formula>NOT(ISERROR(SEARCH("진행중",U20)))</formula>
    </cfRule>
  </conditionalFormatting>
  <conditionalFormatting sqref="AD20:AD22">
    <cfRule type="containsText" dxfId="561" priority="10" operator="containsText" text="완료">
      <formula>NOT(ISERROR(SEARCH("완료",AD20)))</formula>
    </cfRule>
    <cfRule type="containsText" dxfId="560" priority="11" operator="containsText" text="중단">
      <formula>NOT(ISERROR(SEARCH("중단",AD20)))</formula>
    </cfRule>
  </conditionalFormatting>
  <conditionalFormatting sqref="AD20:AD22">
    <cfRule type="containsText" dxfId="559" priority="8" operator="containsText" text="완료">
      <formula>NOT(ISERROR(SEARCH("완료",AD20)))</formula>
    </cfRule>
    <cfRule type="containsText" dxfId="558" priority="9" operator="containsText" text="중단">
      <formula>NOT(ISERROR(SEARCH("중단",AD20)))</formula>
    </cfRule>
  </conditionalFormatting>
  <conditionalFormatting sqref="AD20:AD22">
    <cfRule type="containsText" dxfId="557" priority="7" operator="containsText" text="진행중">
      <formula>NOT(ISERROR(SEARCH("진행중",AD20)))</formula>
    </cfRule>
  </conditionalFormatting>
  <conditionalFormatting sqref="AE20:AE22">
    <cfRule type="containsText" dxfId="556" priority="5" operator="containsText" text="완료">
      <formula>NOT(ISERROR(SEARCH("완료",AE20)))</formula>
    </cfRule>
    <cfRule type="containsText" dxfId="555" priority="6" operator="containsText" text="중단">
      <formula>NOT(ISERROR(SEARCH("중단",AE20)))</formula>
    </cfRule>
  </conditionalFormatting>
  <conditionalFormatting sqref="AE20:AE22">
    <cfRule type="containsText" dxfId="554" priority="3" operator="containsText" text="완료">
      <formula>NOT(ISERROR(SEARCH("완료",AE20)))</formula>
    </cfRule>
    <cfRule type="containsText" dxfId="553" priority="4" operator="containsText" text="중단">
      <formula>NOT(ISERROR(SEARCH("중단",AE20)))</formula>
    </cfRule>
  </conditionalFormatting>
  <conditionalFormatting sqref="AE20:AE22">
    <cfRule type="containsText" dxfId="552" priority="2" operator="containsText" text="진행중">
      <formula>NOT(ISERROR(SEARCH("진행중",AE20)))</formula>
    </cfRule>
  </conditionalFormatting>
  <conditionalFormatting sqref="A1:AG23">
    <cfRule type="containsText" dxfId="2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499984740745262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D20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5" t="s">
        <v>40</v>
      </c>
      <c r="G8" s="87" t="str">
        <f>IF(NOT(LEN($I8)=0),G7,"")</f>
        <v>-</v>
      </c>
      <c r="H8" s="87" t="str">
        <f>IF(NOT(LEN($I8)=0),H7,"")</f>
        <v>-</v>
      </c>
      <c r="I8" s="85" t="s">
        <v>40</v>
      </c>
      <c r="J8" s="1"/>
      <c r="K8" s="87" t="str">
        <f t="shared" ref="K8:K17" si="3">IF(NOT(LEN($I8)=0),K7,"")</f>
        <v>VITA</v>
      </c>
      <c r="L8" s="87" t="str">
        <f t="shared" ref="L8:L17" si="4">IF(NOT(LEN($I8)=0),L7,"")</f>
        <v>MARK II</v>
      </c>
      <c r="M8" s="87">
        <f t="shared" ref="M8:M17" si="5">IF(NOT(LEN($I8)=0),M7,"")</f>
        <v>160</v>
      </c>
      <c r="N8" s="87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6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5" t="s">
        <v>40</v>
      </c>
      <c r="G9" s="87" t="str">
        <f t="shared" ref="G9:G19" si="7">IF(NOT(LEN($I9)=0),G8,"")</f>
        <v>-</v>
      </c>
      <c r="H9" s="87" t="str">
        <f t="shared" ref="H9:H19" si="8">IF(NOT(LEN($I9)=0),H8,"")</f>
        <v>-</v>
      </c>
      <c r="I9" s="85" t="s">
        <v>40</v>
      </c>
      <c r="J9" s="1"/>
      <c r="K9" s="87" t="str">
        <f t="shared" si="3"/>
        <v>VITA</v>
      </c>
      <c r="L9" s="87" t="str">
        <f t="shared" si="4"/>
        <v>MARK II</v>
      </c>
      <c r="M9" s="87">
        <f t="shared" ref="M9:M18" si="9">IF(NOT(LEN($I9)=0),M8,"")</f>
        <v>160</v>
      </c>
      <c r="N9" s="87" t="str">
        <f t="shared" ref="N9:N18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6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7" t="str">
        <f t="shared" si="7"/>
        <v>-</v>
      </c>
      <c r="H10" s="87" t="str">
        <f t="shared" si="8"/>
        <v>-</v>
      </c>
      <c r="I10" s="85" t="s">
        <v>40</v>
      </c>
      <c r="J10" s="1"/>
      <c r="K10" s="87" t="str">
        <f t="shared" si="3"/>
        <v>VITA</v>
      </c>
      <c r="L10" s="87" t="str">
        <f t="shared" si="4"/>
        <v>MARK II</v>
      </c>
      <c r="M10" s="87">
        <f t="shared" si="9"/>
        <v>160</v>
      </c>
      <c r="N10" s="87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6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5" t="s">
        <v>40</v>
      </c>
      <c r="G11" s="87" t="str">
        <f t="shared" si="7"/>
        <v>-</v>
      </c>
      <c r="H11" s="87" t="str">
        <f t="shared" si="8"/>
        <v>-</v>
      </c>
      <c r="I11" s="85" t="s">
        <v>40</v>
      </c>
      <c r="J11" s="1"/>
      <c r="K11" s="87" t="str">
        <f t="shared" si="3"/>
        <v>VITA</v>
      </c>
      <c r="L11" s="87" t="str">
        <f t="shared" si="4"/>
        <v>MARK II</v>
      </c>
      <c r="M11" s="87">
        <f t="shared" si="9"/>
        <v>160</v>
      </c>
      <c r="N11" s="87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22" si="11">IF(MOD($B11,5)=0, "000-000","-" )</f>
        <v>000-000</v>
      </c>
      <c r="Z11" s="7" t="str">
        <f t="shared" si="11"/>
        <v>000-000</v>
      </c>
      <c r="AA11" s="7" t="str">
        <f t="shared" si="11"/>
        <v>000-000</v>
      </c>
      <c r="AB11" s="7" t="str">
        <f t="shared" si="11"/>
        <v>000-000</v>
      </c>
      <c r="AC11" s="7" t="s">
        <v>67</v>
      </c>
      <c r="AD11" s="7" t="str">
        <f t="shared" si="2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6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5" t="s">
        <v>40</v>
      </c>
      <c r="G12" s="87" t="str">
        <f t="shared" si="7"/>
        <v>-</v>
      </c>
      <c r="H12" s="87" t="str">
        <f t="shared" si="8"/>
        <v>-</v>
      </c>
      <c r="I12" s="85" t="s">
        <v>40</v>
      </c>
      <c r="J12" s="1"/>
      <c r="K12" s="87" t="str">
        <f t="shared" si="3"/>
        <v>VITA</v>
      </c>
      <c r="L12" s="87" t="str">
        <f t="shared" si="4"/>
        <v>MARK II</v>
      </c>
      <c r="M12" s="87">
        <f t="shared" si="9"/>
        <v>160</v>
      </c>
      <c r="N12" s="87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6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86">
        <v>0</v>
      </c>
      <c r="G13" s="86" t="str">
        <f t="shared" si="7"/>
        <v>-</v>
      </c>
      <c r="H13" s="86" t="str">
        <f t="shared" si="8"/>
        <v>-</v>
      </c>
      <c r="I13" s="86">
        <v>0</v>
      </c>
      <c r="J13" s="1"/>
      <c r="K13" s="87" t="str">
        <f t="shared" si="3"/>
        <v>VITA</v>
      </c>
      <c r="L13" s="87" t="str">
        <f t="shared" si="4"/>
        <v>MARK II</v>
      </c>
      <c r="M13" s="87">
        <f t="shared" si="9"/>
        <v>160</v>
      </c>
      <c r="N13" s="87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6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7"/>
        <v>-</v>
      </c>
      <c r="H14" s="86" t="str">
        <f t="shared" si="8"/>
        <v>-</v>
      </c>
      <c r="I14" s="86">
        <f>IF(NOT(LEN($A14)=0),IF(I13+1&gt;15,"버교체요망",I13+1),"")</f>
        <v>1</v>
      </c>
      <c r="J14" s="1"/>
      <c r="K14" s="87" t="str">
        <f t="shared" si="3"/>
        <v>VITA</v>
      </c>
      <c r="L14" s="87" t="str">
        <f t="shared" si="4"/>
        <v>MARK II</v>
      </c>
      <c r="M14" s="87">
        <f t="shared" si="9"/>
        <v>160</v>
      </c>
      <c r="N14" s="87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6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86">
        <f t="shared" ref="F15:F22" si="13">IF(NOT(LEN($A15)=0),IF(F14+1&gt;15,"버교체요망",F14+1),"")</f>
        <v>2</v>
      </c>
      <c r="G15" s="86" t="str">
        <f t="shared" si="7"/>
        <v>-</v>
      </c>
      <c r="H15" s="86" t="str">
        <f t="shared" si="8"/>
        <v>-</v>
      </c>
      <c r="I15" s="86">
        <f t="shared" ref="I15:I22" si="14">IF(NOT(LEN($A15)=0),IF(I14+1&gt;15,"버교체요망",I14+1),"")</f>
        <v>2</v>
      </c>
      <c r="J15" s="1"/>
      <c r="K15" s="87" t="str">
        <f t="shared" si="3"/>
        <v>VITA</v>
      </c>
      <c r="L15" s="87" t="str">
        <f t="shared" si="4"/>
        <v>MARK II</v>
      </c>
      <c r="M15" s="87">
        <f t="shared" si="9"/>
        <v>160</v>
      </c>
      <c r="N15" s="87" t="str">
        <f t="shared" si="10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6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86">
        <f t="shared" si="13"/>
        <v>3</v>
      </c>
      <c r="G16" s="86" t="str">
        <f t="shared" si="7"/>
        <v>-</v>
      </c>
      <c r="H16" s="86" t="str">
        <f t="shared" si="8"/>
        <v>-</v>
      </c>
      <c r="I16" s="86">
        <f t="shared" si="14"/>
        <v>3</v>
      </c>
      <c r="J16" s="1"/>
      <c r="K16" s="87" t="str">
        <f t="shared" si="3"/>
        <v>VITA</v>
      </c>
      <c r="L16" s="87" t="str">
        <f t="shared" si="4"/>
        <v>MARK II</v>
      </c>
      <c r="M16" s="87">
        <f t="shared" si="9"/>
        <v>160</v>
      </c>
      <c r="N16" s="87" t="str">
        <f t="shared" si="10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ref="AE16:AE22" si="15">IF($B16="","-",
  IFERROR(
    IF(AND($B16&lt;&gt;0, MOD($B16,160)=0),
       "TENSION (XL : / ZL : / XR : / ZR : / Y : )" &amp; CHAR(10) &amp; "필터교체",
       "-"
    ),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6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86">
        <f t="shared" si="13"/>
        <v>4</v>
      </c>
      <c r="G17" s="86" t="str">
        <f t="shared" si="7"/>
        <v>-</v>
      </c>
      <c r="H17" s="86" t="str">
        <f t="shared" si="8"/>
        <v>-</v>
      </c>
      <c r="I17" s="86">
        <f t="shared" si="14"/>
        <v>4</v>
      </c>
      <c r="J17" s="1"/>
      <c r="K17" s="87" t="str">
        <f t="shared" si="3"/>
        <v>VITA</v>
      </c>
      <c r="L17" s="87" t="str">
        <f t="shared" si="4"/>
        <v>MARK II</v>
      </c>
      <c r="M17" s="87">
        <f t="shared" si="9"/>
        <v>160</v>
      </c>
      <c r="N17" s="87" t="str">
        <f t="shared" si="10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15"/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6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24">
        <v>23</v>
      </c>
      <c r="F18" s="86">
        <f t="shared" si="13"/>
        <v>5</v>
      </c>
      <c r="G18" s="86" t="str">
        <f t="shared" si="7"/>
        <v>-</v>
      </c>
      <c r="H18" s="86" t="str">
        <f t="shared" si="8"/>
        <v>-</v>
      </c>
      <c r="I18" s="86">
        <f t="shared" si="14"/>
        <v>5</v>
      </c>
      <c r="J18" s="1"/>
      <c r="K18" s="87" t="str">
        <f>IF(NOT(LEN($I18)=0),K17,"")</f>
        <v>VITA</v>
      </c>
      <c r="L18" s="87" t="str">
        <f>IF(NOT(LEN($I18)=0),L17,"")</f>
        <v>MARK II</v>
      </c>
      <c r="M18" s="87">
        <f t="shared" si="9"/>
        <v>160</v>
      </c>
      <c r="N18" s="87" t="str">
        <f t="shared" si="10"/>
        <v>-</v>
      </c>
      <c r="O18" s="24">
        <f>IF(LEN(A18)&gt;0, 종합!$C$27, "")</f>
        <v>2.2599999999999998</v>
      </c>
      <c r="P18" s="1"/>
      <c r="Q18" s="7" t="str">
        <f t="shared" ref="Q18:T22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2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2" si="18">IF(MOD($B18,5)=0, "스핀들소음 :","-" )</f>
        <v>-</v>
      </c>
      <c r="AD18" s="7" t="str">
        <f t="shared" si="2"/>
        <v>-</v>
      </c>
      <c r="AE18" s="7" t="str">
        <f t="shared" si="15"/>
        <v>-</v>
      </c>
      <c r="AF18" s="1" t="s">
        <v>16</v>
      </c>
      <c r="AG18" s="2"/>
    </row>
    <row r="19" spans="1:33" x14ac:dyDescent="0.45">
      <c r="A19" s="3">
        <v>45973</v>
      </c>
      <c r="B19" s="24">
        <f t="shared" si="6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6">
        <v>21</v>
      </c>
      <c r="F19" s="86">
        <f t="shared" si="13"/>
        <v>6</v>
      </c>
      <c r="G19" s="86" t="str">
        <f t="shared" si="7"/>
        <v>-</v>
      </c>
      <c r="H19" s="86" t="str">
        <f t="shared" si="8"/>
        <v>-</v>
      </c>
      <c r="I19" s="86">
        <f t="shared" si="14"/>
        <v>6</v>
      </c>
      <c r="J19" s="1"/>
      <c r="K19" s="87" t="str">
        <f t="shared" ref="K19:K22" si="19">IF(NOT(LEN($I19)=0),K18,"")</f>
        <v>VITA</v>
      </c>
      <c r="L19" s="87" t="str">
        <f t="shared" ref="L19:L22" si="20">IF(NOT(LEN($I19)=0),L18,"")</f>
        <v>MARK II</v>
      </c>
      <c r="M19" s="87">
        <f t="shared" ref="M19:M22" si="21">IF(NOT(LEN($I19)=0),M18,"")</f>
        <v>160</v>
      </c>
      <c r="N19" s="87" t="str">
        <f t="shared" ref="N19:N22" si="22">IF(NOT(LEN($I19)=0),N18,"")</f>
        <v>-</v>
      </c>
      <c r="O19" s="24">
        <f>IF(LEN(A19)&gt;0, 종합!$C$27, "")</f>
        <v>2.2599999999999998</v>
      </c>
      <c r="P19" s="1"/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2"/>
        <v>-</v>
      </c>
      <c r="AE19" s="7" t="str">
        <f t="shared" si="15"/>
        <v>-</v>
      </c>
      <c r="AF19" s="1" t="s">
        <v>16</v>
      </c>
      <c r="AG19" s="2"/>
    </row>
    <row r="20" spans="1:33" x14ac:dyDescent="0.45">
      <c r="A20" s="3">
        <v>45973</v>
      </c>
      <c r="B20" s="24">
        <f t="shared" si="6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6">
        <v>21</v>
      </c>
      <c r="F20" s="86">
        <f t="shared" si="13"/>
        <v>7</v>
      </c>
      <c r="G20" s="86" t="str">
        <f t="shared" ref="G20" si="23">IF(NOT(LEN($I20)=0),G19,"")</f>
        <v>-</v>
      </c>
      <c r="H20" s="86" t="str">
        <f t="shared" ref="H20" si="24">IF(NOT(LEN($I20)=0),H19,"")</f>
        <v>-</v>
      </c>
      <c r="I20" s="86">
        <f t="shared" si="14"/>
        <v>7</v>
      </c>
      <c r="J20" s="1"/>
      <c r="K20" s="87" t="str">
        <f t="shared" si="19"/>
        <v>VITA</v>
      </c>
      <c r="L20" s="87" t="str">
        <f t="shared" si="20"/>
        <v>MARK II</v>
      </c>
      <c r="M20" s="87">
        <f t="shared" si="21"/>
        <v>160</v>
      </c>
      <c r="N20" s="87" t="str">
        <f t="shared" si="22"/>
        <v>-</v>
      </c>
      <c r="O20" s="24">
        <f>IF(LEN(A20)&gt;0, 종합!$C$27, "")</f>
        <v>2.2599999999999998</v>
      </c>
      <c r="P20" s="1"/>
      <c r="Q20" s="85" t="str">
        <f t="shared" ref="Q20:AE22" si="25">IF(NOT(LEN($A20)=0),"누락","")</f>
        <v>누락</v>
      </c>
      <c r="R20" s="85" t="str">
        <f t="shared" si="25"/>
        <v>누락</v>
      </c>
      <c r="S20" s="85" t="str">
        <f t="shared" si="25"/>
        <v>누락</v>
      </c>
      <c r="T20" s="85" t="str">
        <f t="shared" si="25"/>
        <v>누락</v>
      </c>
      <c r="U20" s="85" t="str">
        <f t="shared" si="25"/>
        <v>누락</v>
      </c>
      <c r="V20" s="85" t="str">
        <f t="shared" si="25"/>
        <v>누락</v>
      </c>
      <c r="W20" s="85" t="str">
        <f t="shared" si="25"/>
        <v>누락</v>
      </c>
      <c r="X20" s="85" t="str">
        <f t="shared" si="25"/>
        <v>누락</v>
      </c>
      <c r="Y20" s="85" t="str">
        <f t="shared" si="25"/>
        <v>누락</v>
      </c>
      <c r="Z20" s="85" t="str">
        <f t="shared" si="25"/>
        <v>누락</v>
      </c>
      <c r="AA20" s="85" t="str">
        <f t="shared" si="25"/>
        <v>누락</v>
      </c>
      <c r="AB20" s="85" t="str">
        <f t="shared" si="25"/>
        <v>누락</v>
      </c>
      <c r="AC20" s="85" t="str">
        <f t="shared" si="25"/>
        <v>누락</v>
      </c>
      <c r="AD20" s="85" t="str">
        <f t="shared" si="25"/>
        <v>누락</v>
      </c>
      <c r="AE20" s="85" t="str">
        <f t="shared" si="25"/>
        <v>누락</v>
      </c>
      <c r="AF20" s="1" t="s">
        <v>16</v>
      </c>
      <c r="AG20" s="2"/>
    </row>
    <row r="21" spans="1:33" x14ac:dyDescent="0.45">
      <c r="B21" s="24" t="str">
        <f t="shared" si="6"/>
        <v/>
      </c>
      <c r="C21" s="7" t="str">
        <f t="shared" si="0"/>
        <v/>
      </c>
      <c r="D21" s="6" t="str">
        <f>IF(NOT(LEN(B21)=0),IF(LEN(D22)=0,"진행중","완료"),"")</f>
        <v/>
      </c>
      <c r="E21" s="85" t="str">
        <f t="shared" ref="E21:E22" si="26">IF(NOT(LEN($A21)=0),"누락","")</f>
        <v/>
      </c>
      <c r="F21" s="85" t="str">
        <f t="shared" si="13"/>
        <v/>
      </c>
      <c r="G21" s="90"/>
      <c r="H21" s="90"/>
      <c r="I21" s="85" t="str">
        <f t="shared" si="14"/>
        <v/>
      </c>
      <c r="K21" s="87" t="str">
        <f t="shared" si="19"/>
        <v/>
      </c>
      <c r="L21" s="87" t="str">
        <f t="shared" si="20"/>
        <v/>
      </c>
      <c r="M21" s="87" t="str">
        <f t="shared" si="21"/>
        <v/>
      </c>
      <c r="N21" s="87" t="str">
        <f t="shared" si="22"/>
        <v/>
      </c>
      <c r="O21" s="24" t="str">
        <f>IF(LEN(A21)&gt;0, 종합!$C$27, "")</f>
        <v/>
      </c>
      <c r="Q21" s="85" t="str">
        <f t="shared" si="25"/>
        <v/>
      </c>
      <c r="R21" s="85" t="str">
        <f t="shared" si="25"/>
        <v/>
      </c>
      <c r="S21" s="85" t="str">
        <f t="shared" si="25"/>
        <v/>
      </c>
      <c r="T21" s="85" t="str">
        <f t="shared" si="25"/>
        <v/>
      </c>
      <c r="U21" s="85" t="str">
        <f t="shared" si="25"/>
        <v/>
      </c>
      <c r="V21" s="85" t="str">
        <f t="shared" si="25"/>
        <v/>
      </c>
      <c r="W21" s="85" t="str">
        <f t="shared" si="25"/>
        <v/>
      </c>
      <c r="X21" s="85" t="str">
        <f t="shared" si="25"/>
        <v/>
      </c>
      <c r="Y21" s="85" t="str">
        <f t="shared" si="25"/>
        <v/>
      </c>
      <c r="Z21" s="85" t="str">
        <f t="shared" si="25"/>
        <v/>
      </c>
      <c r="AA21" s="85" t="str">
        <f t="shared" si="25"/>
        <v/>
      </c>
      <c r="AB21" s="85" t="str">
        <f t="shared" si="25"/>
        <v/>
      </c>
      <c r="AC21" s="85" t="str">
        <f t="shared" si="25"/>
        <v/>
      </c>
      <c r="AD21" s="85" t="str">
        <f t="shared" si="25"/>
        <v/>
      </c>
      <c r="AE21" s="85" t="str">
        <f t="shared" si="25"/>
        <v/>
      </c>
    </row>
    <row r="22" spans="1:33" x14ac:dyDescent="0.45">
      <c r="B22" s="24" t="str">
        <f t="shared" si="6"/>
        <v/>
      </c>
      <c r="C22" s="7" t="str">
        <f t="shared" si="0"/>
        <v/>
      </c>
      <c r="D22" s="6" t="str">
        <f>IF(NOT(LEN(B22)=0),IF(LEN(D23)=0,"진행중","완료"),"")</f>
        <v/>
      </c>
      <c r="E22" s="85" t="str">
        <f t="shared" si="26"/>
        <v/>
      </c>
      <c r="F22" s="85" t="str">
        <f t="shared" si="13"/>
        <v/>
      </c>
      <c r="G22" s="90"/>
      <c r="H22" s="90"/>
      <c r="I22" s="85" t="str">
        <f t="shared" si="14"/>
        <v/>
      </c>
      <c r="K22" s="87" t="str">
        <f t="shared" si="19"/>
        <v/>
      </c>
      <c r="L22" s="87" t="str">
        <f t="shared" si="20"/>
        <v/>
      </c>
      <c r="M22" s="87" t="str">
        <f t="shared" si="21"/>
        <v/>
      </c>
      <c r="N22" s="87" t="str">
        <f t="shared" si="22"/>
        <v/>
      </c>
      <c r="O22" s="24" t="str">
        <f>IF(LEN(A22)&gt;0, 종합!$C$27, "")</f>
        <v/>
      </c>
      <c r="Q22" s="85" t="str">
        <f t="shared" si="25"/>
        <v/>
      </c>
      <c r="R22" s="85" t="str">
        <f t="shared" si="25"/>
        <v/>
      </c>
      <c r="S22" s="85" t="str">
        <f t="shared" si="25"/>
        <v/>
      </c>
      <c r="T22" s="85" t="str">
        <f t="shared" si="25"/>
        <v/>
      </c>
      <c r="U22" s="85" t="str">
        <f t="shared" si="25"/>
        <v/>
      </c>
      <c r="V22" s="85" t="str">
        <f t="shared" si="25"/>
        <v/>
      </c>
      <c r="W22" s="85" t="str">
        <f t="shared" si="25"/>
        <v/>
      </c>
      <c r="X22" s="85" t="str">
        <f t="shared" si="25"/>
        <v/>
      </c>
      <c r="Y22" s="85" t="str">
        <f t="shared" si="25"/>
        <v/>
      </c>
      <c r="Z22" s="85" t="str">
        <f t="shared" si="25"/>
        <v/>
      </c>
      <c r="AA22" s="85" t="str">
        <f t="shared" si="25"/>
        <v/>
      </c>
      <c r="AB22" s="85" t="str">
        <f t="shared" si="25"/>
        <v/>
      </c>
      <c r="AC22" s="85" t="str">
        <f t="shared" si="25"/>
        <v/>
      </c>
      <c r="AD22" s="85" t="str">
        <f t="shared" si="25"/>
        <v/>
      </c>
      <c r="AE22" s="85" t="str">
        <f t="shared" si="25"/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551" priority="271" operator="containsText" text="신품">
      <formula>NOT(ISERROR(SEARCH("신품",F7)))</formula>
    </cfRule>
    <cfRule type="containsText" dxfId="550" priority="272" operator="containsText" text="중고">
      <formula>NOT(ISERROR(SEARCH("중고",F7)))</formula>
    </cfRule>
  </conditionalFormatting>
  <conditionalFormatting sqref="I7:I9">
    <cfRule type="containsText" dxfId="549" priority="269" operator="containsText" text="신품">
      <formula>NOT(ISERROR(SEARCH("신품",I7)))</formula>
    </cfRule>
    <cfRule type="containsText" dxfId="548" priority="270" operator="containsText" text="중고">
      <formula>NOT(ISERROR(SEARCH("중고",I7)))</formula>
    </cfRule>
  </conditionalFormatting>
  <conditionalFormatting sqref="F10">
    <cfRule type="containsText" dxfId="547" priority="265" operator="containsText" text="신품">
      <formula>NOT(ISERROR(SEARCH("신품",F10)))</formula>
    </cfRule>
    <cfRule type="containsText" dxfId="546" priority="266" operator="containsText" text="중고">
      <formula>NOT(ISERROR(SEARCH("중고",F10)))</formula>
    </cfRule>
  </conditionalFormatting>
  <conditionalFormatting sqref="I10">
    <cfRule type="containsText" dxfId="545" priority="263" operator="containsText" text="신품">
      <formula>NOT(ISERROR(SEARCH("신품",I10)))</formula>
    </cfRule>
    <cfRule type="containsText" dxfId="544" priority="264" operator="containsText" text="중고">
      <formula>NOT(ISERROR(SEARCH("중고",I10)))</formula>
    </cfRule>
  </conditionalFormatting>
  <conditionalFormatting sqref="F11">
    <cfRule type="containsText" dxfId="543" priority="259" operator="containsText" text="신품">
      <formula>NOT(ISERROR(SEARCH("신품",F11)))</formula>
    </cfRule>
    <cfRule type="containsText" dxfId="542" priority="260" operator="containsText" text="중고">
      <formula>NOT(ISERROR(SEARCH("중고",F11)))</formula>
    </cfRule>
  </conditionalFormatting>
  <conditionalFormatting sqref="I11">
    <cfRule type="containsText" dxfId="541" priority="257" operator="containsText" text="신품">
      <formula>NOT(ISERROR(SEARCH("신품",I11)))</formula>
    </cfRule>
    <cfRule type="containsText" dxfId="540" priority="258" operator="containsText" text="중고">
      <formula>NOT(ISERROR(SEARCH("중고",I11)))</formula>
    </cfRule>
  </conditionalFormatting>
  <conditionalFormatting sqref="F12">
    <cfRule type="containsText" dxfId="539" priority="253" operator="containsText" text="신품">
      <formula>NOT(ISERROR(SEARCH("신품",F12)))</formula>
    </cfRule>
    <cfRule type="containsText" dxfId="538" priority="254" operator="containsText" text="중고">
      <formula>NOT(ISERROR(SEARCH("중고",F12)))</formula>
    </cfRule>
  </conditionalFormatting>
  <conditionalFormatting sqref="I12">
    <cfRule type="containsText" dxfId="537" priority="251" operator="containsText" text="신품">
      <formula>NOT(ISERROR(SEARCH("신품",I12)))</formula>
    </cfRule>
    <cfRule type="containsText" dxfId="536" priority="252" operator="containsText" text="중고">
      <formula>NOT(ISERROR(SEARCH("중고",I12)))</formula>
    </cfRule>
  </conditionalFormatting>
  <conditionalFormatting sqref="D23">
    <cfRule type="containsText" dxfId="523" priority="236" operator="containsText" text="진행중">
      <formula>NOT(ISERROR(SEARCH("진행중",D23)))</formula>
    </cfRule>
  </conditionalFormatting>
  <conditionalFormatting sqref="N8:N22">
    <cfRule type="containsText" dxfId="522" priority="139" operator="containsText" text="완료">
      <formula>NOT(ISERROR(SEARCH("완료",N8)))</formula>
    </cfRule>
    <cfRule type="containsText" dxfId="521" priority="140" operator="containsText" text="중단">
      <formula>NOT(ISERROR(SEARCH("중단",N8)))</formula>
    </cfRule>
  </conditionalFormatting>
  <conditionalFormatting sqref="N8:N22">
    <cfRule type="containsText" dxfId="520" priority="137" operator="containsText" text="완료">
      <formula>NOT(ISERROR(SEARCH("완료",N8)))</formula>
    </cfRule>
    <cfRule type="containsText" dxfId="519" priority="138" operator="containsText" text="중단">
      <formula>NOT(ISERROR(SEARCH("중단",N8)))</formula>
    </cfRule>
  </conditionalFormatting>
  <conditionalFormatting sqref="N8:N22">
    <cfRule type="containsText" dxfId="518" priority="136" operator="containsText" text="진행중">
      <formula>NOT(ISERROR(SEARCH("진행중",N8)))</formula>
    </cfRule>
  </conditionalFormatting>
  <conditionalFormatting sqref="F14:F22">
    <cfRule type="containsText" dxfId="517" priority="229" operator="containsText" text="완료">
      <formula>NOT(ISERROR(SEARCH("완료",F14)))</formula>
    </cfRule>
    <cfRule type="containsText" dxfId="516" priority="230" operator="containsText" text="중단">
      <formula>NOT(ISERROR(SEARCH("중단",F14)))</formula>
    </cfRule>
  </conditionalFormatting>
  <conditionalFormatting sqref="F14:F22">
    <cfRule type="containsText" dxfId="515" priority="227" operator="containsText" text="완료">
      <formula>NOT(ISERROR(SEARCH("완료",F14)))</formula>
    </cfRule>
    <cfRule type="containsText" dxfId="514" priority="228" operator="containsText" text="중단">
      <formula>NOT(ISERROR(SEARCH("중단",F14)))</formula>
    </cfRule>
  </conditionalFormatting>
  <conditionalFormatting sqref="F14:F22">
    <cfRule type="containsText" dxfId="513" priority="226" operator="containsText" text="진행중">
      <formula>NOT(ISERROR(SEARCH("진행중",F14)))</formula>
    </cfRule>
  </conditionalFormatting>
  <conditionalFormatting sqref="K8:K17">
    <cfRule type="containsText" dxfId="502" priority="119" operator="containsText" text="완료">
      <formula>NOT(ISERROR(SEARCH("완료",K8)))</formula>
    </cfRule>
    <cfRule type="containsText" dxfId="501" priority="120" operator="containsText" text="중단">
      <formula>NOT(ISERROR(SEARCH("중단",K8)))</formula>
    </cfRule>
  </conditionalFormatting>
  <conditionalFormatting sqref="K8:K17">
    <cfRule type="containsText" dxfId="500" priority="117" operator="containsText" text="완료">
      <formula>NOT(ISERROR(SEARCH("완료",K8)))</formula>
    </cfRule>
    <cfRule type="containsText" dxfId="499" priority="118" operator="containsText" text="중단">
      <formula>NOT(ISERROR(SEARCH("중단",K8)))</formula>
    </cfRule>
  </conditionalFormatting>
  <conditionalFormatting sqref="K8:K17">
    <cfRule type="containsText" dxfId="498" priority="116" operator="containsText" text="진행중">
      <formula>NOT(ISERROR(SEARCH("진행중",K8)))</formula>
    </cfRule>
  </conditionalFormatting>
  <conditionalFormatting sqref="L8:L17">
    <cfRule type="containsText" dxfId="497" priority="114" operator="containsText" text="완료">
      <formula>NOT(ISERROR(SEARCH("완료",L8)))</formula>
    </cfRule>
    <cfRule type="containsText" dxfId="496" priority="115" operator="containsText" text="중단">
      <formula>NOT(ISERROR(SEARCH("중단",L8)))</formula>
    </cfRule>
  </conditionalFormatting>
  <conditionalFormatting sqref="L8:L17">
    <cfRule type="containsText" dxfId="495" priority="112" operator="containsText" text="완료">
      <formula>NOT(ISERROR(SEARCH("완료",L8)))</formula>
    </cfRule>
    <cfRule type="containsText" dxfId="494" priority="113" operator="containsText" text="중단">
      <formula>NOT(ISERROR(SEARCH("중단",L8)))</formula>
    </cfRule>
  </conditionalFormatting>
  <conditionalFormatting sqref="L8:L17">
    <cfRule type="containsText" dxfId="493" priority="111" operator="containsText" text="진행중">
      <formula>NOT(ISERROR(SEARCH("진행중",L8)))</formula>
    </cfRule>
  </conditionalFormatting>
  <conditionalFormatting sqref="M8:M22">
    <cfRule type="containsText" dxfId="487" priority="109" operator="containsText" text="완료">
      <formula>NOT(ISERROR(SEARCH("완료",M8)))</formula>
    </cfRule>
    <cfRule type="containsText" dxfId="486" priority="110" operator="containsText" text="중단">
      <formula>NOT(ISERROR(SEARCH("중단",M8)))</formula>
    </cfRule>
  </conditionalFormatting>
  <conditionalFormatting sqref="M8:M22">
    <cfRule type="containsText" dxfId="485" priority="107" operator="containsText" text="완료">
      <formula>NOT(ISERROR(SEARCH("완료",M8)))</formula>
    </cfRule>
    <cfRule type="containsText" dxfId="484" priority="108" operator="containsText" text="중단">
      <formula>NOT(ISERROR(SEARCH("중단",M8)))</formula>
    </cfRule>
  </conditionalFormatting>
  <conditionalFormatting sqref="M8:M22">
    <cfRule type="containsText" dxfId="483" priority="106" operator="containsText" text="진행중">
      <formula>NOT(ISERROR(SEARCH("진행중",M8)))</formula>
    </cfRule>
  </conditionalFormatting>
  <conditionalFormatting sqref="I14:I22">
    <cfRule type="containsText" dxfId="472" priority="184" operator="containsText" text="완료">
      <formula>NOT(ISERROR(SEARCH("완료",I14)))</formula>
    </cfRule>
    <cfRule type="containsText" dxfId="471" priority="185" operator="containsText" text="중단">
      <formula>NOT(ISERROR(SEARCH("중단",I14)))</formula>
    </cfRule>
  </conditionalFormatting>
  <conditionalFormatting sqref="I14:I22">
    <cfRule type="containsText" dxfId="470" priority="182" operator="containsText" text="완료">
      <formula>NOT(ISERROR(SEARCH("완료",I14)))</formula>
    </cfRule>
    <cfRule type="containsText" dxfId="469" priority="183" operator="containsText" text="중단">
      <formula>NOT(ISERROR(SEARCH("중단",I14)))</formula>
    </cfRule>
  </conditionalFormatting>
  <conditionalFormatting sqref="I14:I22">
    <cfRule type="containsText" dxfId="468" priority="181" operator="containsText" text="진행중">
      <formula>NOT(ISERROR(SEARCH("진행중",I14)))</formula>
    </cfRule>
  </conditionalFormatting>
  <conditionalFormatting sqref="F13">
    <cfRule type="containsText" dxfId="467" priority="179" operator="containsText" text="완료">
      <formula>NOT(ISERROR(SEARCH("완료",F13)))</formula>
    </cfRule>
    <cfRule type="containsText" dxfId="466" priority="180" operator="containsText" text="중단">
      <formula>NOT(ISERROR(SEARCH("중단",F13)))</formula>
    </cfRule>
  </conditionalFormatting>
  <conditionalFormatting sqref="F13">
    <cfRule type="containsText" dxfId="465" priority="177" operator="containsText" text="완료">
      <formula>NOT(ISERROR(SEARCH("완료",F13)))</formula>
    </cfRule>
    <cfRule type="containsText" dxfId="464" priority="178" operator="containsText" text="중단">
      <formula>NOT(ISERROR(SEARCH("중단",F13)))</formula>
    </cfRule>
  </conditionalFormatting>
  <conditionalFormatting sqref="F13">
    <cfRule type="containsText" dxfId="463" priority="176" operator="containsText" text="진행중">
      <formula>NOT(ISERROR(SEARCH("진행중",F13)))</formula>
    </cfRule>
  </conditionalFormatting>
  <conditionalFormatting sqref="I13">
    <cfRule type="containsText" dxfId="462" priority="174" operator="containsText" text="완료">
      <formula>NOT(ISERROR(SEARCH("완료",I13)))</formula>
    </cfRule>
    <cfRule type="containsText" dxfId="461" priority="175" operator="containsText" text="중단">
      <formula>NOT(ISERROR(SEARCH("중단",I13)))</formula>
    </cfRule>
  </conditionalFormatting>
  <conditionalFormatting sqref="I13">
    <cfRule type="containsText" dxfId="460" priority="172" operator="containsText" text="완료">
      <formula>NOT(ISERROR(SEARCH("완료",I13)))</formula>
    </cfRule>
    <cfRule type="containsText" dxfId="459" priority="173" operator="containsText" text="중단">
      <formula>NOT(ISERROR(SEARCH("중단",I13)))</formula>
    </cfRule>
  </conditionalFormatting>
  <conditionalFormatting sqref="I13">
    <cfRule type="containsText" dxfId="458" priority="171" operator="containsText" text="진행중">
      <formula>NOT(ISERROR(SEARCH("진행중",I13)))</formula>
    </cfRule>
  </conditionalFormatting>
  <conditionalFormatting sqref="E20:E22">
    <cfRule type="containsText" dxfId="457" priority="94" operator="containsText" text="완료">
      <formula>NOT(ISERROR(SEARCH("완료",E20)))</formula>
    </cfRule>
    <cfRule type="containsText" dxfId="456" priority="95" operator="containsText" text="중단">
      <formula>NOT(ISERROR(SEARCH("중단",E20)))</formula>
    </cfRule>
  </conditionalFormatting>
  <conditionalFormatting sqref="E20:E22">
    <cfRule type="containsText" dxfId="455" priority="92" operator="containsText" text="완료">
      <formula>NOT(ISERROR(SEARCH("완료",E20)))</formula>
    </cfRule>
    <cfRule type="containsText" dxfId="454" priority="93" operator="containsText" text="중단">
      <formula>NOT(ISERROR(SEARCH("중단",E20)))</formula>
    </cfRule>
  </conditionalFormatting>
  <conditionalFormatting sqref="E20:E22">
    <cfRule type="containsText" dxfId="453" priority="91" operator="containsText" text="진행중">
      <formula>NOT(ISERROR(SEARCH("진행중",E20)))</formula>
    </cfRule>
  </conditionalFormatting>
  <conditionalFormatting sqref="K18:K22">
    <cfRule type="containsText" dxfId="452" priority="164" operator="containsText" text="완료">
      <formula>NOT(ISERROR(SEARCH("완료",K18)))</formula>
    </cfRule>
    <cfRule type="containsText" dxfId="451" priority="165" operator="containsText" text="중단">
      <formula>NOT(ISERROR(SEARCH("중단",K18)))</formula>
    </cfRule>
  </conditionalFormatting>
  <conditionalFormatting sqref="K18:K22">
    <cfRule type="containsText" dxfId="450" priority="162" operator="containsText" text="완료">
      <formula>NOT(ISERROR(SEARCH("완료",K18)))</formula>
    </cfRule>
    <cfRule type="containsText" dxfId="449" priority="163" operator="containsText" text="중단">
      <formula>NOT(ISERROR(SEARCH("중단",K18)))</formula>
    </cfRule>
  </conditionalFormatting>
  <conditionalFormatting sqref="K18:K22">
    <cfRule type="containsText" dxfId="448" priority="161" operator="containsText" text="진행중">
      <formula>NOT(ISERROR(SEARCH("진행중",K18)))</formula>
    </cfRule>
  </conditionalFormatting>
  <conditionalFormatting sqref="L18:L22">
    <cfRule type="containsText" dxfId="442" priority="154" operator="containsText" text="완료">
      <formula>NOT(ISERROR(SEARCH("완료",L18)))</formula>
    </cfRule>
    <cfRule type="containsText" dxfId="441" priority="155" operator="containsText" text="중단">
      <formula>NOT(ISERROR(SEARCH("중단",L18)))</formula>
    </cfRule>
  </conditionalFormatting>
  <conditionalFormatting sqref="L18:L22">
    <cfRule type="containsText" dxfId="440" priority="152" operator="containsText" text="완료">
      <formula>NOT(ISERROR(SEARCH("완료",L18)))</formula>
    </cfRule>
    <cfRule type="containsText" dxfId="439" priority="153" operator="containsText" text="중단">
      <formula>NOT(ISERROR(SEARCH("중단",L18)))</formula>
    </cfRule>
  </conditionalFormatting>
  <conditionalFormatting sqref="L18:L22">
    <cfRule type="containsText" dxfId="438" priority="151" operator="containsText" text="진행중">
      <formula>NOT(ISERROR(SEARCH("진행중",L18)))</formula>
    </cfRule>
  </conditionalFormatting>
  <conditionalFormatting sqref="E19">
    <cfRule type="containsText" dxfId="377" priority="89" operator="containsText" text="완료">
      <formula>NOT(ISERROR(SEARCH("완료",E19)))</formula>
    </cfRule>
    <cfRule type="containsText" dxfId="376" priority="90" operator="containsText" text="중단">
      <formula>NOT(ISERROR(SEARCH("중단",E19)))</formula>
    </cfRule>
  </conditionalFormatting>
  <conditionalFormatting sqref="E19">
    <cfRule type="containsText" dxfId="375" priority="87" operator="containsText" text="완료">
      <formula>NOT(ISERROR(SEARCH("완료",E19)))</formula>
    </cfRule>
    <cfRule type="containsText" dxfId="374" priority="88" operator="containsText" text="중단">
      <formula>NOT(ISERROR(SEARCH("중단",E19)))</formula>
    </cfRule>
  </conditionalFormatting>
  <conditionalFormatting sqref="E19">
    <cfRule type="containsText" dxfId="373" priority="86" operator="containsText" text="진행중">
      <formula>NOT(ISERROR(SEARCH("진행중",E19)))</formula>
    </cfRule>
  </conditionalFormatting>
  <conditionalFormatting sqref="G8:G20">
    <cfRule type="containsText" dxfId="372" priority="84" operator="containsText" text="완료">
      <formula>NOT(ISERROR(SEARCH("완료",G8)))</formula>
    </cfRule>
    <cfRule type="containsText" dxfId="371" priority="85" operator="containsText" text="중단">
      <formula>NOT(ISERROR(SEARCH("중단",G8)))</formula>
    </cfRule>
  </conditionalFormatting>
  <conditionalFormatting sqref="G8:G20">
    <cfRule type="containsText" dxfId="370" priority="82" operator="containsText" text="완료">
      <formula>NOT(ISERROR(SEARCH("완료",G8)))</formula>
    </cfRule>
    <cfRule type="containsText" dxfId="369" priority="83" operator="containsText" text="중단">
      <formula>NOT(ISERROR(SEARCH("중단",G8)))</formula>
    </cfRule>
  </conditionalFormatting>
  <conditionalFormatting sqref="G8:G20">
    <cfRule type="containsText" dxfId="368" priority="81" operator="containsText" text="진행중">
      <formula>NOT(ISERROR(SEARCH("진행중",G8)))</formula>
    </cfRule>
  </conditionalFormatting>
  <conditionalFormatting sqref="H8:H20">
    <cfRule type="containsText" dxfId="367" priority="79" operator="containsText" text="완료">
      <formula>NOT(ISERROR(SEARCH("완료",H8)))</formula>
    </cfRule>
    <cfRule type="containsText" dxfId="366" priority="80" operator="containsText" text="중단">
      <formula>NOT(ISERROR(SEARCH("중단",H8)))</formula>
    </cfRule>
  </conditionalFormatting>
  <conditionalFormatting sqref="H8:H20">
    <cfRule type="containsText" dxfId="365" priority="77" operator="containsText" text="완료">
      <formula>NOT(ISERROR(SEARCH("완료",H8)))</formula>
    </cfRule>
    <cfRule type="containsText" dxfId="364" priority="78" operator="containsText" text="중단">
      <formula>NOT(ISERROR(SEARCH("중단",H8)))</formula>
    </cfRule>
  </conditionalFormatting>
  <conditionalFormatting sqref="H8:H20">
    <cfRule type="containsText" dxfId="363" priority="76" operator="containsText" text="진행중">
      <formula>NOT(ISERROR(SEARCH("진행중",H8)))</formula>
    </cfRule>
  </conditionalFormatting>
  <conditionalFormatting sqref="Q20:Q22">
    <cfRule type="containsText" dxfId="342" priority="54" operator="containsText" text="완료">
      <formula>NOT(ISERROR(SEARCH("완료",Q20)))</formula>
    </cfRule>
    <cfRule type="containsText" dxfId="341" priority="55" operator="containsText" text="중단">
      <formula>NOT(ISERROR(SEARCH("중단",Q20)))</formula>
    </cfRule>
  </conditionalFormatting>
  <conditionalFormatting sqref="Q20:Q22">
    <cfRule type="containsText" dxfId="340" priority="52" operator="containsText" text="완료">
      <formula>NOT(ISERROR(SEARCH("완료",Q20)))</formula>
    </cfRule>
    <cfRule type="containsText" dxfId="339" priority="53" operator="containsText" text="중단">
      <formula>NOT(ISERROR(SEARCH("중단",Q20)))</formula>
    </cfRule>
  </conditionalFormatting>
  <conditionalFormatting sqref="Q20:Q22">
    <cfRule type="containsText" dxfId="338" priority="51" operator="containsText" text="진행중">
      <formula>NOT(ISERROR(SEARCH("진행중",Q20)))</formula>
    </cfRule>
  </conditionalFormatting>
  <conditionalFormatting sqref="R20:R22">
    <cfRule type="containsText" dxfId="337" priority="49" operator="containsText" text="완료">
      <formula>NOT(ISERROR(SEARCH("완료",R20)))</formula>
    </cfRule>
    <cfRule type="containsText" dxfId="336" priority="50" operator="containsText" text="중단">
      <formula>NOT(ISERROR(SEARCH("중단",R20)))</formula>
    </cfRule>
  </conditionalFormatting>
  <conditionalFormatting sqref="R20:R22">
    <cfRule type="containsText" dxfId="335" priority="47" operator="containsText" text="완료">
      <formula>NOT(ISERROR(SEARCH("완료",R20)))</formula>
    </cfRule>
    <cfRule type="containsText" dxfId="334" priority="48" operator="containsText" text="중단">
      <formula>NOT(ISERROR(SEARCH("중단",R20)))</formula>
    </cfRule>
  </conditionalFormatting>
  <conditionalFormatting sqref="R20:R22">
    <cfRule type="containsText" dxfId="333" priority="46" operator="containsText" text="진행중">
      <formula>NOT(ISERROR(SEARCH("진행중",R20)))</formula>
    </cfRule>
  </conditionalFormatting>
  <conditionalFormatting sqref="S20:S22">
    <cfRule type="containsText" dxfId="332" priority="44" operator="containsText" text="완료">
      <formula>NOT(ISERROR(SEARCH("완료",S20)))</formula>
    </cfRule>
    <cfRule type="containsText" dxfId="331" priority="45" operator="containsText" text="중단">
      <formula>NOT(ISERROR(SEARCH("중단",S20)))</formula>
    </cfRule>
  </conditionalFormatting>
  <conditionalFormatting sqref="S20:S22">
    <cfRule type="containsText" dxfId="330" priority="42" operator="containsText" text="완료">
      <formula>NOT(ISERROR(SEARCH("완료",S20)))</formula>
    </cfRule>
    <cfRule type="containsText" dxfId="329" priority="43" operator="containsText" text="중단">
      <formula>NOT(ISERROR(SEARCH("중단",S20)))</formula>
    </cfRule>
  </conditionalFormatting>
  <conditionalFormatting sqref="S20:S22">
    <cfRule type="containsText" dxfId="328" priority="41" operator="containsText" text="진행중">
      <formula>NOT(ISERROR(SEARCH("진행중",S20)))</formula>
    </cfRule>
  </conditionalFormatting>
  <conditionalFormatting sqref="T20:T22">
    <cfRule type="containsText" dxfId="327" priority="39" operator="containsText" text="완료">
      <formula>NOT(ISERROR(SEARCH("완료",T20)))</formula>
    </cfRule>
    <cfRule type="containsText" dxfId="326" priority="40" operator="containsText" text="중단">
      <formula>NOT(ISERROR(SEARCH("중단",T20)))</formula>
    </cfRule>
  </conditionalFormatting>
  <conditionalFormatting sqref="T20:T22">
    <cfRule type="containsText" dxfId="325" priority="37" operator="containsText" text="완료">
      <formula>NOT(ISERROR(SEARCH("완료",T20)))</formula>
    </cfRule>
    <cfRule type="containsText" dxfId="324" priority="38" operator="containsText" text="중단">
      <formula>NOT(ISERROR(SEARCH("중단",T20)))</formula>
    </cfRule>
  </conditionalFormatting>
  <conditionalFormatting sqref="T20:T22">
    <cfRule type="containsText" dxfId="323" priority="36" operator="containsText" text="진행중">
      <formula>NOT(ISERROR(SEARCH("진행중",T20)))</formula>
    </cfRule>
  </conditionalFormatting>
  <conditionalFormatting sqref="U20:AC22">
    <cfRule type="containsText" dxfId="322" priority="34" operator="containsText" text="완료">
      <formula>NOT(ISERROR(SEARCH("완료",U20)))</formula>
    </cfRule>
    <cfRule type="containsText" dxfId="321" priority="35" operator="containsText" text="중단">
      <formula>NOT(ISERROR(SEARCH("중단",U20)))</formula>
    </cfRule>
  </conditionalFormatting>
  <conditionalFormatting sqref="U20:AC22">
    <cfRule type="containsText" dxfId="320" priority="32" operator="containsText" text="완료">
      <formula>NOT(ISERROR(SEARCH("완료",U20)))</formula>
    </cfRule>
    <cfRule type="containsText" dxfId="319" priority="33" operator="containsText" text="중단">
      <formula>NOT(ISERROR(SEARCH("중단",U20)))</formula>
    </cfRule>
  </conditionalFormatting>
  <conditionalFormatting sqref="U20:AC22">
    <cfRule type="containsText" dxfId="318" priority="31" operator="containsText" text="진행중">
      <formula>NOT(ISERROR(SEARCH("진행중",U20)))</formula>
    </cfRule>
  </conditionalFormatting>
  <conditionalFormatting sqref="AD20:AD22">
    <cfRule type="containsText" dxfId="317" priority="29" operator="containsText" text="완료">
      <formula>NOT(ISERROR(SEARCH("완료",AD20)))</formula>
    </cfRule>
    <cfRule type="containsText" dxfId="316" priority="30" operator="containsText" text="중단">
      <formula>NOT(ISERROR(SEARCH("중단",AD20)))</formula>
    </cfRule>
  </conditionalFormatting>
  <conditionalFormatting sqref="AD20:AD22">
    <cfRule type="containsText" dxfId="315" priority="27" operator="containsText" text="완료">
      <formula>NOT(ISERROR(SEARCH("완료",AD20)))</formula>
    </cfRule>
    <cfRule type="containsText" dxfId="314" priority="28" operator="containsText" text="중단">
      <formula>NOT(ISERROR(SEARCH("중단",AD20)))</formula>
    </cfRule>
  </conditionalFormatting>
  <conditionalFormatting sqref="AD20:AD22">
    <cfRule type="containsText" dxfId="313" priority="26" operator="containsText" text="진행중">
      <formula>NOT(ISERROR(SEARCH("진행중",AD20)))</formula>
    </cfRule>
  </conditionalFormatting>
  <conditionalFormatting sqref="AE20:AE22">
    <cfRule type="containsText" dxfId="312" priority="24" operator="containsText" text="완료">
      <formula>NOT(ISERROR(SEARCH("완료",AE20)))</formula>
    </cfRule>
    <cfRule type="containsText" dxfId="311" priority="25" operator="containsText" text="중단">
      <formula>NOT(ISERROR(SEARCH("중단",AE20)))</formula>
    </cfRule>
  </conditionalFormatting>
  <conditionalFormatting sqref="AE20:AE22">
    <cfRule type="containsText" dxfId="310" priority="22" operator="containsText" text="완료">
      <formula>NOT(ISERROR(SEARCH("완료",AE20)))</formula>
    </cfRule>
    <cfRule type="containsText" dxfId="309" priority="23" operator="containsText" text="중단">
      <formula>NOT(ISERROR(SEARCH("중단",AE20)))</formula>
    </cfRule>
  </conditionalFormatting>
  <conditionalFormatting sqref="AE20:AE22">
    <cfRule type="containsText" dxfId="308" priority="21" operator="containsText" text="진행중">
      <formula>NOT(ISERROR(SEARCH("진행중",AE20)))</formula>
    </cfRule>
  </conditionalFormatting>
  <conditionalFormatting sqref="D8:D19">
    <cfRule type="containsText" dxfId="307" priority="19" operator="containsText" text="완료">
      <formula>NOT(ISERROR(SEARCH("완료",D8)))</formula>
    </cfRule>
    <cfRule type="containsText" dxfId="306" priority="20" operator="containsText" text="중단">
      <formula>NOT(ISERROR(SEARCH("중단",D8)))</formula>
    </cfRule>
  </conditionalFormatting>
  <conditionalFormatting sqref="D11">
    <cfRule type="containsText" dxfId="305" priority="17" operator="containsText" text="완료">
      <formula>NOT(ISERROR(SEARCH("완료",D11)))</formula>
    </cfRule>
    <cfRule type="containsText" dxfId="304" priority="18" operator="containsText" text="중단">
      <formula>NOT(ISERROR(SEARCH("중단",D11)))</formula>
    </cfRule>
  </conditionalFormatting>
  <conditionalFormatting sqref="D12:D19">
    <cfRule type="containsText" dxfId="303" priority="15" operator="containsText" text="완료">
      <formula>NOT(ISERROR(SEARCH("완료",D12)))</formula>
    </cfRule>
    <cfRule type="containsText" dxfId="302" priority="16" operator="containsText" text="중단">
      <formula>NOT(ISERROR(SEARCH("중단",D12)))</formula>
    </cfRule>
  </conditionalFormatting>
  <conditionalFormatting sqref="D13:D19">
    <cfRule type="containsText" dxfId="301" priority="13" operator="containsText" text="완료">
      <formula>NOT(ISERROR(SEARCH("완료",D13)))</formula>
    </cfRule>
    <cfRule type="containsText" dxfId="300" priority="14" operator="containsText" text="중단">
      <formula>NOT(ISERROR(SEARCH("중단",D13)))</formula>
    </cfRule>
  </conditionalFormatting>
  <conditionalFormatting sqref="D8:D19">
    <cfRule type="containsText" dxfId="299" priority="12" operator="containsText" text="진행중">
      <formula>NOT(ISERROR(SEARCH("진행중",D8)))</formula>
    </cfRule>
  </conditionalFormatting>
  <conditionalFormatting sqref="D8:D22">
    <cfRule type="containsText" dxfId="298" priority="10" operator="containsText" text="완료">
      <formula>NOT(ISERROR(SEARCH("완료",D8)))</formula>
    </cfRule>
    <cfRule type="containsText" dxfId="297" priority="11" operator="containsText" text="중단">
      <formula>NOT(ISERROR(SEARCH("중단",D8)))</formula>
    </cfRule>
  </conditionalFormatting>
  <conditionalFormatting sqref="D8:D22">
    <cfRule type="containsText" dxfId="296" priority="8" operator="containsText" text="완료">
      <formula>NOT(ISERROR(SEARCH("완료",D8)))</formula>
    </cfRule>
    <cfRule type="containsText" dxfId="295" priority="9" operator="containsText" text="중단">
      <formula>NOT(ISERROR(SEARCH("중단",D8)))</formula>
    </cfRule>
  </conditionalFormatting>
  <conditionalFormatting sqref="D8:D22">
    <cfRule type="containsText" dxfId="294" priority="7" operator="containsText" text="진행중">
      <formula>NOT(ISERROR(SEARCH("진행중",D8)))</formula>
    </cfRule>
  </conditionalFormatting>
  <conditionalFormatting sqref="D7">
    <cfRule type="containsText" dxfId="293" priority="5" operator="containsText" text="완료">
      <formula>NOT(ISERROR(SEARCH("완료",D7)))</formula>
    </cfRule>
    <cfRule type="containsText" dxfId="292" priority="6" operator="containsText" text="중단">
      <formula>NOT(ISERROR(SEARCH("중단",D7)))</formula>
    </cfRule>
  </conditionalFormatting>
  <conditionalFormatting sqref="D7">
    <cfRule type="containsText" dxfId="291" priority="3" operator="containsText" text="완료">
      <formula>NOT(ISERROR(SEARCH("완료",D7)))</formula>
    </cfRule>
    <cfRule type="containsText" dxfId="290" priority="4" operator="containsText" text="중단">
      <formula>NOT(ISERROR(SEARCH("중단",D7)))</formula>
    </cfRule>
  </conditionalFormatting>
  <conditionalFormatting sqref="D7">
    <cfRule type="containsText" dxfId="289" priority="2" operator="containsText" text="진행중">
      <formula>NOT(ISERROR(SEARCH("진행중",D7)))</formula>
    </cfRule>
  </conditionalFormatting>
  <conditionalFormatting sqref="A1:AG23">
    <cfRule type="containsText" dxfId="1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499984740745262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D20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5" t="s">
        <v>40</v>
      </c>
      <c r="G8" s="87" t="str">
        <f>IF(NOT(LEN($I8)=0),G7,"")</f>
        <v>-</v>
      </c>
      <c r="H8" s="87" t="str">
        <f>IF(NOT(LEN($I8)=0),H7,"")</f>
        <v>-</v>
      </c>
      <c r="I8" s="85" t="s">
        <v>40</v>
      </c>
      <c r="J8" s="1"/>
      <c r="K8" s="87" t="str">
        <f t="shared" ref="K8:K17" si="3">IF(NOT(LEN($I8)=0),K7,"")</f>
        <v>VITA</v>
      </c>
      <c r="L8" s="87" t="str">
        <f t="shared" ref="L8:L17" si="4">IF(NOT(LEN($I8)=0),L7,"")</f>
        <v>MARK II</v>
      </c>
      <c r="M8" s="87">
        <f t="shared" ref="M8:M17" si="5">IF(NOT(LEN($I8)=0),M7,"")</f>
        <v>160</v>
      </c>
      <c r="N8" s="87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6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5" t="s">
        <v>40</v>
      </c>
      <c r="G9" s="87" t="str">
        <f t="shared" ref="G9:G19" si="7">IF(NOT(LEN($I9)=0),G8,"")</f>
        <v>-</v>
      </c>
      <c r="H9" s="87" t="str">
        <f t="shared" ref="H9:H19" si="8">IF(NOT(LEN($I9)=0),H8,"")</f>
        <v>-</v>
      </c>
      <c r="I9" s="85" t="s">
        <v>40</v>
      </c>
      <c r="J9" s="1"/>
      <c r="K9" s="87" t="str">
        <f t="shared" si="3"/>
        <v>VITA</v>
      </c>
      <c r="L9" s="87" t="str">
        <f t="shared" si="4"/>
        <v>MARK II</v>
      </c>
      <c r="M9" s="87">
        <f t="shared" ref="M9:M18" si="9">IF(NOT(LEN($I9)=0),M8,"")</f>
        <v>160</v>
      </c>
      <c r="N9" s="87" t="str">
        <f t="shared" ref="N9:N18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6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7" t="str">
        <f t="shared" si="7"/>
        <v>-</v>
      </c>
      <c r="H10" s="87" t="str">
        <f t="shared" si="8"/>
        <v>-</v>
      </c>
      <c r="I10" s="85" t="s">
        <v>40</v>
      </c>
      <c r="J10" s="1"/>
      <c r="K10" s="87" t="str">
        <f t="shared" si="3"/>
        <v>VITA</v>
      </c>
      <c r="L10" s="87" t="str">
        <f t="shared" si="4"/>
        <v>MARK II</v>
      </c>
      <c r="M10" s="87">
        <f t="shared" si="9"/>
        <v>160</v>
      </c>
      <c r="N10" s="87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6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5" t="s">
        <v>40</v>
      </c>
      <c r="G11" s="87" t="str">
        <f t="shared" si="7"/>
        <v>-</v>
      </c>
      <c r="H11" s="87" t="str">
        <f t="shared" si="8"/>
        <v>-</v>
      </c>
      <c r="I11" s="85" t="s">
        <v>40</v>
      </c>
      <c r="J11" s="1"/>
      <c r="K11" s="87" t="str">
        <f t="shared" si="3"/>
        <v>VITA</v>
      </c>
      <c r="L11" s="87" t="str">
        <f t="shared" si="4"/>
        <v>MARK II</v>
      </c>
      <c r="M11" s="87">
        <f t="shared" si="9"/>
        <v>160</v>
      </c>
      <c r="N11" s="87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22" si="11">IF(MOD($B11,5)=0, "000-000","-" )</f>
        <v>000-000</v>
      </c>
      <c r="Z11" s="7" t="str">
        <f t="shared" si="11"/>
        <v>000-000</v>
      </c>
      <c r="AA11" s="7" t="str">
        <f t="shared" si="11"/>
        <v>000-000</v>
      </c>
      <c r="AB11" s="7" t="str">
        <f t="shared" si="11"/>
        <v>000-000</v>
      </c>
      <c r="AC11" s="7" t="s">
        <v>67</v>
      </c>
      <c r="AD11" s="7" t="str">
        <f t="shared" si="2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6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5" t="s">
        <v>40</v>
      </c>
      <c r="G12" s="87" t="str">
        <f t="shared" si="7"/>
        <v>-</v>
      </c>
      <c r="H12" s="87" t="str">
        <f t="shared" si="8"/>
        <v>-</v>
      </c>
      <c r="I12" s="85" t="s">
        <v>40</v>
      </c>
      <c r="J12" s="1"/>
      <c r="K12" s="87" t="str">
        <f t="shared" si="3"/>
        <v>VITA</v>
      </c>
      <c r="L12" s="87" t="str">
        <f t="shared" si="4"/>
        <v>MARK II</v>
      </c>
      <c r="M12" s="87">
        <f t="shared" si="9"/>
        <v>160</v>
      </c>
      <c r="N12" s="87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6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86">
        <v>0</v>
      </c>
      <c r="G13" s="86" t="str">
        <f t="shared" si="7"/>
        <v>-</v>
      </c>
      <c r="H13" s="86" t="str">
        <f t="shared" si="8"/>
        <v>-</v>
      </c>
      <c r="I13" s="86">
        <v>0</v>
      </c>
      <c r="J13" s="1"/>
      <c r="K13" s="87" t="str">
        <f t="shared" si="3"/>
        <v>VITA</v>
      </c>
      <c r="L13" s="87" t="str">
        <f t="shared" si="4"/>
        <v>MARK II</v>
      </c>
      <c r="M13" s="87">
        <f t="shared" si="9"/>
        <v>160</v>
      </c>
      <c r="N13" s="87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6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7"/>
        <v>-</v>
      </c>
      <c r="H14" s="86" t="str">
        <f t="shared" si="8"/>
        <v>-</v>
      </c>
      <c r="I14" s="86">
        <f>IF(NOT(LEN($A14)=0),IF(I13+1&gt;15,"버교체요망",I13+1),"")</f>
        <v>1</v>
      </c>
      <c r="J14" s="1"/>
      <c r="K14" s="87" t="str">
        <f t="shared" si="3"/>
        <v>VITA</v>
      </c>
      <c r="L14" s="87" t="str">
        <f t="shared" si="4"/>
        <v>MARK II</v>
      </c>
      <c r="M14" s="87">
        <f t="shared" si="9"/>
        <v>160</v>
      </c>
      <c r="N14" s="87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6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86">
        <f t="shared" ref="F15:F22" si="13">IF(NOT(LEN($A15)=0),IF(F14+1&gt;15,"버교체요망",F14+1),"")</f>
        <v>2</v>
      </c>
      <c r="G15" s="86" t="str">
        <f t="shared" si="7"/>
        <v>-</v>
      </c>
      <c r="H15" s="86" t="str">
        <f t="shared" si="8"/>
        <v>-</v>
      </c>
      <c r="I15" s="86">
        <f t="shared" ref="I15:I22" si="14">IF(NOT(LEN($A15)=0),IF(I14+1&gt;15,"버교체요망",I14+1),"")</f>
        <v>2</v>
      </c>
      <c r="J15" s="1"/>
      <c r="K15" s="87" t="str">
        <f t="shared" si="3"/>
        <v>VITA</v>
      </c>
      <c r="L15" s="87" t="str">
        <f t="shared" si="4"/>
        <v>MARK II</v>
      </c>
      <c r="M15" s="87">
        <f t="shared" si="9"/>
        <v>160</v>
      </c>
      <c r="N15" s="87" t="str">
        <f t="shared" si="10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6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86">
        <f t="shared" si="13"/>
        <v>3</v>
      </c>
      <c r="G16" s="86" t="str">
        <f t="shared" si="7"/>
        <v>-</v>
      </c>
      <c r="H16" s="86" t="str">
        <f t="shared" si="8"/>
        <v>-</v>
      </c>
      <c r="I16" s="86">
        <f t="shared" si="14"/>
        <v>3</v>
      </c>
      <c r="J16" s="1"/>
      <c r="K16" s="87" t="str">
        <f t="shared" si="3"/>
        <v>VITA</v>
      </c>
      <c r="L16" s="87" t="str">
        <f t="shared" si="4"/>
        <v>MARK II</v>
      </c>
      <c r="M16" s="87">
        <f t="shared" si="9"/>
        <v>160</v>
      </c>
      <c r="N16" s="87" t="str">
        <f t="shared" si="10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ref="AE16:AE22" si="15">IF($B16="","-",
  IFERROR(
    IF(AND($B16&lt;&gt;0, MOD($B16,160)=0),
       "TENSION (XL : / ZL : / XR : / ZR : / Y : )" &amp; CHAR(10) &amp; "필터교체",
       "-"
    ),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6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86">
        <f t="shared" si="13"/>
        <v>4</v>
      </c>
      <c r="G17" s="86" t="str">
        <f t="shared" si="7"/>
        <v>-</v>
      </c>
      <c r="H17" s="86" t="str">
        <f t="shared" si="8"/>
        <v>-</v>
      </c>
      <c r="I17" s="86">
        <f t="shared" si="14"/>
        <v>4</v>
      </c>
      <c r="J17" s="1"/>
      <c r="K17" s="87" t="str">
        <f t="shared" si="3"/>
        <v>VITA</v>
      </c>
      <c r="L17" s="87" t="str">
        <f t="shared" si="4"/>
        <v>MARK II</v>
      </c>
      <c r="M17" s="87">
        <f t="shared" si="9"/>
        <v>160</v>
      </c>
      <c r="N17" s="87" t="str">
        <f t="shared" si="10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15"/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6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24">
        <v>23</v>
      </c>
      <c r="F18" s="86">
        <f t="shared" si="13"/>
        <v>5</v>
      </c>
      <c r="G18" s="86" t="str">
        <f t="shared" si="7"/>
        <v>-</v>
      </c>
      <c r="H18" s="86" t="str">
        <f t="shared" si="8"/>
        <v>-</v>
      </c>
      <c r="I18" s="86">
        <f t="shared" si="14"/>
        <v>5</v>
      </c>
      <c r="J18" s="1"/>
      <c r="K18" s="87" t="str">
        <f>IF(NOT(LEN($I18)=0),K17,"")</f>
        <v>VITA</v>
      </c>
      <c r="L18" s="87" t="str">
        <f>IF(NOT(LEN($I18)=0),L17,"")</f>
        <v>MARK II</v>
      </c>
      <c r="M18" s="87">
        <f t="shared" si="9"/>
        <v>160</v>
      </c>
      <c r="N18" s="87" t="str">
        <f t="shared" si="10"/>
        <v>-</v>
      </c>
      <c r="O18" s="24">
        <f>IF(LEN(A18)&gt;0, 종합!$C$27, "")</f>
        <v>2.2599999999999998</v>
      </c>
      <c r="P18" s="1"/>
      <c r="Q18" s="7" t="str">
        <f t="shared" ref="Q18:T22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2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2" si="18">IF(MOD($B18,5)=0, "스핀들소음 :","-" )</f>
        <v>-</v>
      </c>
      <c r="AD18" s="7" t="str">
        <f t="shared" si="2"/>
        <v>-</v>
      </c>
      <c r="AE18" s="7" t="str">
        <f t="shared" si="15"/>
        <v>-</v>
      </c>
      <c r="AF18" s="1" t="s">
        <v>16</v>
      </c>
      <c r="AG18" s="2"/>
    </row>
    <row r="19" spans="1:33" x14ac:dyDescent="0.45">
      <c r="A19" s="3">
        <v>45973</v>
      </c>
      <c r="B19" s="24">
        <f t="shared" si="6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6">
        <v>21</v>
      </c>
      <c r="F19" s="86">
        <f t="shared" si="13"/>
        <v>6</v>
      </c>
      <c r="G19" s="86" t="str">
        <f t="shared" si="7"/>
        <v>-</v>
      </c>
      <c r="H19" s="86" t="str">
        <f t="shared" si="8"/>
        <v>-</v>
      </c>
      <c r="I19" s="86">
        <f t="shared" si="14"/>
        <v>6</v>
      </c>
      <c r="J19" s="1"/>
      <c r="K19" s="87" t="str">
        <f t="shared" ref="K19:K22" si="19">IF(NOT(LEN($I19)=0),K18,"")</f>
        <v>VITA</v>
      </c>
      <c r="L19" s="87" t="str">
        <f t="shared" ref="L19:L22" si="20">IF(NOT(LEN($I19)=0),L18,"")</f>
        <v>MARK II</v>
      </c>
      <c r="M19" s="87">
        <f t="shared" ref="M19:M22" si="21">IF(NOT(LEN($I19)=0),M18,"")</f>
        <v>160</v>
      </c>
      <c r="N19" s="87" t="str">
        <f t="shared" ref="N19:N22" si="22">IF(NOT(LEN($I19)=0),N18,"")</f>
        <v>-</v>
      </c>
      <c r="O19" s="24">
        <f>IF(LEN(A19)&gt;0, 종합!$C$27, "")</f>
        <v>2.2599999999999998</v>
      </c>
      <c r="P19" s="1"/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2"/>
        <v>-</v>
      </c>
      <c r="AE19" s="7" t="str">
        <f t="shared" si="15"/>
        <v>-</v>
      </c>
      <c r="AF19" s="1" t="s">
        <v>16</v>
      </c>
      <c r="AG19" s="2"/>
    </row>
    <row r="20" spans="1:33" x14ac:dyDescent="0.45">
      <c r="A20" s="3">
        <v>45973</v>
      </c>
      <c r="B20" s="24">
        <f t="shared" si="6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6">
        <v>21</v>
      </c>
      <c r="F20" s="86">
        <f t="shared" si="13"/>
        <v>7</v>
      </c>
      <c r="G20" s="86" t="str">
        <f t="shared" ref="G20" si="23">IF(NOT(LEN($I20)=0),G19,"")</f>
        <v>-</v>
      </c>
      <c r="H20" s="86" t="str">
        <f t="shared" ref="H20" si="24">IF(NOT(LEN($I20)=0),H19,"")</f>
        <v>-</v>
      </c>
      <c r="I20" s="86">
        <f t="shared" si="14"/>
        <v>7</v>
      </c>
      <c r="J20" s="1"/>
      <c r="K20" s="87" t="str">
        <f t="shared" si="19"/>
        <v>VITA</v>
      </c>
      <c r="L20" s="87" t="str">
        <f t="shared" si="20"/>
        <v>MARK II</v>
      </c>
      <c r="M20" s="87">
        <f t="shared" si="21"/>
        <v>160</v>
      </c>
      <c r="N20" s="87" t="str">
        <f t="shared" si="22"/>
        <v>-</v>
      </c>
      <c r="O20" s="24">
        <f>IF(LEN(A20)&gt;0, 종합!$C$27, "")</f>
        <v>2.2599999999999998</v>
      </c>
      <c r="P20" s="1"/>
      <c r="Q20" s="85" t="str">
        <f t="shared" ref="Q20:AE22" si="25">IF(NOT(LEN($A20)=0),"누락","")</f>
        <v>누락</v>
      </c>
      <c r="R20" s="85" t="str">
        <f t="shared" si="25"/>
        <v>누락</v>
      </c>
      <c r="S20" s="85" t="str">
        <f t="shared" si="25"/>
        <v>누락</v>
      </c>
      <c r="T20" s="85" t="str">
        <f t="shared" si="25"/>
        <v>누락</v>
      </c>
      <c r="U20" s="85" t="str">
        <f t="shared" si="25"/>
        <v>누락</v>
      </c>
      <c r="V20" s="85" t="str">
        <f t="shared" si="25"/>
        <v>누락</v>
      </c>
      <c r="W20" s="85" t="str">
        <f t="shared" si="25"/>
        <v>누락</v>
      </c>
      <c r="X20" s="85" t="str">
        <f t="shared" si="25"/>
        <v>누락</v>
      </c>
      <c r="Y20" s="85" t="str">
        <f t="shared" si="25"/>
        <v>누락</v>
      </c>
      <c r="Z20" s="85" t="str">
        <f t="shared" si="25"/>
        <v>누락</v>
      </c>
      <c r="AA20" s="85" t="str">
        <f t="shared" si="25"/>
        <v>누락</v>
      </c>
      <c r="AB20" s="85" t="str">
        <f t="shared" si="25"/>
        <v>누락</v>
      </c>
      <c r="AC20" s="85" t="str">
        <f t="shared" si="25"/>
        <v>누락</v>
      </c>
      <c r="AD20" s="85" t="str">
        <f t="shared" si="25"/>
        <v>누락</v>
      </c>
      <c r="AE20" s="85" t="str">
        <f t="shared" si="25"/>
        <v>누락</v>
      </c>
      <c r="AF20" s="1" t="s">
        <v>16</v>
      </c>
      <c r="AG20" s="2"/>
    </row>
    <row r="21" spans="1:33" x14ac:dyDescent="0.45">
      <c r="B21" s="24" t="str">
        <f t="shared" si="6"/>
        <v/>
      </c>
      <c r="C21" s="7" t="str">
        <f t="shared" si="0"/>
        <v/>
      </c>
      <c r="D21" s="6" t="str">
        <f>IF(NOT(LEN(B21)=0),IF(LEN(D22)=0,"진행중","완료"),"")</f>
        <v/>
      </c>
      <c r="E21" s="85" t="str">
        <f t="shared" ref="E21:E22" si="26">IF(NOT(LEN($A21)=0),"누락","")</f>
        <v/>
      </c>
      <c r="F21" s="85" t="str">
        <f t="shared" si="13"/>
        <v/>
      </c>
      <c r="G21" s="90"/>
      <c r="H21" s="90"/>
      <c r="I21" s="85" t="str">
        <f t="shared" si="14"/>
        <v/>
      </c>
      <c r="K21" s="87" t="str">
        <f t="shared" si="19"/>
        <v/>
      </c>
      <c r="L21" s="87" t="str">
        <f t="shared" si="20"/>
        <v/>
      </c>
      <c r="M21" s="87" t="str">
        <f t="shared" si="21"/>
        <v/>
      </c>
      <c r="N21" s="87" t="str">
        <f t="shared" si="22"/>
        <v/>
      </c>
      <c r="O21" s="24" t="str">
        <f>IF(LEN(A21)&gt;0, 종합!$C$27, "")</f>
        <v/>
      </c>
      <c r="Q21" s="85" t="str">
        <f t="shared" si="25"/>
        <v/>
      </c>
      <c r="R21" s="85" t="str">
        <f t="shared" si="25"/>
        <v/>
      </c>
      <c r="S21" s="85" t="str">
        <f t="shared" si="25"/>
        <v/>
      </c>
      <c r="T21" s="85" t="str">
        <f t="shared" si="25"/>
        <v/>
      </c>
      <c r="U21" s="85" t="str">
        <f t="shared" si="25"/>
        <v/>
      </c>
      <c r="V21" s="85" t="str">
        <f t="shared" si="25"/>
        <v/>
      </c>
      <c r="W21" s="85" t="str">
        <f t="shared" si="25"/>
        <v/>
      </c>
      <c r="X21" s="85" t="str">
        <f t="shared" si="25"/>
        <v/>
      </c>
      <c r="Y21" s="85" t="str">
        <f t="shared" si="25"/>
        <v/>
      </c>
      <c r="Z21" s="85" t="str">
        <f t="shared" si="25"/>
        <v/>
      </c>
      <c r="AA21" s="85" t="str">
        <f t="shared" si="25"/>
        <v/>
      </c>
      <c r="AB21" s="85" t="str">
        <f t="shared" si="25"/>
        <v/>
      </c>
      <c r="AC21" s="85" t="str">
        <f t="shared" si="25"/>
        <v/>
      </c>
      <c r="AD21" s="85" t="str">
        <f t="shared" si="25"/>
        <v/>
      </c>
      <c r="AE21" s="85" t="str">
        <f t="shared" si="25"/>
        <v/>
      </c>
    </row>
    <row r="22" spans="1:33" x14ac:dyDescent="0.45">
      <c r="B22" s="24" t="str">
        <f t="shared" si="6"/>
        <v/>
      </c>
      <c r="C22" s="7" t="str">
        <f t="shared" si="0"/>
        <v/>
      </c>
      <c r="D22" s="6" t="str">
        <f>IF(NOT(LEN(B22)=0),IF(LEN(D23)=0,"진행중","완료"),"")</f>
        <v/>
      </c>
      <c r="E22" s="85" t="str">
        <f t="shared" si="26"/>
        <v/>
      </c>
      <c r="F22" s="85" t="str">
        <f t="shared" si="13"/>
        <v/>
      </c>
      <c r="G22" s="90"/>
      <c r="H22" s="90"/>
      <c r="I22" s="85" t="str">
        <f t="shared" si="14"/>
        <v/>
      </c>
      <c r="K22" s="87" t="str">
        <f t="shared" si="19"/>
        <v/>
      </c>
      <c r="L22" s="87" t="str">
        <f t="shared" si="20"/>
        <v/>
      </c>
      <c r="M22" s="87" t="str">
        <f t="shared" si="21"/>
        <v/>
      </c>
      <c r="N22" s="87" t="str">
        <f t="shared" si="22"/>
        <v/>
      </c>
      <c r="O22" s="24" t="str">
        <f>IF(LEN(A22)&gt;0, 종합!$C$27, "")</f>
        <v/>
      </c>
      <c r="Q22" s="85" t="str">
        <f t="shared" si="25"/>
        <v/>
      </c>
      <c r="R22" s="85" t="str">
        <f t="shared" si="25"/>
        <v/>
      </c>
      <c r="S22" s="85" t="str">
        <f t="shared" si="25"/>
        <v/>
      </c>
      <c r="T22" s="85" t="str">
        <f t="shared" si="25"/>
        <v/>
      </c>
      <c r="U22" s="85" t="str">
        <f t="shared" si="25"/>
        <v/>
      </c>
      <c r="V22" s="85" t="str">
        <f t="shared" si="25"/>
        <v/>
      </c>
      <c r="W22" s="85" t="str">
        <f t="shared" si="25"/>
        <v/>
      </c>
      <c r="X22" s="85" t="str">
        <f t="shared" si="25"/>
        <v/>
      </c>
      <c r="Y22" s="85" t="str">
        <f t="shared" si="25"/>
        <v/>
      </c>
      <c r="Z22" s="85" t="str">
        <f t="shared" si="25"/>
        <v/>
      </c>
      <c r="AA22" s="85" t="str">
        <f t="shared" si="25"/>
        <v/>
      </c>
      <c r="AB22" s="85" t="str">
        <f t="shared" si="25"/>
        <v/>
      </c>
      <c r="AC22" s="85" t="str">
        <f t="shared" si="25"/>
        <v/>
      </c>
      <c r="AD22" s="85" t="str">
        <f t="shared" si="25"/>
        <v/>
      </c>
      <c r="AE22" s="85" t="str">
        <f t="shared" si="25"/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88" priority="271" operator="containsText" text="신품">
      <formula>NOT(ISERROR(SEARCH("신품",F7)))</formula>
    </cfRule>
    <cfRule type="containsText" dxfId="287" priority="272" operator="containsText" text="중고">
      <formula>NOT(ISERROR(SEARCH("중고",F7)))</formula>
    </cfRule>
  </conditionalFormatting>
  <conditionalFormatting sqref="I7:I9">
    <cfRule type="containsText" dxfId="286" priority="269" operator="containsText" text="신품">
      <formula>NOT(ISERROR(SEARCH("신품",I7)))</formula>
    </cfRule>
    <cfRule type="containsText" dxfId="285" priority="270" operator="containsText" text="중고">
      <formula>NOT(ISERROR(SEARCH("중고",I7)))</formula>
    </cfRule>
  </conditionalFormatting>
  <conditionalFormatting sqref="F10">
    <cfRule type="containsText" dxfId="284" priority="265" operator="containsText" text="신품">
      <formula>NOT(ISERROR(SEARCH("신품",F10)))</formula>
    </cfRule>
    <cfRule type="containsText" dxfId="283" priority="266" operator="containsText" text="중고">
      <formula>NOT(ISERROR(SEARCH("중고",F10)))</formula>
    </cfRule>
  </conditionalFormatting>
  <conditionalFormatting sqref="I10">
    <cfRule type="containsText" dxfId="282" priority="263" operator="containsText" text="신품">
      <formula>NOT(ISERROR(SEARCH("신품",I10)))</formula>
    </cfRule>
    <cfRule type="containsText" dxfId="281" priority="264" operator="containsText" text="중고">
      <formula>NOT(ISERROR(SEARCH("중고",I10)))</formula>
    </cfRule>
  </conditionalFormatting>
  <conditionalFormatting sqref="F11">
    <cfRule type="containsText" dxfId="280" priority="259" operator="containsText" text="신품">
      <formula>NOT(ISERROR(SEARCH("신품",F11)))</formula>
    </cfRule>
    <cfRule type="containsText" dxfId="279" priority="260" operator="containsText" text="중고">
      <formula>NOT(ISERROR(SEARCH("중고",F11)))</formula>
    </cfRule>
  </conditionalFormatting>
  <conditionalFormatting sqref="I11">
    <cfRule type="containsText" dxfId="278" priority="257" operator="containsText" text="신품">
      <formula>NOT(ISERROR(SEARCH("신품",I11)))</formula>
    </cfRule>
    <cfRule type="containsText" dxfId="277" priority="258" operator="containsText" text="중고">
      <formula>NOT(ISERROR(SEARCH("중고",I11)))</formula>
    </cfRule>
  </conditionalFormatting>
  <conditionalFormatting sqref="F12">
    <cfRule type="containsText" dxfId="276" priority="253" operator="containsText" text="신품">
      <formula>NOT(ISERROR(SEARCH("신품",F12)))</formula>
    </cfRule>
    <cfRule type="containsText" dxfId="275" priority="254" operator="containsText" text="중고">
      <formula>NOT(ISERROR(SEARCH("중고",F12)))</formula>
    </cfRule>
  </conditionalFormatting>
  <conditionalFormatting sqref="I12">
    <cfRule type="containsText" dxfId="274" priority="251" operator="containsText" text="신품">
      <formula>NOT(ISERROR(SEARCH("신품",I12)))</formula>
    </cfRule>
    <cfRule type="containsText" dxfId="273" priority="252" operator="containsText" text="중고">
      <formula>NOT(ISERROR(SEARCH("중고",I12)))</formula>
    </cfRule>
  </conditionalFormatting>
  <conditionalFormatting sqref="D23">
    <cfRule type="containsText" dxfId="260" priority="236" operator="containsText" text="진행중">
      <formula>NOT(ISERROR(SEARCH("진행중",D23)))</formula>
    </cfRule>
  </conditionalFormatting>
  <conditionalFormatting sqref="N8:N22">
    <cfRule type="containsText" dxfId="259" priority="139" operator="containsText" text="완료">
      <formula>NOT(ISERROR(SEARCH("완료",N8)))</formula>
    </cfRule>
    <cfRule type="containsText" dxfId="258" priority="140" operator="containsText" text="중단">
      <formula>NOT(ISERROR(SEARCH("중단",N8)))</formula>
    </cfRule>
  </conditionalFormatting>
  <conditionalFormatting sqref="N8:N22">
    <cfRule type="containsText" dxfId="257" priority="137" operator="containsText" text="완료">
      <formula>NOT(ISERROR(SEARCH("완료",N8)))</formula>
    </cfRule>
    <cfRule type="containsText" dxfId="256" priority="138" operator="containsText" text="중단">
      <formula>NOT(ISERROR(SEARCH("중단",N8)))</formula>
    </cfRule>
  </conditionalFormatting>
  <conditionalFormatting sqref="N8:N22">
    <cfRule type="containsText" dxfId="255" priority="136" operator="containsText" text="진행중">
      <formula>NOT(ISERROR(SEARCH("진행중",N8)))</formula>
    </cfRule>
  </conditionalFormatting>
  <conditionalFormatting sqref="F14:F22">
    <cfRule type="containsText" dxfId="254" priority="229" operator="containsText" text="완료">
      <formula>NOT(ISERROR(SEARCH("완료",F14)))</formula>
    </cfRule>
    <cfRule type="containsText" dxfId="253" priority="230" operator="containsText" text="중단">
      <formula>NOT(ISERROR(SEARCH("중단",F14)))</formula>
    </cfRule>
  </conditionalFormatting>
  <conditionalFormatting sqref="F14:F22">
    <cfRule type="containsText" dxfId="252" priority="227" operator="containsText" text="완료">
      <formula>NOT(ISERROR(SEARCH("완료",F14)))</formula>
    </cfRule>
    <cfRule type="containsText" dxfId="251" priority="228" operator="containsText" text="중단">
      <formula>NOT(ISERROR(SEARCH("중단",F14)))</formula>
    </cfRule>
  </conditionalFormatting>
  <conditionalFormatting sqref="F14:F22">
    <cfRule type="containsText" dxfId="250" priority="226" operator="containsText" text="진행중">
      <formula>NOT(ISERROR(SEARCH("진행중",F14)))</formula>
    </cfRule>
  </conditionalFormatting>
  <conditionalFormatting sqref="K8:K17">
    <cfRule type="containsText" dxfId="239" priority="119" operator="containsText" text="완료">
      <formula>NOT(ISERROR(SEARCH("완료",K8)))</formula>
    </cfRule>
    <cfRule type="containsText" dxfId="238" priority="120" operator="containsText" text="중단">
      <formula>NOT(ISERROR(SEARCH("중단",K8)))</formula>
    </cfRule>
  </conditionalFormatting>
  <conditionalFormatting sqref="K8:K17">
    <cfRule type="containsText" dxfId="237" priority="117" operator="containsText" text="완료">
      <formula>NOT(ISERROR(SEARCH("완료",K8)))</formula>
    </cfRule>
    <cfRule type="containsText" dxfId="236" priority="118" operator="containsText" text="중단">
      <formula>NOT(ISERROR(SEARCH("중단",K8)))</formula>
    </cfRule>
  </conditionalFormatting>
  <conditionalFormatting sqref="K8:K17">
    <cfRule type="containsText" dxfId="235" priority="116" operator="containsText" text="진행중">
      <formula>NOT(ISERROR(SEARCH("진행중",K8)))</formula>
    </cfRule>
  </conditionalFormatting>
  <conditionalFormatting sqref="L8:L17">
    <cfRule type="containsText" dxfId="234" priority="114" operator="containsText" text="완료">
      <formula>NOT(ISERROR(SEARCH("완료",L8)))</formula>
    </cfRule>
    <cfRule type="containsText" dxfId="233" priority="115" operator="containsText" text="중단">
      <formula>NOT(ISERROR(SEARCH("중단",L8)))</formula>
    </cfRule>
  </conditionalFormatting>
  <conditionalFormatting sqref="L8:L17">
    <cfRule type="containsText" dxfId="232" priority="112" operator="containsText" text="완료">
      <formula>NOT(ISERROR(SEARCH("완료",L8)))</formula>
    </cfRule>
    <cfRule type="containsText" dxfId="231" priority="113" operator="containsText" text="중단">
      <formula>NOT(ISERROR(SEARCH("중단",L8)))</formula>
    </cfRule>
  </conditionalFormatting>
  <conditionalFormatting sqref="L8:L17">
    <cfRule type="containsText" dxfId="230" priority="111" operator="containsText" text="진행중">
      <formula>NOT(ISERROR(SEARCH("진행중",L8)))</formula>
    </cfRule>
  </conditionalFormatting>
  <conditionalFormatting sqref="M8:M22">
    <cfRule type="containsText" dxfId="224" priority="109" operator="containsText" text="완료">
      <formula>NOT(ISERROR(SEARCH("완료",M8)))</formula>
    </cfRule>
    <cfRule type="containsText" dxfId="223" priority="110" operator="containsText" text="중단">
      <formula>NOT(ISERROR(SEARCH("중단",M8)))</formula>
    </cfRule>
  </conditionalFormatting>
  <conditionalFormatting sqref="M8:M22">
    <cfRule type="containsText" dxfId="222" priority="107" operator="containsText" text="완료">
      <formula>NOT(ISERROR(SEARCH("완료",M8)))</formula>
    </cfRule>
    <cfRule type="containsText" dxfId="221" priority="108" operator="containsText" text="중단">
      <formula>NOT(ISERROR(SEARCH("중단",M8)))</formula>
    </cfRule>
  </conditionalFormatting>
  <conditionalFormatting sqref="M8:M22">
    <cfRule type="containsText" dxfId="220" priority="106" operator="containsText" text="진행중">
      <formula>NOT(ISERROR(SEARCH("진행중",M8)))</formula>
    </cfRule>
  </conditionalFormatting>
  <conditionalFormatting sqref="I14:I22">
    <cfRule type="containsText" dxfId="209" priority="184" operator="containsText" text="완료">
      <formula>NOT(ISERROR(SEARCH("완료",I14)))</formula>
    </cfRule>
    <cfRule type="containsText" dxfId="208" priority="185" operator="containsText" text="중단">
      <formula>NOT(ISERROR(SEARCH("중단",I14)))</formula>
    </cfRule>
  </conditionalFormatting>
  <conditionalFormatting sqref="I14:I22">
    <cfRule type="containsText" dxfId="207" priority="182" operator="containsText" text="완료">
      <formula>NOT(ISERROR(SEARCH("완료",I14)))</formula>
    </cfRule>
    <cfRule type="containsText" dxfId="206" priority="183" operator="containsText" text="중단">
      <formula>NOT(ISERROR(SEARCH("중단",I14)))</formula>
    </cfRule>
  </conditionalFormatting>
  <conditionalFormatting sqref="I14:I22">
    <cfRule type="containsText" dxfId="205" priority="181" operator="containsText" text="진행중">
      <formula>NOT(ISERROR(SEARCH("진행중",I14)))</formula>
    </cfRule>
  </conditionalFormatting>
  <conditionalFormatting sqref="F13">
    <cfRule type="containsText" dxfId="204" priority="179" operator="containsText" text="완료">
      <formula>NOT(ISERROR(SEARCH("완료",F13)))</formula>
    </cfRule>
    <cfRule type="containsText" dxfId="203" priority="180" operator="containsText" text="중단">
      <formula>NOT(ISERROR(SEARCH("중단",F13)))</formula>
    </cfRule>
  </conditionalFormatting>
  <conditionalFormatting sqref="F13">
    <cfRule type="containsText" dxfId="202" priority="177" operator="containsText" text="완료">
      <formula>NOT(ISERROR(SEARCH("완료",F13)))</formula>
    </cfRule>
    <cfRule type="containsText" dxfId="201" priority="178" operator="containsText" text="중단">
      <formula>NOT(ISERROR(SEARCH("중단",F13)))</formula>
    </cfRule>
  </conditionalFormatting>
  <conditionalFormatting sqref="F13">
    <cfRule type="containsText" dxfId="200" priority="176" operator="containsText" text="진행중">
      <formula>NOT(ISERROR(SEARCH("진행중",F13)))</formula>
    </cfRule>
  </conditionalFormatting>
  <conditionalFormatting sqref="I13">
    <cfRule type="containsText" dxfId="199" priority="174" operator="containsText" text="완료">
      <formula>NOT(ISERROR(SEARCH("완료",I13)))</formula>
    </cfRule>
    <cfRule type="containsText" dxfId="198" priority="175" operator="containsText" text="중단">
      <formula>NOT(ISERROR(SEARCH("중단",I13)))</formula>
    </cfRule>
  </conditionalFormatting>
  <conditionalFormatting sqref="I13">
    <cfRule type="containsText" dxfId="197" priority="172" operator="containsText" text="완료">
      <formula>NOT(ISERROR(SEARCH("완료",I13)))</formula>
    </cfRule>
    <cfRule type="containsText" dxfId="196" priority="173" operator="containsText" text="중단">
      <formula>NOT(ISERROR(SEARCH("중단",I13)))</formula>
    </cfRule>
  </conditionalFormatting>
  <conditionalFormatting sqref="I13">
    <cfRule type="containsText" dxfId="195" priority="171" operator="containsText" text="진행중">
      <formula>NOT(ISERROR(SEARCH("진행중",I13)))</formula>
    </cfRule>
  </conditionalFormatting>
  <conditionalFormatting sqref="E20:E22">
    <cfRule type="containsText" dxfId="194" priority="94" operator="containsText" text="완료">
      <formula>NOT(ISERROR(SEARCH("완료",E20)))</formula>
    </cfRule>
    <cfRule type="containsText" dxfId="193" priority="95" operator="containsText" text="중단">
      <formula>NOT(ISERROR(SEARCH("중단",E20)))</formula>
    </cfRule>
  </conditionalFormatting>
  <conditionalFormatting sqref="E20:E22">
    <cfRule type="containsText" dxfId="192" priority="92" operator="containsText" text="완료">
      <formula>NOT(ISERROR(SEARCH("완료",E20)))</formula>
    </cfRule>
    <cfRule type="containsText" dxfId="191" priority="93" operator="containsText" text="중단">
      <formula>NOT(ISERROR(SEARCH("중단",E20)))</formula>
    </cfRule>
  </conditionalFormatting>
  <conditionalFormatting sqref="E20:E22">
    <cfRule type="containsText" dxfId="190" priority="91" operator="containsText" text="진행중">
      <formula>NOT(ISERROR(SEARCH("진행중",E20)))</formula>
    </cfRule>
  </conditionalFormatting>
  <conditionalFormatting sqref="K18:K22">
    <cfRule type="containsText" dxfId="189" priority="164" operator="containsText" text="완료">
      <formula>NOT(ISERROR(SEARCH("완료",K18)))</formula>
    </cfRule>
    <cfRule type="containsText" dxfId="188" priority="165" operator="containsText" text="중단">
      <formula>NOT(ISERROR(SEARCH("중단",K18)))</formula>
    </cfRule>
  </conditionalFormatting>
  <conditionalFormatting sqref="K18:K22">
    <cfRule type="containsText" dxfId="187" priority="162" operator="containsText" text="완료">
      <formula>NOT(ISERROR(SEARCH("완료",K18)))</formula>
    </cfRule>
    <cfRule type="containsText" dxfId="186" priority="163" operator="containsText" text="중단">
      <formula>NOT(ISERROR(SEARCH("중단",K18)))</formula>
    </cfRule>
  </conditionalFormatting>
  <conditionalFormatting sqref="K18:K22">
    <cfRule type="containsText" dxfId="185" priority="161" operator="containsText" text="진행중">
      <formula>NOT(ISERROR(SEARCH("진행중",K18)))</formula>
    </cfRule>
  </conditionalFormatting>
  <conditionalFormatting sqref="L18:L22">
    <cfRule type="containsText" dxfId="179" priority="154" operator="containsText" text="완료">
      <formula>NOT(ISERROR(SEARCH("완료",L18)))</formula>
    </cfRule>
    <cfRule type="containsText" dxfId="178" priority="155" operator="containsText" text="중단">
      <formula>NOT(ISERROR(SEARCH("중단",L18)))</formula>
    </cfRule>
  </conditionalFormatting>
  <conditionalFormatting sqref="L18:L22">
    <cfRule type="containsText" dxfId="177" priority="152" operator="containsText" text="완료">
      <formula>NOT(ISERROR(SEARCH("완료",L18)))</formula>
    </cfRule>
    <cfRule type="containsText" dxfId="176" priority="153" operator="containsText" text="중단">
      <formula>NOT(ISERROR(SEARCH("중단",L18)))</formula>
    </cfRule>
  </conditionalFormatting>
  <conditionalFormatting sqref="L18:L22">
    <cfRule type="containsText" dxfId="175" priority="151" operator="containsText" text="진행중">
      <formula>NOT(ISERROR(SEARCH("진행중",L18)))</formula>
    </cfRule>
  </conditionalFormatting>
  <conditionalFormatting sqref="E19">
    <cfRule type="containsText" dxfId="114" priority="89" operator="containsText" text="완료">
      <formula>NOT(ISERROR(SEARCH("완료",E19)))</formula>
    </cfRule>
    <cfRule type="containsText" dxfId="113" priority="90" operator="containsText" text="중단">
      <formula>NOT(ISERROR(SEARCH("중단",E19)))</formula>
    </cfRule>
  </conditionalFormatting>
  <conditionalFormatting sqref="E19">
    <cfRule type="containsText" dxfId="112" priority="87" operator="containsText" text="완료">
      <formula>NOT(ISERROR(SEARCH("완료",E19)))</formula>
    </cfRule>
    <cfRule type="containsText" dxfId="111" priority="88" operator="containsText" text="중단">
      <formula>NOT(ISERROR(SEARCH("중단",E19)))</formula>
    </cfRule>
  </conditionalFormatting>
  <conditionalFormatting sqref="E19">
    <cfRule type="containsText" dxfId="110" priority="86" operator="containsText" text="진행중">
      <formula>NOT(ISERROR(SEARCH("진행중",E19)))</formula>
    </cfRule>
  </conditionalFormatting>
  <conditionalFormatting sqref="G8:G20">
    <cfRule type="containsText" dxfId="109" priority="84" operator="containsText" text="완료">
      <formula>NOT(ISERROR(SEARCH("완료",G8)))</formula>
    </cfRule>
    <cfRule type="containsText" dxfId="108" priority="85" operator="containsText" text="중단">
      <formula>NOT(ISERROR(SEARCH("중단",G8)))</formula>
    </cfRule>
  </conditionalFormatting>
  <conditionalFormatting sqref="G8:G20">
    <cfRule type="containsText" dxfId="107" priority="82" operator="containsText" text="완료">
      <formula>NOT(ISERROR(SEARCH("완료",G8)))</formula>
    </cfRule>
    <cfRule type="containsText" dxfId="106" priority="83" operator="containsText" text="중단">
      <formula>NOT(ISERROR(SEARCH("중단",G8)))</formula>
    </cfRule>
  </conditionalFormatting>
  <conditionalFormatting sqref="G8:G20">
    <cfRule type="containsText" dxfId="105" priority="81" operator="containsText" text="진행중">
      <formula>NOT(ISERROR(SEARCH("진행중",G8)))</formula>
    </cfRule>
  </conditionalFormatting>
  <conditionalFormatting sqref="H8:H20">
    <cfRule type="containsText" dxfId="104" priority="79" operator="containsText" text="완료">
      <formula>NOT(ISERROR(SEARCH("완료",H8)))</formula>
    </cfRule>
    <cfRule type="containsText" dxfId="103" priority="80" operator="containsText" text="중단">
      <formula>NOT(ISERROR(SEARCH("중단",H8)))</formula>
    </cfRule>
  </conditionalFormatting>
  <conditionalFormatting sqref="H8:H20">
    <cfRule type="containsText" dxfId="102" priority="77" operator="containsText" text="완료">
      <formula>NOT(ISERROR(SEARCH("완료",H8)))</formula>
    </cfRule>
    <cfRule type="containsText" dxfId="101" priority="78" operator="containsText" text="중단">
      <formula>NOT(ISERROR(SEARCH("중단",H8)))</formula>
    </cfRule>
  </conditionalFormatting>
  <conditionalFormatting sqref="H8:H20">
    <cfRule type="containsText" dxfId="100" priority="76" operator="containsText" text="진행중">
      <formula>NOT(ISERROR(SEARCH("진행중",H8)))</formula>
    </cfRule>
  </conditionalFormatting>
  <conditionalFormatting sqref="Q20:Q22">
    <cfRule type="containsText" dxfId="79" priority="54" operator="containsText" text="완료">
      <formula>NOT(ISERROR(SEARCH("완료",Q20)))</formula>
    </cfRule>
    <cfRule type="containsText" dxfId="78" priority="55" operator="containsText" text="중단">
      <formula>NOT(ISERROR(SEARCH("중단",Q20)))</formula>
    </cfRule>
  </conditionalFormatting>
  <conditionalFormatting sqref="Q20:Q22">
    <cfRule type="containsText" dxfId="77" priority="52" operator="containsText" text="완료">
      <formula>NOT(ISERROR(SEARCH("완료",Q20)))</formula>
    </cfRule>
    <cfRule type="containsText" dxfId="76" priority="53" operator="containsText" text="중단">
      <formula>NOT(ISERROR(SEARCH("중단",Q20)))</formula>
    </cfRule>
  </conditionalFormatting>
  <conditionalFormatting sqref="Q20:Q22">
    <cfRule type="containsText" dxfId="75" priority="51" operator="containsText" text="진행중">
      <formula>NOT(ISERROR(SEARCH("진행중",Q20)))</formula>
    </cfRule>
  </conditionalFormatting>
  <conditionalFormatting sqref="R20:R22">
    <cfRule type="containsText" dxfId="74" priority="49" operator="containsText" text="완료">
      <formula>NOT(ISERROR(SEARCH("완료",R20)))</formula>
    </cfRule>
    <cfRule type="containsText" dxfId="73" priority="50" operator="containsText" text="중단">
      <formula>NOT(ISERROR(SEARCH("중단",R20)))</formula>
    </cfRule>
  </conditionalFormatting>
  <conditionalFormatting sqref="R20:R22">
    <cfRule type="containsText" dxfId="72" priority="47" operator="containsText" text="완료">
      <formula>NOT(ISERROR(SEARCH("완료",R20)))</formula>
    </cfRule>
    <cfRule type="containsText" dxfId="71" priority="48" operator="containsText" text="중단">
      <formula>NOT(ISERROR(SEARCH("중단",R20)))</formula>
    </cfRule>
  </conditionalFormatting>
  <conditionalFormatting sqref="R20:R22">
    <cfRule type="containsText" dxfId="70" priority="46" operator="containsText" text="진행중">
      <formula>NOT(ISERROR(SEARCH("진행중",R20)))</formula>
    </cfRule>
  </conditionalFormatting>
  <conditionalFormatting sqref="S20:S22">
    <cfRule type="containsText" dxfId="69" priority="44" operator="containsText" text="완료">
      <formula>NOT(ISERROR(SEARCH("완료",S20)))</formula>
    </cfRule>
    <cfRule type="containsText" dxfId="68" priority="45" operator="containsText" text="중단">
      <formula>NOT(ISERROR(SEARCH("중단",S20)))</formula>
    </cfRule>
  </conditionalFormatting>
  <conditionalFormatting sqref="S20:S22">
    <cfRule type="containsText" dxfId="67" priority="42" operator="containsText" text="완료">
      <formula>NOT(ISERROR(SEARCH("완료",S20)))</formula>
    </cfRule>
    <cfRule type="containsText" dxfId="66" priority="43" operator="containsText" text="중단">
      <formula>NOT(ISERROR(SEARCH("중단",S20)))</formula>
    </cfRule>
  </conditionalFormatting>
  <conditionalFormatting sqref="S20:S22">
    <cfRule type="containsText" dxfId="65" priority="41" operator="containsText" text="진행중">
      <formula>NOT(ISERROR(SEARCH("진행중",S20)))</formula>
    </cfRule>
  </conditionalFormatting>
  <conditionalFormatting sqref="T20:T22">
    <cfRule type="containsText" dxfId="64" priority="39" operator="containsText" text="완료">
      <formula>NOT(ISERROR(SEARCH("완료",T20)))</formula>
    </cfRule>
    <cfRule type="containsText" dxfId="63" priority="40" operator="containsText" text="중단">
      <formula>NOT(ISERROR(SEARCH("중단",T20)))</formula>
    </cfRule>
  </conditionalFormatting>
  <conditionalFormatting sqref="T20:T22">
    <cfRule type="containsText" dxfId="62" priority="37" operator="containsText" text="완료">
      <formula>NOT(ISERROR(SEARCH("완료",T20)))</formula>
    </cfRule>
    <cfRule type="containsText" dxfId="61" priority="38" operator="containsText" text="중단">
      <formula>NOT(ISERROR(SEARCH("중단",T20)))</formula>
    </cfRule>
  </conditionalFormatting>
  <conditionalFormatting sqref="T20:T22">
    <cfRule type="containsText" dxfId="60" priority="36" operator="containsText" text="진행중">
      <formula>NOT(ISERROR(SEARCH("진행중",T20)))</formula>
    </cfRule>
  </conditionalFormatting>
  <conditionalFormatting sqref="U20:AC22">
    <cfRule type="containsText" dxfId="59" priority="34" operator="containsText" text="완료">
      <formula>NOT(ISERROR(SEARCH("완료",U20)))</formula>
    </cfRule>
    <cfRule type="containsText" dxfId="58" priority="35" operator="containsText" text="중단">
      <formula>NOT(ISERROR(SEARCH("중단",U20)))</formula>
    </cfRule>
  </conditionalFormatting>
  <conditionalFormatting sqref="U20:AC22">
    <cfRule type="containsText" dxfId="57" priority="32" operator="containsText" text="완료">
      <formula>NOT(ISERROR(SEARCH("완료",U20)))</formula>
    </cfRule>
    <cfRule type="containsText" dxfId="56" priority="33" operator="containsText" text="중단">
      <formula>NOT(ISERROR(SEARCH("중단",U20)))</formula>
    </cfRule>
  </conditionalFormatting>
  <conditionalFormatting sqref="U20:AC22">
    <cfRule type="containsText" dxfId="55" priority="31" operator="containsText" text="진행중">
      <formula>NOT(ISERROR(SEARCH("진행중",U20)))</formula>
    </cfRule>
  </conditionalFormatting>
  <conditionalFormatting sqref="AD20:AD22">
    <cfRule type="containsText" dxfId="54" priority="29" operator="containsText" text="완료">
      <formula>NOT(ISERROR(SEARCH("완료",AD20)))</formula>
    </cfRule>
    <cfRule type="containsText" dxfId="53" priority="30" operator="containsText" text="중단">
      <formula>NOT(ISERROR(SEARCH("중단",AD20)))</formula>
    </cfRule>
  </conditionalFormatting>
  <conditionalFormatting sqref="AD20:AD22">
    <cfRule type="containsText" dxfId="52" priority="27" operator="containsText" text="완료">
      <formula>NOT(ISERROR(SEARCH("완료",AD20)))</formula>
    </cfRule>
    <cfRule type="containsText" dxfId="51" priority="28" operator="containsText" text="중단">
      <formula>NOT(ISERROR(SEARCH("중단",AD20)))</formula>
    </cfRule>
  </conditionalFormatting>
  <conditionalFormatting sqref="AD20:AD22">
    <cfRule type="containsText" dxfId="50" priority="26" operator="containsText" text="진행중">
      <formula>NOT(ISERROR(SEARCH("진행중",AD20)))</formula>
    </cfRule>
  </conditionalFormatting>
  <conditionalFormatting sqref="AE20:AE22">
    <cfRule type="containsText" dxfId="49" priority="24" operator="containsText" text="완료">
      <formula>NOT(ISERROR(SEARCH("완료",AE20)))</formula>
    </cfRule>
    <cfRule type="containsText" dxfId="48" priority="25" operator="containsText" text="중단">
      <formula>NOT(ISERROR(SEARCH("중단",AE20)))</formula>
    </cfRule>
  </conditionalFormatting>
  <conditionalFormatting sqref="AE20:AE22">
    <cfRule type="containsText" dxfId="47" priority="22" operator="containsText" text="완료">
      <formula>NOT(ISERROR(SEARCH("완료",AE20)))</formula>
    </cfRule>
    <cfRule type="containsText" dxfId="46" priority="23" operator="containsText" text="중단">
      <formula>NOT(ISERROR(SEARCH("중단",AE20)))</formula>
    </cfRule>
  </conditionalFormatting>
  <conditionalFormatting sqref="AE20:AE22">
    <cfRule type="containsText" dxfId="45" priority="21" operator="containsText" text="진행중">
      <formula>NOT(ISERROR(SEARCH("진행중",AE20)))</formula>
    </cfRule>
  </conditionalFormatting>
  <conditionalFormatting sqref="D8:D19">
    <cfRule type="containsText" dxfId="44" priority="19" operator="containsText" text="완료">
      <formula>NOT(ISERROR(SEARCH("완료",D8)))</formula>
    </cfRule>
    <cfRule type="containsText" dxfId="43" priority="20" operator="containsText" text="중단">
      <formula>NOT(ISERROR(SEARCH("중단",D8)))</formula>
    </cfRule>
  </conditionalFormatting>
  <conditionalFormatting sqref="D11">
    <cfRule type="containsText" dxfId="42" priority="17" operator="containsText" text="완료">
      <formula>NOT(ISERROR(SEARCH("완료",D11)))</formula>
    </cfRule>
    <cfRule type="containsText" dxfId="41" priority="18" operator="containsText" text="중단">
      <formula>NOT(ISERROR(SEARCH("중단",D11)))</formula>
    </cfRule>
  </conditionalFormatting>
  <conditionalFormatting sqref="D12:D19">
    <cfRule type="containsText" dxfId="40" priority="15" operator="containsText" text="완료">
      <formula>NOT(ISERROR(SEARCH("완료",D12)))</formula>
    </cfRule>
    <cfRule type="containsText" dxfId="39" priority="16" operator="containsText" text="중단">
      <formula>NOT(ISERROR(SEARCH("중단",D12)))</formula>
    </cfRule>
  </conditionalFormatting>
  <conditionalFormatting sqref="D13:D19">
    <cfRule type="containsText" dxfId="38" priority="13" operator="containsText" text="완료">
      <formula>NOT(ISERROR(SEARCH("완료",D13)))</formula>
    </cfRule>
    <cfRule type="containsText" dxfId="37" priority="14" operator="containsText" text="중단">
      <formula>NOT(ISERROR(SEARCH("중단",D13)))</formula>
    </cfRule>
  </conditionalFormatting>
  <conditionalFormatting sqref="D8:D19">
    <cfRule type="containsText" dxfId="36" priority="12" operator="containsText" text="진행중">
      <formula>NOT(ISERROR(SEARCH("진행중",D8)))</formula>
    </cfRule>
  </conditionalFormatting>
  <conditionalFormatting sqref="D8:D22">
    <cfRule type="containsText" dxfId="35" priority="10" operator="containsText" text="완료">
      <formula>NOT(ISERROR(SEARCH("완료",D8)))</formula>
    </cfRule>
    <cfRule type="containsText" dxfId="34" priority="11" operator="containsText" text="중단">
      <formula>NOT(ISERROR(SEARCH("중단",D8)))</formula>
    </cfRule>
  </conditionalFormatting>
  <conditionalFormatting sqref="D8:D22">
    <cfRule type="containsText" dxfId="33" priority="8" operator="containsText" text="완료">
      <formula>NOT(ISERROR(SEARCH("완료",D8)))</formula>
    </cfRule>
    <cfRule type="containsText" dxfId="32" priority="9" operator="containsText" text="중단">
      <formula>NOT(ISERROR(SEARCH("중단",D8)))</formula>
    </cfRule>
  </conditionalFormatting>
  <conditionalFormatting sqref="D8:D22">
    <cfRule type="containsText" dxfId="31" priority="7" operator="containsText" text="진행중">
      <formula>NOT(ISERROR(SEARCH("진행중",D8)))</formula>
    </cfRule>
  </conditionalFormatting>
  <conditionalFormatting sqref="D7">
    <cfRule type="containsText" dxfId="30" priority="5" operator="containsText" text="완료">
      <formula>NOT(ISERROR(SEARCH("완료",D7)))</formula>
    </cfRule>
    <cfRule type="containsText" dxfId="29" priority="6" operator="containsText" text="중단">
      <formula>NOT(ISERROR(SEARCH("중단",D7)))</formula>
    </cfRule>
  </conditionalFormatting>
  <conditionalFormatting sqref="D7">
    <cfRule type="containsText" dxfId="28" priority="3" operator="containsText" text="완료">
      <formula>NOT(ISERROR(SEARCH("완료",D7)))</formula>
    </cfRule>
    <cfRule type="containsText" dxfId="27" priority="4" operator="containsText" text="중단">
      <formula>NOT(ISERROR(SEARCH("중단",D7)))</formula>
    </cfRule>
  </conditionalFormatting>
  <conditionalFormatting sqref="D7">
    <cfRule type="containsText" dxfId="26" priority="2" operator="containsText" text="진행중">
      <formula>NOT(ISERROR(SEARCH("진행중",D7)))</formula>
    </cfRule>
  </conditionalFormatting>
  <conditionalFormatting sqref="A1:AG23">
    <cfRule type="containsText" dxfId="0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sqref="A1:H1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68" t="s">
        <v>43</v>
      </c>
      <c r="B1" s="69"/>
      <c r="C1" s="69"/>
      <c r="D1" s="69"/>
      <c r="E1" s="69"/>
      <c r="F1" s="69"/>
      <c r="G1" s="69"/>
      <c r="H1" s="70"/>
    </row>
    <row r="3" spans="1:16" x14ac:dyDescent="0.45">
      <c r="A3" s="48" t="s">
        <v>57</v>
      </c>
      <c r="B3" s="49"/>
      <c r="C3" s="49"/>
      <c r="D3" s="49"/>
      <c r="E3" s="49"/>
      <c r="F3" s="49"/>
      <c r="G3" s="49"/>
      <c r="H3" s="50"/>
    </row>
    <row r="4" spans="1:16" x14ac:dyDescent="0.45">
      <c r="A4" s="21"/>
      <c r="B4" s="27" t="s">
        <v>104</v>
      </c>
      <c r="C4" s="27" t="s">
        <v>50</v>
      </c>
      <c r="D4" s="27" t="s">
        <v>51</v>
      </c>
      <c r="E4" s="27" t="s">
        <v>52</v>
      </c>
      <c r="F4" s="27" t="s">
        <v>53</v>
      </c>
      <c r="G4" s="27" t="s">
        <v>54</v>
      </c>
      <c r="H4" s="27" t="s">
        <v>55</v>
      </c>
    </row>
    <row r="5" spans="1:16" x14ac:dyDescent="0.45">
      <c r="A5" s="29" t="s">
        <v>108</v>
      </c>
      <c r="B5" s="16">
        <f>SUM(C5:H5)</f>
        <v>32</v>
      </c>
      <c r="C5" s="30">
        <f>COUNTIF('ES#8'!$A$7:$A$23,LEFT(A5,10))</f>
        <v>4</v>
      </c>
      <c r="D5" s="30">
        <f>COUNTIF('ES#9'!$A$7:$A$23,LEFT(A5,10))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109</v>
      </c>
      <c r="B6" s="16">
        <f>SUM(C6:H6)</f>
        <v>18</v>
      </c>
      <c r="C6" s="30">
        <f>COUNTIF('ES#8'!$A$7:$A$23,LEFT(A6,10))</f>
        <v>3</v>
      </c>
      <c r="D6" s="30">
        <f>COUNTIF('ES#9'!$A$7:$A$23,LEFT(A6,10))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120</v>
      </c>
      <c r="B7" s="16">
        <f>SUM(C7:H7)</f>
        <v>6</v>
      </c>
      <c r="C7" s="30">
        <f>COUNTIF('ES#8'!$A$7:$A$23,LEFT(A7,10))</f>
        <v>3</v>
      </c>
      <c r="D7" s="30">
        <f>COUNTIF('ES#9'!$A$7:$A$23,LEFT(A7,10))</f>
        <v>3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48" t="s">
        <v>56</v>
      </c>
      <c r="B10" s="49"/>
      <c r="C10" s="49"/>
      <c r="D10" s="49"/>
      <c r="E10" s="49"/>
      <c r="F10" s="49"/>
      <c r="G10" s="49"/>
      <c r="H10" s="50"/>
    </row>
    <row r="11" spans="1:16" x14ac:dyDescent="0.45">
      <c r="A11" s="21"/>
      <c r="B11" s="27" t="s">
        <v>104</v>
      </c>
      <c r="C11" s="27" t="s">
        <v>50</v>
      </c>
      <c r="D11" s="27" t="s">
        <v>51</v>
      </c>
      <c r="E11" s="27" t="s">
        <v>52</v>
      </c>
      <c r="F11" s="27" t="s">
        <v>53</v>
      </c>
      <c r="G11" s="27" t="s">
        <v>54</v>
      </c>
      <c r="H11" s="27" t="s">
        <v>55</v>
      </c>
    </row>
    <row r="12" spans="1:16" x14ac:dyDescent="0.45">
      <c r="A12" s="38" t="s">
        <v>105</v>
      </c>
      <c r="B12" s="16">
        <f>SUM(C12:H12)</f>
        <v>56</v>
      </c>
      <c r="C12" s="32">
        <f>_xlfn.LET(
  _xlpm.ym, LEFT($A12,7),
  _xlpm.d0, DATEVALUE(_xlpm.ym &amp; "-01"),
  COUNTIFS('ES#8'!$A$7:$A$23, "&gt;=" &amp; _xlpm.d0,
           'ES#8'!$A$7:$A$23, "&lt;"  &amp; EOMONTH(_xlpm.d0,0)+1)
)</f>
        <v>10</v>
      </c>
      <c r="D12" s="32">
        <f>_xlfn.LET(
  _xlpm.ym, LEFT($A12,7),
  _xlpm.d0, DATEVALUE(_xlpm.ym &amp; "-01"),
  COUNTIFS('ES#9'!$A$7:$A$23, "&gt;=" &amp; _xlpm.d0,
           'ES#9'!$A$7:$A$23, "&lt;"  &amp; EOMONTH(_xlpm.d0,0)+1)
)</f>
        <v>10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128</v>
      </c>
      <c r="K12" s="32">
        <f>SUM(C5:C8)</f>
        <v>10</v>
      </c>
      <c r="L12" s="32">
        <f>SUM(D5:D8)</f>
        <v>10</v>
      </c>
      <c r="M12" s="32">
        <f>SUM(E5:E8)</f>
        <v>9</v>
      </c>
      <c r="N12" s="32">
        <f>SUM(F5:F8)</f>
        <v>9</v>
      </c>
      <c r="O12" s="32">
        <f>SUM(G5:G8)</f>
        <v>9</v>
      </c>
      <c r="P12" s="32">
        <f>SUM(H5:H8)</f>
        <v>9</v>
      </c>
    </row>
    <row r="13" spans="1:16" x14ac:dyDescent="0.45">
      <c r="A13" s="38" t="s">
        <v>110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56" t="s">
        <v>119</v>
      </c>
      <c r="B16" s="56"/>
      <c r="C16" s="56"/>
      <c r="D16" s="56"/>
      <c r="E16" s="56"/>
      <c r="F16" s="56"/>
      <c r="G16" s="56"/>
      <c r="H16" s="57"/>
    </row>
    <row r="17" spans="1:8" x14ac:dyDescent="0.45">
      <c r="A17" s="29" t="s">
        <v>114</v>
      </c>
      <c r="B17" s="29" t="s">
        <v>102</v>
      </c>
      <c r="C17" s="65" t="s">
        <v>103</v>
      </c>
      <c r="D17" s="66"/>
      <c r="E17" s="66"/>
      <c r="F17" s="66"/>
      <c r="G17" s="66"/>
      <c r="H17" s="67"/>
    </row>
    <row r="18" spans="1:8" x14ac:dyDescent="0.45">
      <c r="A18" s="31" t="s">
        <v>42</v>
      </c>
      <c r="B18" s="16">
        <f>SUM(B5:B6)</f>
        <v>50</v>
      </c>
      <c r="C18" s="82"/>
      <c r="D18" s="77"/>
      <c r="E18" s="77"/>
      <c r="F18" s="77"/>
      <c r="G18" s="77"/>
      <c r="H18" s="78"/>
    </row>
    <row r="19" spans="1:8" x14ac:dyDescent="0.45">
      <c r="A19" s="40" t="s">
        <v>58</v>
      </c>
      <c r="B19" s="16">
        <f>COUNT(B5:B6)</f>
        <v>2</v>
      </c>
      <c r="C19" s="82"/>
      <c r="D19" s="77"/>
      <c r="E19" s="77"/>
      <c r="F19" s="77"/>
      <c r="G19" s="77"/>
      <c r="H19" s="78"/>
    </row>
    <row r="20" spans="1:8" x14ac:dyDescent="0.45">
      <c r="A20" s="40" t="s">
        <v>106</v>
      </c>
      <c r="B20" s="16">
        <f>COUNT(B12:B13)</f>
        <v>1</v>
      </c>
      <c r="C20" s="82"/>
      <c r="D20" s="77"/>
      <c r="E20" s="77"/>
      <c r="F20" s="77"/>
      <c r="G20" s="77"/>
      <c r="H20" s="78"/>
    </row>
    <row r="21" spans="1:8" x14ac:dyDescent="0.45">
      <c r="A21" s="43" t="s">
        <v>95</v>
      </c>
      <c r="B21" s="16">
        <f>ROUNDDOWN(B18/B19,1)</f>
        <v>25</v>
      </c>
      <c r="C21" s="79" t="s">
        <v>107</v>
      </c>
      <c r="D21" s="80"/>
      <c r="E21" s="80"/>
      <c r="F21" s="80"/>
      <c r="G21" s="80"/>
      <c r="H21" s="81"/>
    </row>
    <row r="22" spans="1:8" x14ac:dyDescent="0.45">
      <c r="A22" s="40" t="s">
        <v>100</v>
      </c>
      <c r="B22" s="16"/>
      <c r="C22" s="76" t="s">
        <v>101</v>
      </c>
      <c r="D22" s="77"/>
      <c r="E22" s="77"/>
      <c r="F22" s="77"/>
      <c r="G22" s="77"/>
      <c r="H22" s="78"/>
    </row>
    <row r="25" spans="1:8" ht="17" customHeight="1" x14ac:dyDescent="0.45">
      <c r="A25" s="68" t="s">
        <v>112</v>
      </c>
      <c r="B25" s="69"/>
      <c r="C25" s="69"/>
      <c r="D25" s="69"/>
      <c r="E25" s="69"/>
      <c r="F25" s="69"/>
      <c r="G25" s="69"/>
      <c r="H25" s="70"/>
    </row>
    <row r="26" spans="1:8" ht="17" customHeight="1" x14ac:dyDescent="0.45">
      <c r="A26" s="73"/>
      <c r="B26" s="74"/>
      <c r="C26" s="74"/>
      <c r="D26" s="74"/>
      <c r="E26" s="74"/>
      <c r="F26" s="74"/>
      <c r="G26" s="74"/>
      <c r="H26" s="75"/>
    </row>
    <row r="27" spans="1:8" x14ac:dyDescent="0.45">
      <c r="A27" s="71" t="s">
        <v>113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72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72"/>
      <c r="B29" s="39"/>
      <c r="C29" s="16"/>
      <c r="D29" s="39"/>
      <c r="E29" s="39"/>
      <c r="F29" s="33"/>
      <c r="G29" s="33"/>
      <c r="H29" s="28"/>
    </row>
    <row r="30" spans="1:8" x14ac:dyDescent="0.45">
      <c r="A30" s="72"/>
      <c r="B30" s="39"/>
      <c r="C30" s="16"/>
      <c r="D30" s="39"/>
      <c r="E30" s="39"/>
      <c r="F30" s="33"/>
      <c r="G30" s="33"/>
      <c r="H30" s="28"/>
    </row>
    <row r="31" spans="1:8" x14ac:dyDescent="0.45">
      <c r="A31" s="72"/>
      <c r="B31" s="39"/>
      <c r="C31" s="16"/>
      <c r="D31" s="39"/>
      <c r="E31" s="39"/>
      <c r="F31" s="33"/>
      <c r="G31" s="33"/>
      <c r="H31" s="28"/>
    </row>
    <row r="34" spans="1:8" x14ac:dyDescent="0.45">
      <c r="A34" s="68" t="s">
        <v>126</v>
      </c>
      <c r="B34" s="69"/>
      <c r="C34" s="69"/>
      <c r="D34" s="69"/>
      <c r="E34" s="69"/>
      <c r="F34" s="69"/>
      <c r="G34" s="69"/>
      <c r="H34" s="70"/>
    </row>
    <row r="35" spans="1:8" x14ac:dyDescent="0.45">
      <c r="A35" s="73"/>
      <c r="B35" s="74"/>
      <c r="C35" s="74"/>
      <c r="D35" s="74"/>
      <c r="E35" s="74"/>
      <c r="F35" s="74"/>
      <c r="G35" s="74"/>
      <c r="H35" s="75"/>
    </row>
    <row r="36" spans="1:8" x14ac:dyDescent="0.45">
      <c r="A36" s="72" t="s">
        <v>125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72"/>
      <c r="B37" s="39"/>
      <c r="C37" s="16"/>
      <c r="D37" s="39"/>
      <c r="E37" s="39"/>
      <c r="F37" s="33"/>
      <c r="G37" s="33"/>
      <c r="H37" s="28"/>
    </row>
    <row r="38" spans="1:8" x14ac:dyDescent="0.45">
      <c r="A38" s="72"/>
      <c r="B38" s="39"/>
      <c r="C38" s="16"/>
      <c r="D38" s="39"/>
      <c r="E38" s="39"/>
      <c r="F38" s="33"/>
      <c r="G38" s="33"/>
      <c r="H38" s="28"/>
    </row>
    <row r="39" spans="1:8" x14ac:dyDescent="0.45">
      <c r="A39" s="72"/>
      <c r="B39" s="39"/>
      <c r="C39" s="16"/>
      <c r="D39" s="39"/>
      <c r="E39" s="39"/>
      <c r="F39" s="33"/>
      <c r="G39" s="33"/>
      <c r="H39" s="28"/>
    </row>
    <row r="40" spans="1:8" x14ac:dyDescent="0.45">
      <c r="A40" s="72"/>
      <c r="B40" s="39"/>
      <c r="C40" s="16"/>
      <c r="D40" s="39"/>
      <c r="E40" s="39"/>
      <c r="F40" s="33"/>
      <c r="G40" s="33"/>
      <c r="H40" s="28"/>
    </row>
    <row r="41" spans="1:8" x14ac:dyDescent="0.45">
      <c r="A41" s="72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/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97</v>
      </c>
      <c r="C4" s="26" t="s">
        <v>98</v>
      </c>
      <c r="D4" s="15" t="s">
        <v>117</v>
      </c>
    </row>
    <row r="5" spans="2:4" ht="170" x14ac:dyDescent="0.45">
      <c r="B5" s="15" t="s">
        <v>99</v>
      </c>
      <c r="C5" s="26" t="s">
        <v>96</v>
      </c>
      <c r="D5" s="15" t="s">
        <v>118</v>
      </c>
    </row>
    <row r="6" spans="2:4" ht="170" x14ac:dyDescent="0.45">
      <c r="B6" s="15" t="s">
        <v>115</v>
      </c>
      <c r="C6" s="26" t="s">
        <v>116</v>
      </c>
      <c r="D6" s="15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2025-11-12T04:31:56Z</dcterms:modified>
</cp:coreProperties>
</file>