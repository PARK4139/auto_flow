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"/>
    </mc:Choice>
  </mc:AlternateContent>
  <xr:revisionPtr revIDLastSave="0" documentId="13_ncr:1_{91F702AD-6EA5-4730-A057-3AD147918A54}" xr6:coauthVersionLast="47" xr6:coauthVersionMax="47" xr10:uidLastSave="{00000000-0000-0000-0000-000000000000}"/>
  <bookViews>
    <workbookView xWindow="-110" yWindow="-110" windowWidth="25820" windowHeight="15500" firstSheet="1" activeTab="1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'ES#8'!$A$2:$AP$6</definedName>
    <definedName name="_xlnm._FilterDatabase" localSheetId="2" hidden="1">'ES#9'!$A$2:$AP$6</definedName>
    <definedName name="_xlnm._FilterDatabase" localSheetId="3" hidden="1">'PP#2'!$A$2:$AP$6</definedName>
    <definedName name="_xlnm._FilterDatabase" localSheetId="4" hidden="1">'PP#3'!$A$2:$AP$6</definedName>
    <definedName name="_xlnm._FilterDatabase" localSheetId="5" hidden="1">'PP#4'!$A$2:$AP$6</definedName>
    <definedName name="_xlnm._FilterDatabase" localSheetId="6" hidden="1">'PP#5'!$A$2:$AP$6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" i="19" l="1"/>
  <c r="K10" i="19" s="1"/>
  <c r="K11" i="19" s="1"/>
  <c r="K12" i="19" s="1"/>
  <c r="K13" i="19" s="1"/>
  <c r="K14" i="19" s="1"/>
  <c r="K15" i="19" s="1"/>
  <c r="K16" i="19" s="1"/>
  <c r="L9" i="19"/>
  <c r="M9" i="19"/>
  <c r="M10" i="19" s="1"/>
  <c r="M11" i="19" s="1"/>
  <c r="M12" i="19" s="1"/>
  <c r="M13" i="19" s="1"/>
  <c r="M14" i="19" s="1"/>
  <c r="M15" i="19" s="1"/>
  <c r="M16" i="19" s="1"/>
  <c r="N9" i="19"/>
  <c r="O9" i="19"/>
  <c r="L10" i="19"/>
  <c r="L11" i="19" s="1"/>
  <c r="L12" i="19" s="1"/>
  <c r="L13" i="19" s="1"/>
  <c r="L14" i="19" s="1"/>
  <c r="L15" i="19" s="1"/>
  <c r="L16" i="19" s="1"/>
  <c r="N10" i="19"/>
  <c r="N11" i="19" s="1"/>
  <c r="N12" i="19" s="1"/>
  <c r="N13" i="19" s="1"/>
  <c r="N14" i="19" s="1"/>
  <c r="N15" i="19" s="1"/>
  <c r="N16" i="19" s="1"/>
  <c r="O10" i="19"/>
  <c r="O11" i="19"/>
  <c r="O12" i="19"/>
  <c r="O13" i="19"/>
  <c r="O14" i="19"/>
  <c r="O15" i="19"/>
  <c r="O16" i="19"/>
  <c r="K17" i="19"/>
  <c r="L17" i="19"/>
  <c r="M17" i="19"/>
  <c r="N17" i="19"/>
  <c r="O17" i="19"/>
  <c r="K18" i="19"/>
  <c r="L18" i="19"/>
  <c r="M18" i="19"/>
  <c r="N18" i="19"/>
  <c r="O18" i="19"/>
  <c r="K19" i="19"/>
  <c r="L19" i="19"/>
  <c r="M19" i="19"/>
  <c r="N19" i="19"/>
  <c r="O19" i="19"/>
  <c r="K20" i="19"/>
  <c r="L20" i="19"/>
  <c r="M20" i="19"/>
  <c r="N20" i="19"/>
  <c r="O20" i="19"/>
  <c r="K21" i="19"/>
  <c r="L21" i="19"/>
  <c r="M21" i="19"/>
  <c r="N21" i="19"/>
  <c r="O21" i="19"/>
  <c r="K22" i="19"/>
  <c r="L22" i="19"/>
  <c r="M22" i="19"/>
  <c r="N22" i="19"/>
  <c r="O22" i="19"/>
  <c r="K9" i="18"/>
  <c r="K10" i="18" s="1"/>
  <c r="K11" i="18" s="1"/>
  <c r="K12" i="18" s="1"/>
  <c r="K13" i="18" s="1"/>
  <c r="K14" i="18" s="1"/>
  <c r="K15" i="18" s="1"/>
  <c r="K16" i="18" s="1"/>
  <c r="L9" i="18"/>
  <c r="M9" i="18"/>
  <c r="N9" i="18"/>
  <c r="O9" i="18"/>
  <c r="L10" i="18"/>
  <c r="M10" i="18"/>
  <c r="N10" i="18"/>
  <c r="N11" i="18" s="1"/>
  <c r="N12" i="18" s="1"/>
  <c r="N13" i="18" s="1"/>
  <c r="N14" i="18" s="1"/>
  <c r="N15" i="18" s="1"/>
  <c r="N16" i="18" s="1"/>
  <c r="O10" i="18"/>
  <c r="L11" i="18"/>
  <c r="M11" i="18"/>
  <c r="M12" i="18" s="1"/>
  <c r="M13" i="18" s="1"/>
  <c r="M14" i="18" s="1"/>
  <c r="M15" i="18" s="1"/>
  <c r="M16" i="18" s="1"/>
  <c r="O11" i="18"/>
  <c r="L12" i="18"/>
  <c r="L13" i="18" s="1"/>
  <c r="L14" i="18" s="1"/>
  <c r="L15" i="18" s="1"/>
  <c r="L16" i="18" s="1"/>
  <c r="O12" i="18"/>
  <c r="O13" i="18"/>
  <c r="O14" i="18"/>
  <c r="O15" i="18"/>
  <c r="O16" i="18"/>
  <c r="K17" i="18"/>
  <c r="L17" i="18"/>
  <c r="M17" i="18"/>
  <c r="N17" i="18"/>
  <c r="O17" i="18"/>
  <c r="K18" i="18"/>
  <c r="L18" i="18"/>
  <c r="M18" i="18"/>
  <c r="N18" i="18"/>
  <c r="O18" i="18"/>
  <c r="K19" i="18"/>
  <c r="L19" i="18"/>
  <c r="M19" i="18"/>
  <c r="N19" i="18"/>
  <c r="O19" i="18"/>
  <c r="K20" i="18"/>
  <c r="L20" i="18"/>
  <c r="M20" i="18"/>
  <c r="N20" i="18"/>
  <c r="O20" i="18"/>
  <c r="K21" i="18"/>
  <c r="L21" i="18"/>
  <c r="M21" i="18"/>
  <c r="N21" i="18"/>
  <c r="O21" i="18"/>
  <c r="K22" i="18"/>
  <c r="L22" i="18"/>
  <c r="M22" i="18"/>
  <c r="N22" i="18"/>
  <c r="O22" i="18"/>
  <c r="O8" i="19"/>
  <c r="N8" i="19"/>
  <c r="M8" i="19"/>
  <c r="L8" i="19"/>
  <c r="K8" i="19"/>
  <c r="O7" i="19"/>
  <c r="O8" i="18"/>
  <c r="N8" i="18"/>
  <c r="M8" i="18"/>
  <c r="L8" i="18"/>
  <c r="K8" i="18"/>
  <c r="O7" i="18"/>
  <c r="K19" i="15"/>
  <c r="L19" i="15"/>
  <c r="M19" i="15"/>
  <c r="N19" i="15"/>
  <c r="O19" i="15"/>
  <c r="K20" i="15"/>
  <c r="L20" i="15"/>
  <c r="M20" i="15"/>
  <c r="N20" i="15"/>
  <c r="O20" i="15"/>
  <c r="K21" i="15"/>
  <c r="L21" i="15"/>
  <c r="M21" i="15"/>
  <c r="N21" i="15"/>
  <c r="O21" i="15"/>
  <c r="K22" i="15"/>
  <c r="L22" i="15"/>
  <c r="M22" i="15"/>
  <c r="N22" i="15"/>
  <c r="O22" i="15"/>
  <c r="K19" i="16"/>
  <c r="L19" i="16"/>
  <c r="M19" i="16"/>
  <c r="N19" i="16"/>
  <c r="O19" i="16"/>
  <c r="K20" i="16"/>
  <c r="L20" i="16"/>
  <c r="M20" i="16"/>
  <c r="N20" i="16"/>
  <c r="O20" i="16"/>
  <c r="K21" i="16"/>
  <c r="L21" i="16"/>
  <c r="M21" i="16"/>
  <c r="N21" i="16"/>
  <c r="O21" i="16"/>
  <c r="K22" i="16"/>
  <c r="L22" i="16"/>
  <c r="M22" i="16"/>
  <c r="N22" i="16"/>
  <c r="O22" i="16"/>
  <c r="K19" i="17"/>
  <c r="L19" i="17"/>
  <c r="M19" i="17"/>
  <c r="N19" i="17"/>
  <c r="O19" i="17"/>
  <c r="K20" i="17"/>
  <c r="L20" i="17"/>
  <c r="M20" i="17"/>
  <c r="N20" i="17"/>
  <c r="O20" i="17"/>
  <c r="K21" i="17"/>
  <c r="L21" i="17"/>
  <c r="M21" i="17"/>
  <c r="N21" i="17"/>
  <c r="O21" i="17"/>
  <c r="K22" i="17"/>
  <c r="L22" i="17"/>
  <c r="M22" i="17"/>
  <c r="N22" i="17"/>
  <c r="O22" i="17"/>
  <c r="K19" i="2"/>
  <c r="L19" i="2"/>
  <c r="M19" i="2"/>
  <c r="N19" i="2"/>
  <c r="O19" i="2"/>
  <c r="K20" i="2"/>
  <c r="L20" i="2"/>
  <c r="M20" i="2"/>
  <c r="N20" i="2"/>
  <c r="O20" i="2"/>
  <c r="K21" i="2"/>
  <c r="L21" i="2"/>
  <c r="M21" i="2"/>
  <c r="N21" i="2"/>
  <c r="O21" i="2"/>
  <c r="K22" i="2"/>
  <c r="L22" i="2"/>
  <c r="M22" i="2"/>
  <c r="N22" i="2"/>
  <c r="O22" i="2"/>
  <c r="G9" i="15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H9" i="15"/>
  <c r="H10" i="15"/>
  <c r="H11" i="15"/>
  <c r="H12" i="15" s="1"/>
  <c r="H13" i="15" s="1"/>
  <c r="H14" i="15" s="1"/>
  <c r="H15" i="15" s="1"/>
  <c r="H16" i="15" s="1"/>
  <c r="H17" i="15" s="1"/>
  <c r="H18" i="15" s="1"/>
  <c r="H19" i="15" s="1"/>
  <c r="G9" i="16"/>
  <c r="G10" i="16" s="1"/>
  <c r="G11" i="16" s="1"/>
  <c r="G12" i="16" s="1"/>
  <c r="G13" i="16" s="1"/>
  <c r="G14" i="16" s="1"/>
  <c r="G15" i="16" s="1"/>
  <c r="G16" i="16" s="1"/>
  <c r="G17" i="16" s="1"/>
  <c r="G18" i="16" s="1"/>
  <c r="G19" i="16" s="1"/>
  <c r="H9" i="16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G9" i="17"/>
  <c r="H9" i="17"/>
  <c r="H10" i="17" s="1"/>
  <c r="H11" i="17" s="1"/>
  <c r="H12" i="17" s="1"/>
  <c r="H13" i="17" s="1"/>
  <c r="H14" i="17" s="1"/>
  <c r="H15" i="17" s="1"/>
  <c r="H16" i="17" s="1"/>
  <c r="H17" i="17" s="1"/>
  <c r="H18" i="17" s="1"/>
  <c r="H19" i="17" s="1"/>
  <c r="G10" i="17"/>
  <c r="G11" i="17" s="1"/>
  <c r="G12" i="17" s="1"/>
  <c r="G13" i="17" s="1"/>
  <c r="G14" i="17" s="1"/>
  <c r="G15" i="17" s="1"/>
  <c r="G16" i="17" s="1"/>
  <c r="G17" i="17" s="1"/>
  <c r="G18" i="17" s="1"/>
  <c r="G19" i="17" s="1"/>
  <c r="G9" i="2"/>
  <c r="H9" i="2"/>
  <c r="G10" i="2"/>
  <c r="H10" i="2"/>
  <c r="H11" i="2" s="1"/>
  <c r="H12" i="2" s="1"/>
  <c r="H13" i="2" s="1"/>
  <c r="H14" i="2" s="1"/>
  <c r="H15" i="2" s="1"/>
  <c r="H16" i="2" s="1"/>
  <c r="H17" i="2" s="1"/>
  <c r="H18" i="2" s="1"/>
  <c r="H19" i="2" s="1"/>
  <c r="G11" i="2"/>
  <c r="G12" i="2" s="1"/>
  <c r="G13" i="2" s="1"/>
  <c r="G14" i="2" s="1"/>
  <c r="G15" i="2" s="1"/>
  <c r="G16" i="2" s="1"/>
  <c r="G17" i="2" s="1"/>
  <c r="G18" i="2" s="1"/>
  <c r="G19" i="2" s="1"/>
  <c r="H8" i="15"/>
  <c r="H8" i="16"/>
  <c r="H8" i="17"/>
  <c r="H8" i="2"/>
  <c r="G8" i="15"/>
  <c r="G8" i="16"/>
  <c r="G8" i="17"/>
  <c r="G8" i="2"/>
  <c r="O9" i="15"/>
  <c r="O10" i="15"/>
  <c r="O11" i="15"/>
  <c r="O12" i="15"/>
  <c r="O13" i="15"/>
  <c r="O14" i="15"/>
  <c r="O15" i="15"/>
  <c r="O16" i="15"/>
  <c r="O17" i="15"/>
  <c r="O18" i="15"/>
  <c r="O9" i="16"/>
  <c r="O10" i="16"/>
  <c r="O11" i="16"/>
  <c r="O12" i="16"/>
  <c r="O13" i="16"/>
  <c r="O14" i="16"/>
  <c r="O15" i="16"/>
  <c r="O16" i="16"/>
  <c r="O17" i="16"/>
  <c r="O18" i="16"/>
  <c r="O9" i="17"/>
  <c r="O10" i="17"/>
  <c r="O11" i="17"/>
  <c r="O12" i="17"/>
  <c r="O13" i="17"/>
  <c r="O14" i="17"/>
  <c r="O15" i="17"/>
  <c r="O16" i="17"/>
  <c r="O17" i="17"/>
  <c r="O18" i="17"/>
  <c r="O9" i="2"/>
  <c r="O10" i="2"/>
  <c r="O11" i="2"/>
  <c r="O12" i="2"/>
  <c r="O13" i="2"/>
  <c r="O14" i="2"/>
  <c r="O15" i="2"/>
  <c r="O16" i="2"/>
  <c r="O17" i="2"/>
  <c r="O18" i="2"/>
  <c r="O8" i="15"/>
  <c r="O7" i="15"/>
  <c r="O8" i="16"/>
  <c r="O7" i="16"/>
  <c r="O8" i="17"/>
  <c r="O7" i="17"/>
  <c r="O8" i="2"/>
  <c r="O7" i="2"/>
  <c r="N9" i="15"/>
  <c r="N10" i="15" s="1"/>
  <c r="N11" i="15" s="1"/>
  <c r="N12" i="15" s="1"/>
  <c r="N13" i="15" s="1"/>
  <c r="M9" i="17"/>
  <c r="M10" i="17" s="1"/>
  <c r="M11" i="17" s="1"/>
  <c r="M12" i="17" s="1"/>
  <c r="M13" i="17" s="1"/>
  <c r="M14" i="17" s="1"/>
  <c r="M15" i="17" s="1"/>
  <c r="M16" i="17" s="1"/>
  <c r="M17" i="17" s="1"/>
  <c r="M18" i="17" s="1"/>
  <c r="N9" i="2"/>
  <c r="N10" i="2" s="1"/>
  <c r="N11" i="2" s="1"/>
  <c r="N12" i="2" s="1"/>
  <c r="N13" i="2" s="1"/>
  <c r="N14" i="2" s="1"/>
  <c r="N15" i="2" s="1"/>
  <c r="N16" i="2" s="1"/>
  <c r="N17" i="2" s="1"/>
  <c r="N18" i="2" s="1"/>
  <c r="N8" i="2"/>
  <c r="M8" i="2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I12" i="18"/>
  <c r="I13" i="18" s="1"/>
  <c r="I14" i="18" s="1"/>
  <c r="F12" i="18"/>
  <c r="F13" i="18" s="1"/>
  <c r="F14" i="18" s="1"/>
  <c r="F15" i="18" s="1"/>
  <c r="F16" i="18" s="1"/>
  <c r="M8" i="15"/>
  <c r="M9" i="15" s="1"/>
  <c r="M10" i="15" s="1"/>
  <c r="M11" i="15" s="1"/>
  <c r="M12" i="15" s="1"/>
  <c r="M13" i="15" s="1"/>
  <c r="M14" i="15" s="1"/>
  <c r="M15" i="15" s="1"/>
  <c r="M16" i="15" s="1"/>
  <c r="M17" i="15" s="1"/>
  <c r="M18" i="15" s="1"/>
  <c r="L8" i="15"/>
  <c r="L9" i="15" s="1"/>
  <c r="L10" i="15" s="1"/>
  <c r="L11" i="15" s="1"/>
  <c r="L12" i="15" s="1"/>
  <c r="L13" i="15" s="1"/>
  <c r="K8" i="15"/>
  <c r="K9" i="15" s="1"/>
  <c r="K10" i="15" s="1"/>
  <c r="K11" i="15" s="1"/>
  <c r="K12" i="15" s="1"/>
  <c r="K13" i="15" s="1"/>
  <c r="M8" i="16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L8" i="16"/>
  <c r="L9" i="16" s="1"/>
  <c r="L10" i="16" s="1"/>
  <c r="L11" i="16" s="1"/>
  <c r="L12" i="16" s="1"/>
  <c r="L13" i="16" s="1"/>
  <c r="L14" i="16" s="1"/>
  <c r="L15" i="16" s="1"/>
  <c r="L16" i="16" s="1"/>
  <c r="L17" i="16" s="1"/>
  <c r="L18" i="16" s="1"/>
  <c r="K8" i="16"/>
  <c r="K9" i="16" s="1"/>
  <c r="K10" i="16" s="1"/>
  <c r="K11" i="16" s="1"/>
  <c r="K12" i="16" s="1"/>
  <c r="K13" i="16" s="1"/>
  <c r="K9" i="17"/>
  <c r="K10" i="17" s="1"/>
  <c r="K11" i="17" s="1"/>
  <c r="K12" i="17" s="1"/>
  <c r="K13" i="17" s="1"/>
  <c r="K14" i="17" s="1"/>
  <c r="K15" i="17" s="1"/>
  <c r="K16" i="17" s="1"/>
  <c r="K17" i="17" s="1"/>
  <c r="K18" i="17" s="1"/>
  <c r="M8" i="17"/>
  <c r="L8" i="17"/>
  <c r="L9" i="17" s="1"/>
  <c r="L10" i="17" s="1"/>
  <c r="L11" i="17" s="1"/>
  <c r="L12" i="17" s="1"/>
  <c r="L13" i="17" s="1"/>
  <c r="L14" i="17" s="1"/>
  <c r="L15" i="17" s="1"/>
  <c r="L16" i="17" s="1"/>
  <c r="L17" i="17" s="1"/>
  <c r="L18" i="17" s="1"/>
  <c r="K8" i="17"/>
  <c r="L8" i="2"/>
  <c r="L9" i="2" s="1"/>
  <c r="L10" i="2" s="1"/>
  <c r="L11" i="2" s="1"/>
  <c r="L12" i="2" s="1"/>
  <c r="L13" i="2" s="1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N8" i="15"/>
  <c r="N8" i="16"/>
  <c r="N9" i="16" s="1"/>
  <c r="N10" i="16" s="1"/>
  <c r="N11" i="16" s="1"/>
  <c r="N12" i="16" s="1"/>
  <c r="N13" i="16" s="1"/>
  <c r="N14" i="16" s="1"/>
  <c r="N15" i="16" s="1"/>
  <c r="N16" i="16" s="1"/>
  <c r="N17" i="16" s="1"/>
  <c r="N18" i="16" s="1"/>
  <c r="N8" i="17"/>
  <c r="N9" i="17" s="1"/>
  <c r="N10" i="17" s="1"/>
  <c r="N11" i="17" s="1"/>
  <c r="N12" i="17" s="1"/>
  <c r="N13" i="17" s="1"/>
  <c r="N14" i="17" s="1"/>
  <c r="N15" i="17" s="1"/>
  <c r="N16" i="17" s="1"/>
  <c r="N17" i="17" s="1"/>
  <c r="N18" i="17" s="1"/>
  <c r="I20" i="15"/>
  <c r="I21" i="15"/>
  <c r="I22" i="15"/>
  <c r="I19" i="16"/>
  <c r="I20" i="16"/>
  <c r="I21" i="16"/>
  <c r="I22" i="16"/>
  <c r="I19" i="17"/>
  <c r="I20" i="17"/>
  <c r="I21" i="17"/>
  <c r="I22" i="17"/>
  <c r="I19" i="2"/>
  <c r="I20" i="2"/>
  <c r="I21" i="2"/>
  <c r="I22" i="2"/>
  <c r="I14" i="15"/>
  <c r="I15" i="15" s="1"/>
  <c r="I16" i="15" s="1"/>
  <c r="I17" i="15" s="1"/>
  <c r="I18" i="15" s="1"/>
  <c r="I19" i="15" s="1"/>
  <c r="I14" i="16"/>
  <c r="I15" i="16" s="1"/>
  <c r="I16" i="16" s="1"/>
  <c r="I17" i="16" s="1"/>
  <c r="I18" i="16" s="1"/>
  <c r="I14" i="17"/>
  <c r="I15" i="17" s="1"/>
  <c r="I16" i="17" s="1"/>
  <c r="I17" i="17" s="1"/>
  <c r="I18" i="17" s="1"/>
  <c r="I14" i="2"/>
  <c r="I15" i="2" s="1"/>
  <c r="I16" i="2" s="1"/>
  <c r="I17" i="2" s="1"/>
  <c r="I18" i="2" s="1"/>
  <c r="F20" i="15"/>
  <c r="F21" i="15"/>
  <c r="F22" i="15"/>
  <c r="F19" i="16"/>
  <c r="F20" i="16"/>
  <c r="F21" i="16"/>
  <c r="F22" i="16"/>
  <c r="F20" i="17"/>
  <c r="F21" i="17"/>
  <c r="F22" i="17"/>
  <c r="F19" i="2"/>
  <c r="F20" i="2"/>
  <c r="F21" i="2"/>
  <c r="F22" i="2"/>
  <c r="F14" i="15"/>
  <c r="F15" i="15" s="1"/>
  <c r="F16" i="15" s="1"/>
  <c r="F17" i="15" s="1"/>
  <c r="F18" i="15" s="1"/>
  <c r="F19" i="15" s="1"/>
  <c r="F14" i="16"/>
  <c r="F15" i="16" s="1"/>
  <c r="F16" i="16" s="1"/>
  <c r="F17" i="16" s="1"/>
  <c r="F18" i="16" s="1"/>
  <c r="F14" i="17"/>
  <c r="F15" i="17" s="1"/>
  <c r="F16" i="17" s="1"/>
  <c r="F17" i="17" s="1"/>
  <c r="F18" i="17" s="1"/>
  <c r="F19" i="17" s="1"/>
  <c r="F14" i="2"/>
  <c r="F15" i="2" s="1"/>
  <c r="F16" i="2" s="1"/>
  <c r="F17" i="2" s="1"/>
  <c r="F18" i="2" s="1"/>
  <c r="D17" i="18"/>
  <c r="D21" i="16"/>
  <c r="C21" i="16"/>
  <c r="E21" i="16" s="1"/>
  <c r="C18" i="18"/>
  <c r="C19" i="18"/>
  <c r="C21" i="18"/>
  <c r="D8" i="2"/>
  <c r="B22" i="16"/>
  <c r="D22" i="16" s="1"/>
  <c r="B21" i="16"/>
  <c r="B20" i="16"/>
  <c r="D20" i="16" s="1"/>
  <c r="B8" i="16"/>
  <c r="B9" i="16" s="1"/>
  <c r="D9" i="16" s="1"/>
  <c r="B22" i="17"/>
  <c r="D22" i="17" s="1"/>
  <c r="B21" i="17"/>
  <c r="D21" i="17" s="1"/>
  <c r="B20" i="17"/>
  <c r="D20" i="17" s="1"/>
  <c r="B8" i="17"/>
  <c r="X8" i="17" s="1"/>
  <c r="B22" i="15"/>
  <c r="D22" i="15" s="1"/>
  <c r="B21" i="15"/>
  <c r="D21" i="15" s="1"/>
  <c r="B20" i="15"/>
  <c r="D20" i="15" s="1"/>
  <c r="B8" i="15"/>
  <c r="B9" i="15" s="1"/>
  <c r="D9" i="15" s="1"/>
  <c r="B9" i="2"/>
  <c r="D9" i="2" s="1"/>
  <c r="B20" i="2"/>
  <c r="D20" i="2" s="1"/>
  <c r="B21" i="2"/>
  <c r="D21" i="2" s="1"/>
  <c r="B22" i="2"/>
  <c r="D22" i="2" s="1"/>
  <c r="B8" i="2"/>
  <c r="W8" i="2" s="1"/>
  <c r="B20" i="19"/>
  <c r="D20" i="19" s="1"/>
  <c r="B21" i="19"/>
  <c r="D21" i="19" s="1"/>
  <c r="B22" i="19"/>
  <c r="D22" i="19" s="1"/>
  <c r="B20" i="18"/>
  <c r="D20" i="18" s="1"/>
  <c r="B21" i="18"/>
  <c r="D21" i="18" s="1"/>
  <c r="B22" i="18"/>
  <c r="C22" i="18" s="1"/>
  <c r="B17" i="19"/>
  <c r="D17" i="19" s="1"/>
  <c r="B18" i="19"/>
  <c r="D18" i="19" s="1"/>
  <c r="B19" i="19"/>
  <c r="D19" i="19" s="1"/>
  <c r="B17" i="18"/>
  <c r="C17" i="18" s="1"/>
  <c r="B18" i="18"/>
  <c r="D18" i="18" s="1"/>
  <c r="B19" i="18"/>
  <c r="D19" i="18" s="1"/>
  <c r="B9" i="19"/>
  <c r="W9" i="19" s="1"/>
  <c r="B9" i="18"/>
  <c r="Y9" i="18" s="1"/>
  <c r="B8" i="19"/>
  <c r="U8" i="19" s="1"/>
  <c r="B8" i="18"/>
  <c r="H6" i="10"/>
  <c r="G6" i="10"/>
  <c r="F6" i="10"/>
  <c r="E6" i="10"/>
  <c r="D6" i="10"/>
  <c r="C6" i="10"/>
  <c r="D7" i="16"/>
  <c r="D7" i="17"/>
  <c r="D7" i="15"/>
  <c r="Y8" i="17"/>
  <c r="AB7" i="17"/>
  <c r="AA7" i="17"/>
  <c r="Z7" i="17"/>
  <c r="Y7" i="17"/>
  <c r="X7" i="17"/>
  <c r="W7" i="17"/>
  <c r="V7" i="17"/>
  <c r="U7" i="17"/>
  <c r="AB8" i="16"/>
  <c r="AA8" i="16"/>
  <c r="Z8" i="16"/>
  <c r="Y8" i="16"/>
  <c r="X8" i="16"/>
  <c r="W8" i="16"/>
  <c r="U8" i="16"/>
  <c r="AB7" i="16"/>
  <c r="AA7" i="16"/>
  <c r="Z7" i="16"/>
  <c r="Y7" i="16"/>
  <c r="X7" i="16"/>
  <c r="W7" i="16"/>
  <c r="V7" i="16"/>
  <c r="U7" i="16"/>
  <c r="AB8" i="15"/>
  <c r="AA8" i="15"/>
  <c r="Z8" i="15"/>
  <c r="Y8" i="15"/>
  <c r="X8" i="15"/>
  <c r="W8" i="15"/>
  <c r="U8" i="15"/>
  <c r="AB7" i="15"/>
  <c r="AA7" i="15"/>
  <c r="Z7" i="15"/>
  <c r="Y7" i="15"/>
  <c r="X7" i="15"/>
  <c r="W7" i="15"/>
  <c r="V7" i="15"/>
  <c r="U7" i="15"/>
  <c r="AA9" i="2"/>
  <c r="Y9" i="2"/>
  <c r="AB8" i="2"/>
  <c r="Y8" i="2"/>
  <c r="X8" i="2"/>
  <c r="AB7" i="2"/>
  <c r="AA7" i="2"/>
  <c r="Z7" i="2"/>
  <c r="Y7" i="2"/>
  <c r="X7" i="2"/>
  <c r="W7" i="2"/>
  <c r="V7" i="2"/>
  <c r="U7" i="2"/>
  <c r="X9" i="19"/>
  <c r="AB8" i="19"/>
  <c r="AA8" i="19"/>
  <c r="Z8" i="19"/>
  <c r="Y8" i="19"/>
  <c r="X8" i="19"/>
  <c r="W8" i="19"/>
  <c r="V8" i="19"/>
  <c r="AB7" i="19"/>
  <c r="AA7" i="19"/>
  <c r="Z7" i="19"/>
  <c r="Y7" i="19"/>
  <c r="X7" i="19"/>
  <c r="W7" i="19"/>
  <c r="V7" i="19"/>
  <c r="U7" i="19"/>
  <c r="AB9" i="18"/>
  <c r="AA9" i="18"/>
  <c r="Z9" i="18"/>
  <c r="X9" i="18"/>
  <c r="W9" i="18"/>
  <c r="V9" i="18"/>
  <c r="U9" i="18"/>
  <c r="AB8" i="18"/>
  <c r="AA8" i="18"/>
  <c r="Z8" i="18"/>
  <c r="Y8" i="18"/>
  <c r="X8" i="18"/>
  <c r="W8" i="18"/>
  <c r="V8" i="18"/>
  <c r="U8" i="18"/>
  <c r="AB7" i="18"/>
  <c r="AA7" i="18"/>
  <c r="Z7" i="18"/>
  <c r="Y7" i="18"/>
  <c r="X7" i="18"/>
  <c r="W7" i="18"/>
  <c r="V7" i="18"/>
  <c r="U7" i="18"/>
  <c r="H5" i="10"/>
  <c r="G5" i="10"/>
  <c r="F5" i="10"/>
  <c r="E5" i="10"/>
  <c r="D5" i="10"/>
  <c r="C5" i="10"/>
  <c r="H12" i="10"/>
  <c r="G12" i="10"/>
  <c r="F12" i="10"/>
  <c r="E12" i="10"/>
  <c r="C12" i="10"/>
  <c r="D12" i="10"/>
  <c r="AD9" i="19"/>
  <c r="C8" i="19"/>
  <c r="AE8" i="19"/>
  <c r="AD8" i="19"/>
  <c r="AC8" i="19"/>
  <c r="T8" i="19"/>
  <c r="S8" i="19"/>
  <c r="R8" i="19"/>
  <c r="Q8" i="19"/>
  <c r="C7" i="19"/>
  <c r="AE7" i="19"/>
  <c r="AD7" i="19"/>
  <c r="AC7" i="19"/>
  <c r="T7" i="19"/>
  <c r="S7" i="19"/>
  <c r="R7" i="19"/>
  <c r="Q7" i="19"/>
  <c r="C9" i="18"/>
  <c r="AE9" i="18"/>
  <c r="AD9" i="18"/>
  <c r="AC9" i="18"/>
  <c r="T9" i="18"/>
  <c r="S9" i="18"/>
  <c r="R9" i="18"/>
  <c r="Q9" i="18"/>
  <c r="C8" i="18"/>
  <c r="AE8" i="18"/>
  <c r="AD8" i="18"/>
  <c r="AC8" i="18"/>
  <c r="T8" i="18"/>
  <c r="S8" i="18"/>
  <c r="R8" i="18"/>
  <c r="Q8" i="18"/>
  <c r="C7" i="18"/>
  <c r="AE7" i="18"/>
  <c r="AD7" i="18"/>
  <c r="AC7" i="18"/>
  <c r="T7" i="18"/>
  <c r="S7" i="18"/>
  <c r="R7" i="18"/>
  <c r="Q7" i="18"/>
  <c r="AD8" i="17"/>
  <c r="C7" i="17"/>
  <c r="AE7" i="17"/>
  <c r="AD7" i="17"/>
  <c r="AC7" i="17"/>
  <c r="T7" i="17"/>
  <c r="S7" i="17"/>
  <c r="R7" i="17"/>
  <c r="Q7" i="17"/>
  <c r="C8" i="16"/>
  <c r="AE8" i="16"/>
  <c r="AD8" i="16"/>
  <c r="AC8" i="16"/>
  <c r="T8" i="16"/>
  <c r="S8" i="16"/>
  <c r="R8" i="16"/>
  <c r="Q8" i="16"/>
  <c r="C7" i="16"/>
  <c r="AE7" i="16"/>
  <c r="AD7" i="16"/>
  <c r="AC7" i="16"/>
  <c r="T7" i="16"/>
  <c r="S7" i="16"/>
  <c r="R7" i="16"/>
  <c r="Q7" i="16"/>
  <c r="C8" i="15"/>
  <c r="AE8" i="15"/>
  <c r="AD8" i="15"/>
  <c r="AC8" i="15"/>
  <c r="T8" i="15"/>
  <c r="S8" i="15"/>
  <c r="R8" i="15"/>
  <c r="Q8" i="15"/>
  <c r="C7" i="15"/>
  <c r="AE7" i="15"/>
  <c r="AD7" i="15"/>
  <c r="AC7" i="15"/>
  <c r="T7" i="15"/>
  <c r="S7" i="15"/>
  <c r="R7" i="15"/>
  <c r="Q7" i="15"/>
  <c r="Q9" i="2"/>
  <c r="R9" i="2"/>
  <c r="S9" i="2"/>
  <c r="T9" i="2"/>
  <c r="AC9" i="2"/>
  <c r="AD9" i="2"/>
  <c r="AE9" i="2"/>
  <c r="C9" i="2"/>
  <c r="Q7" i="2"/>
  <c r="D7" i="2"/>
  <c r="C7" i="2"/>
  <c r="C8" i="2"/>
  <c r="T8" i="2"/>
  <c r="T7" i="2"/>
  <c r="S8" i="2"/>
  <c r="S7" i="2"/>
  <c r="R7" i="2"/>
  <c r="Q8" i="2"/>
  <c r="AD7" i="2"/>
  <c r="AE7" i="2"/>
  <c r="AC8" i="2"/>
  <c r="AC7" i="2"/>
  <c r="AE9" i="19" l="1"/>
  <c r="Y9" i="19"/>
  <c r="Z9" i="2"/>
  <c r="Z8" i="17"/>
  <c r="B10" i="18"/>
  <c r="B10" i="2"/>
  <c r="B9" i="17"/>
  <c r="C22" i="19"/>
  <c r="C20" i="18"/>
  <c r="K14" i="16"/>
  <c r="K15" i="16" s="1"/>
  <c r="K16" i="16" s="1"/>
  <c r="K17" i="16" s="1"/>
  <c r="K18" i="16" s="1"/>
  <c r="Z9" i="19"/>
  <c r="AA8" i="17"/>
  <c r="B10" i="19"/>
  <c r="D8" i="17"/>
  <c r="C21" i="19"/>
  <c r="AE8" i="17"/>
  <c r="AA9" i="19"/>
  <c r="AB9" i="2"/>
  <c r="AB8" i="17"/>
  <c r="C20" i="19"/>
  <c r="D22" i="18"/>
  <c r="L14" i="2"/>
  <c r="L15" i="2" s="1"/>
  <c r="L16" i="2" s="1"/>
  <c r="L17" i="2" s="1"/>
  <c r="L18" i="2" s="1"/>
  <c r="N14" i="15"/>
  <c r="N15" i="15" s="1"/>
  <c r="N16" i="15" s="1"/>
  <c r="N17" i="15" s="1"/>
  <c r="N18" i="15" s="1"/>
  <c r="AB9" i="19"/>
  <c r="U9" i="2"/>
  <c r="U8" i="17"/>
  <c r="D8" i="16"/>
  <c r="C19" i="19"/>
  <c r="K14" i="15"/>
  <c r="K15" i="15" s="1"/>
  <c r="K16" i="15" s="1"/>
  <c r="K17" i="15" s="1"/>
  <c r="K18" i="15" s="1"/>
  <c r="Q8" i="17"/>
  <c r="Q9" i="19"/>
  <c r="R8" i="17"/>
  <c r="R9" i="19"/>
  <c r="S8" i="17"/>
  <c r="S9" i="19"/>
  <c r="U9" i="19"/>
  <c r="V9" i="2"/>
  <c r="V8" i="15"/>
  <c r="V8" i="16"/>
  <c r="V8" i="17"/>
  <c r="C18" i="19"/>
  <c r="L14" i="15"/>
  <c r="L15" i="15" s="1"/>
  <c r="L16" i="15" s="1"/>
  <c r="L17" i="15" s="1"/>
  <c r="L18" i="15" s="1"/>
  <c r="C8" i="17"/>
  <c r="C9" i="19"/>
  <c r="T8" i="17"/>
  <c r="T9" i="19"/>
  <c r="V9" i="19"/>
  <c r="W9" i="2"/>
  <c r="W8" i="17"/>
  <c r="D8" i="15"/>
  <c r="C17" i="19"/>
  <c r="AC8" i="17"/>
  <c r="AC9" i="19"/>
  <c r="X9" i="2"/>
  <c r="C22" i="2"/>
  <c r="E22" i="2" s="1"/>
  <c r="C22" i="16"/>
  <c r="E22" i="16" s="1"/>
  <c r="C20" i="2"/>
  <c r="E20" i="2" s="1"/>
  <c r="C20" i="16"/>
  <c r="E20" i="16" s="1"/>
  <c r="C22" i="17"/>
  <c r="E22" i="17" s="1"/>
  <c r="C22" i="15"/>
  <c r="E22" i="15" s="1"/>
  <c r="C21" i="2"/>
  <c r="E21" i="2" s="1"/>
  <c r="C21" i="17"/>
  <c r="E21" i="17" s="1"/>
  <c r="C21" i="15"/>
  <c r="E21" i="15" s="1"/>
  <c r="C20" i="17"/>
  <c r="E20" i="17" s="1"/>
  <c r="C20" i="15"/>
  <c r="E20" i="15" s="1"/>
  <c r="I15" i="18"/>
  <c r="I16" i="18" s="1"/>
  <c r="U9" i="15"/>
  <c r="T9" i="15"/>
  <c r="AB9" i="15"/>
  <c r="B10" i="15"/>
  <c r="D10" i="15" s="1"/>
  <c r="AA9" i="15"/>
  <c r="R9" i="15"/>
  <c r="Q9" i="15"/>
  <c r="V9" i="15"/>
  <c r="S9" i="15"/>
  <c r="Z9" i="15"/>
  <c r="AC9" i="15"/>
  <c r="Y9" i="15"/>
  <c r="C9" i="15"/>
  <c r="AE9" i="15"/>
  <c r="X9" i="15"/>
  <c r="W9" i="15"/>
  <c r="AD9" i="15"/>
  <c r="U9" i="16"/>
  <c r="T9" i="16"/>
  <c r="AB9" i="16"/>
  <c r="AA9" i="16"/>
  <c r="R9" i="16"/>
  <c r="V9" i="16"/>
  <c r="S9" i="16"/>
  <c r="Z9" i="16"/>
  <c r="Q9" i="16"/>
  <c r="B10" i="16"/>
  <c r="D10" i="16" s="1"/>
  <c r="Y9" i="16"/>
  <c r="C9" i="16"/>
  <c r="AC9" i="16"/>
  <c r="X9" i="16"/>
  <c r="AE9" i="16"/>
  <c r="W9" i="16"/>
  <c r="AD9" i="16"/>
  <c r="Z8" i="2"/>
  <c r="AD8" i="2"/>
  <c r="AA8" i="2"/>
  <c r="U8" i="2"/>
  <c r="V8" i="2"/>
  <c r="AE8" i="2"/>
  <c r="R8" i="2"/>
  <c r="S10" i="18"/>
  <c r="X10" i="18"/>
  <c r="X10" i="19"/>
  <c r="T10" i="18"/>
  <c r="Y10" i="18"/>
  <c r="Y10" i="19"/>
  <c r="AC10" i="18"/>
  <c r="Z10" i="18"/>
  <c r="Z10" i="19"/>
  <c r="AE10" i="18"/>
  <c r="B12" i="10"/>
  <c r="B20" i="10" s="1"/>
  <c r="B6" i="10"/>
  <c r="L12" i="10"/>
  <c r="B5" i="10"/>
  <c r="M12" i="10"/>
  <c r="K12" i="10"/>
  <c r="N12" i="10"/>
  <c r="O12" i="10"/>
  <c r="P12" i="10"/>
  <c r="B11" i="2" l="1"/>
  <c r="X10" i="2"/>
  <c r="R10" i="2"/>
  <c r="Y10" i="2"/>
  <c r="D10" i="2"/>
  <c r="W10" i="2"/>
  <c r="C10" i="2"/>
  <c r="AC10" i="2"/>
  <c r="S10" i="2"/>
  <c r="V10" i="2"/>
  <c r="T10" i="2"/>
  <c r="Q10" i="2"/>
  <c r="AD10" i="2"/>
  <c r="U10" i="2"/>
  <c r="AB10" i="2"/>
  <c r="AA10" i="2"/>
  <c r="AE10" i="2"/>
  <c r="Z10" i="2"/>
  <c r="AB10" i="19"/>
  <c r="W10" i="19"/>
  <c r="AC10" i="19"/>
  <c r="V10" i="19"/>
  <c r="T10" i="19"/>
  <c r="C10" i="19"/>
  <c r="B11" i="19"/>
  <c r="U10" i="19"/>
  <c r="S10" i="19"/>
  <c r="R10" i="19"/>
  <c r="Q10" i="19"/>
  <c r="AD10" i="19"/>
  <c r="AE10" i="19"/>
  <c r="AA10" i="19"/>
  <c r="AB10" i="18"/>
  <c r="B11" i="18"/>
  <c r="C10" i="18"/>
  <c r="AD10" i="18"/>
  <c r="R10" i="18"/>
  <c r="Q10" i="18"/>
  <c r="AA10" i="18"/>
  <c r="W10" i="18"/>
  <c r="V10" i="18"/>
  <c r="U10" i="18"/>
  <c r="B10" i="17"/>
  <c r="X9" i="17"/>
  <c r="AC9" i="17"/>
  <c r="W9" i="17"/>
  <c r="T9" i="17"/>
  <c r="Q9" i="17"/>
  <c r="V9" i="17"/>
  <c r="S9" i="17"/>
  <c r="R9" i="17"/>
  <c r="U9" i="17"/>
  <c r="AE9" i="17"/>
  <c r="Y9" i="17"/>
  <c r="AB9" i="17"/>
  <c r="AD9" i="17"/>
  <c r="AA9" i="17"/>
  <c r="C9" i="17"/>
  <c r="D9" i="17"/>
  <c r="Z9" i="17"/>
  <c r="U10" i="16"/>
  <c r="Q10" i="16"/>
  <c r="AB10" i="16"/>
  <c r="C10" i="16"/>
  <c r="AA10" i="16"/>
  <c r="AE10" i="16"/>
  <c r="B11" i="16"/>
  <c r="D11" i="16" s="1"/>
  <c r="Z10" i="16"/>
  <c r="AD10" i="16"/>
  <c r="Y10" i="16"/>
  <c r="AC10" i="16"/>
  <c r="X10" i="16"/>
  <c r="T10" i="16"/>
  <c r="W10" i="16"/>
  <c r="S10" i="16"/>
  <c r="V10" i="16"/>
  <c r="R10" i="16"/>
  <c r="U10" i="15"/>
  <c r="Q10" i="15"/>
  <c r="AB10" i="15"/>
  <c r="C10" i="15"/>
  <c r="B11" i="15"/>
  <c r="D11" i="15" s="1"/>
  <c r="AA10" i="15"/>
  <c r="AE10" i="15"/>
  <c r="Z10" i="15"/>
  <c r="AD10" i="15"/>
  <c r="R10" i="15"/>
  <c r="Y10" i="15"/>
  <c r="AC10" i="15"/>
  <c r="X10" i="15"/>
  <c r="T10" i="15"/>
  <c r="W10" i="15"/>
  <c r="S10" i="15"/>
  <c r="V10" i="15"/>
  <c r="B19" i="10"/>
  <c r="B18" i="10"/>
  <c r="B12" i="18" l="1"/>
  <c r="C11" i="18"/>
  <c r="AE11" i="18"/>
  <c r="AD11" i="18"/>
  <c r="D10" i="17"/>
  <c r="AA10" i="17"/>
  <c r="V10" i="17"/>
  <c r="Q10" i="17"/>
  <c r="U10" i="17"/>
  <c r="X10" i="17"/>
  <c r="B11" i="17"/>
  <c r="AC10" i="17"/>
  <c r="R10" i="17"/>
  <c r="AB10" i="17"/>
  <c r="C10" i="17"/>
  <c r="Y10" i="17"/>
  <c r="W10" i="17"/>
  <c r="T10" i="17"/>
  <c r="AE10" i="17"/>
  <c r="S10" i="17"/>
  <c r="AD10" i="17"/>
  <c r="Z10" i="17"/>
  <c r="AE11" i="19"/>
  <c r="AD11" i="19"/>
  <c r="B12" i="19"/>
  <c r="C11" i="19"/>
  <c r="D11" i="2"/>
  <c r="C11" i="2"/>
  <c r="AE11" i="2"/>
  <c r="B12" i="2"/>
  <c r="AD11" i="2"/>
  <c r="B12" i="15"/>
  <c r="D12" i="15" s="1"/>
  <c r="C11" i="15"/>
  <c r="AE11" i="15"/>
  <c r="AD11" i="15"/>
  <c r="Y11" i="16"/>
  <c r="AD11" i="16"/>
  <c r="B12" i="16"/>
  <c r="D12" i="16" s="1"/>
  <c r="AE11" i="16"/>
  <c r="Z11" i="16"/>
  <c r="AB11" i="16"/>
  <c r="AA11" i="16"/>
  <c r="C11" i="16"/>
  <c r="B21" i="10"/>
  <c r="D12" i="2" l="1"/>
  <c r="W12" i="2"/>
  <c r="AB12" i="2"/>
  <c r="Y12" i="2"/>
  <c r="AE12" i="2"/>
  <c r="X12" i="2"/>
  <c r="B13" i="2"/>
  <c r="AD12" i="2"/>
  <c r="S12" i="2"/>
  <c r="U12" i="2"/>
  <c r="R12" i="2"/>
  <c r="V12" i="2"/>
  <c r="AA12" i="2"/>
  <c r="Q12" i="2"/>
  <c r="C12" i="2"/>
  <c r="AC12" i="2"/>
  <c r="Z12" i="2"/>
  <c r="T12" i="2"/>
  <c r="D11" i="17"/>
  <c r="AB11" i="17"/>
  <c r="C11" i="17"/>
  <c r="B12" i="17"/>
  <c r="AE11" i="17"/>
  <c r="AA11" i="17"/>
  <c r="Z11" i="17"/>
  <c r="AD11" i="17"/>
  <c r="Y11" i="17"/>
  <c r="B13" i="19"/>
  <c r="AA12" i="19"/>
  <c r="T12" i="19"/>
  <c r="Z12" i="19"/>
  <c r="S12" i="19"/>
  <c r="AC12" i="19"/>
  <c r="Y12" i="19"/>
  <c r="R12" i="19"/>
  <c r="X12" i="19"/>
  <c r="Q12" i="19"/>
  <c r="W12" i="19"/>
  <c r="C12" i="19"/>
  <c r="V12" i="19"/>
  <c r="AE12" i="19"/>
  <c r="AB12" i="19"/>
  <c r="U12" i="19"/>
  <c r="AD12" i="19"/>
  <c r="C12" i="18"/>
  <c r="S12" i="18"/>
  <c r="Y12" i="18"/>
  <c r="U12" i="18"/>
  <c r="AB12" i="18"/>
  <c r="X12" i="18"/>
  <c r="V12" i="18"/>
  <c r="R12" i="18"/>
  <c r="AD12" i="18"/>
  <c r="AA12" i="18"/>
  <c r="AE12" i="18"/>
  <c r="AC12" i="18"/>
  <c r="B13" i="18"/>
  <c r="Z12" i="18"/>
  <c r="T12" i="18"/>
  <c r="Q12" i="18"/>
  <c r="W12" i="18"/>
  <c r="U12" i="15"/>
  <c r="S12" i="15"/>
  <c r="AB12" i="15"/>
  <c r="R12" i="15"/>
  <c r="AA12" i="15"/>
  <c r="Q12" i="15"/>
  <c r="T12" i="15"/>
  <c r="Z12" i="15"/>
  <c r="C12" i="15"/>
  <c r="V12" i="15"/>
  <c r="Y12" i="15"/>
  <c r="AE12" i="15"/>
  <c r="B13" i="15"/>
  <c r="D13" i="15" s="1"/>
  <c r="X12" i="15"/>
  <c r="AD12" i="15"/>
  <c r="W12" i="15"/>
  <c r="AC12" i="15"/>
  <c r="Y12" i="16"/>
  <c r="S12" i="16"/>
  <c r="X12" i="16"/>
  <c r="R12" i="16"/>
  <c r="B13" i="16"/>
  <c r="D13" i="16" s="1"/>
  <c r="W12" i="16"/>
  <c r="Q12" i="16"/>
  <c r="Z12" i="16"/>
  <c r="V12" i="16"/>
  <c r="C12" i="16"/>
  <c r="U12" i="16"/>
  <c r="AE12" i="16"/>
  <c r="AB12" i="16"/>
  <c r="AD12" i="16"/>
  <c r="AA12" i="16"/>
  <c r="AC12" i="16"/>
  <c r="T12" i="16"/>
  <c r="D13" i="2" l="1"/>
  <c r="U13" i="2"/>
  <c r="AC13" i="2"/>
  <c r="X13" i="2"/>
  <c r="AB13" i="2"/>
  <c r="Y13" i="2"/>
  <c r="Q13" i="2"/>
  <c r="AE13" i="2"/>
  <c r="T13" i="2"/>
  <c r="W13" i="2"/>
  <c r="AA13" i="2"/>
  <c r="S13" i="2"/>
  <c r="R13" i="2"/>
  <c r="AD13" i="2"/>
  <c r="C13" i="2"/>
  <c r="Z13" i="2"/>
  <c r="V13" i="2"/>
  <c r="B14" i="2"/>
  <c r="R13" i="18"/>
  <c r="AC13" i="18"/>
  <c r="V13" i="18"/>
  <c r="W13" i="18"/>
  <c r="B14" i="18"/>
  <c r="AA13" i="18"/>
  <c r="X13" i="18"/>
  <c r="Z13" i="18"/>
  <c r="AE13" i="18"/>
  <c r="S13" i="18"/>
  <c r="AD13" i="18"/>
  <c r="Y13" i="18"/>
  <c r="T13" i="18"/>
  <c r="C13" i="18"/>
  <c r="Q13" i="18"/>
  <c r="AB13" i="18"/>
  <c r="U13" i="18"/>
  <c r="D12" i="17"/>
  <c r="U12" i="17"/>
  <c r="C12" i="17"/>
  <c r="S12" i="17"/>
  <c r="AB12" i="17"/>
  <c r="AE12" i="17"/>
  <c r="B13" i="17"/>
  <c r="R12" i="17"/>
  <c r="T12" i="17"/>
  <c r="X12" i="17"/>
  <c r="Q12" i="17"/>
  <c r="AD12" i="17"/>
  <c r="AA12" i="17"/>
  <c r="AC12" i="17"/>
  <c r="Y12" i="17"/>
  <c r="V12" i="17"/>
  <c r="W12" i="17"/>
  <c r="Z12" i="17"/>
  <c r="AD13" i="19"/>
  <c r="AE13" i="19"/>
  <c r="S13" i="19"/>
  <c r="T13" i="19"/>
  <c r="AB13" i="19"/>
  <c r="R13" i="19"/>
  <c r="Z13" i="19"/>
  <c r="X13" i="19"/>
  <c r="AA13" i="19"/>
  <c r="AC13" i="19"/>
  <c r="B14" i="19"/>
  <c r="V13" i="19"/>
  <c r="Q13" i="19"/>
  <c r="U13" i="19"/>
  <c r="Y13" i="19"/>
  <c r="C13" i="19"/>
  <c r="W13" i="19"/>
  <c r="B14" i="16"/>
  <c r="D14" i="16" s="1"/>
  <c r="Y13" i="16"/>
  <c r="AC13" i="16"/>
  <c r="X13" i="16"/>
  <c r="T13" i="16"/>
  <c r="W13" i="16"/>
  <c r="S13" i="16"/>
  <c r="AD13" i="16"/>
  <c r="V13" i="16"/>
  <c r="R13" i="16"/>
  <c r="U13" i="16"/>
  <c r="Q13" i="16"/>
  <c r="AB13" i="16"/>
  <c r="C13" i="16"/>
  <c r="AA13" i="16"/>
  <c r="AE13" i="16"/>
  <c r="Z13" i="16"/>
  <c r="U13" i="15"/>
  <c r="T13" i="15"/>
  <c r="AB13" i="15"/>
  <c r="S13" i="15"/>
  <c r="AA13" i="15"/>
  <c r="R13" i="15"/>
  <c r="V13" i="15"/>
  <c r="Z13" i="15"/>
  <c r="Q13" i="15"/>
  <c r="Y13" i="15"/>
  <c r="C13" i="15"/>
  <c r="X13" i="15"/>
  <c r="AE13" i="15"/>
  <c r="B14" i="15"/>
  <c r="D14" i="15" s="1"/>
  <c r="W13" i="15"/>
  <c r="AD13" i="15"/>
  <c r="AC13" i="15"/>
  <c r="AD14" i="18" l="1"/>
  <c r="T14" i="18"/>
  <c r="Q14" i="18"/>
  <c r="AB14" i="18"/>
  <c r="AC14" i="18"/>
  <c r="AE14" i="18"/>
  <c r="Y14" i="18"/>
  <c r="U14" i="18"/>
  <c r="R14" i="18"/>
  <c r="C14" i="18"/>
  <c r="V14" i="18"/>
  <c r="B15" i="18"/>
  <c r="Z14" i="18"/>
  <c r="AA14" i="18"/>
  <c r="X14" i="18"/>
  <c r="W14" i="18"/>
  <c r="S14" i="18"/>
  <c r="Q14" i="19"/>
  <c r="T14" i="19"/>
  <c r="V14" i="19"/>
  <c r="U14" i="19"/>
  <c r="AC14" i="19"/>
  <c r="C14" i="19"/>
  <c r="W14" i="19"/>
  <c r="X14" i="19"/>
  <c r="AD14" i="19"/>
  <c r="B15" i="19"/>
  <c r="R14" i="19"/>
  <c r="Z14" i="19"/>
  <c r="AA14" i="19"/>
  <c r="Y14" i="19"/>
  <c r="AE14" i="19"/>
  <c r="S14" i="19"/>
  <c r="AB14" i="19"/>
  <c r="D13" i="17"/>
  <c r="R13" i="17"/>
  <c r="T13" i="17"/>
  <c r="Q13" i="17"/>
  <c r="B14" i="17"/>
  <c r="V13" i="17"/>
  <c r="W13" i="17"/>
  <c r="Z13" i="17"/>
  <c r="U13" i="17"/>
  <c r="S13" i="17"/>
  <c r="C13" i="17"/>
  <c r="X13" i="17"/>
  <c r="AD13" i="17"/>
  <c r="AE13" i="17"/>
  <c r="AB13" i="17"/>
  <c r="Y13" i="17"/>
  <c r="AC13" i="17"/>
  <c r="AA13" i="17"/>
  <c r="D14" i="2"/>
  <c r="T14" i="2"/>
  <c r="V14" i="2"/>
  <c r="AD14" i="2"/>
  <c r="Q14" i="2"/>
  <c r="AE14" i="2"/>
  <c r="U14" i="2"/>
  <c r="Z14" i="2"/>
  <c r="C14" i="2"/>
  <c r="R14" i="2"/>
  <c r="AC14" i="2"/>
  <c r="AB14" i="2"/>
  <c r="B15" i="2"/>
  <c r="S14" i="2"/>
  <c r="Y14" i="2"/>
  <c r="W14" i="2"/>
  <c r="AA14" i="2"/>
  <c r="X14" i="2"/>
  <c r="Y14" i="16"/>
  <c r="T14" i="16"/>
  <c r="X14" i="16"/>
  <c r="W14" i="16"/>
  <c r="R14" i="16"/>
  <c r="V14" i="16"/>
  <c r="Q14" i="16"/>
  <c r="S14" i="16"/>
  <c r="U14" i="16"/>
  <c r="C14" i="16"/>
  <c r="Z14" i="16"/>
  <c r="AC14" i="16"/>
  <c r="AB14" i="16"/>
  <c r="AE14" i="16"/>
  <c r="AA14" i="16"/>
  <c r="AD14" i="16"/>
  <c r="B15" i="16"/>
  <c r="D15" i="16" s="1"/>
  <c r="U14" i="15"/>
  <c r="T14" i="15"/>
  <c r="AB14" i="15"/>
  <c r="S14" i="15"/>
  <c r="AA14" i="15"/>
  <c r="R14" i="15"/>
  <c r="C14" i="15"/>
  <c r="Z14" i="15"/>
  <c r="Q14" i="15"/>
  <c r="AE14" i="15"/>
  <c r="Y14" i="15"/>
  <c r="AC14" i="15"/>
  <c r="B15" i="15"/>
  <c r="D15" i="15" s="1"/>
  <c r="X14" i="15"/>
  <c r="W14" i="15"/>
  <c r="AD14" i="15"/>
  <c r="V14" i="15"/>
  <c r="D14" i="17" l="1"/>
  <c r="U14" i="17"/>
  <c r="Q14" i="17"/>
  <c r="AD14" i="17"/>
  <c r="T14" i="17"/>
  <c r="Y14" i="17"/>
  <c r="AB14" i="17"/>
  <c r="C14" i="17"/>
  <c r="AA14" i="17"/>
  <c r="X14" i="17"/>
  <c r="S14" i="17"/>
  <c r="AC14" i="17"/>
  <c r="AE14" i="17"/>
  <c r="W14" i="17"/>
  <c r="R14" i="17"/>
  <c r="V14" i="17"/>
  <c r="B15" i="17"/>
  <c r="Z14" i="17"/>
  <c r="C15" i="18"/>
  <c r="B16" i="18"/>
  <c r="C15" i="19"/>
  <c r="B16" i="19"/>
  <c r="D15" i="2"/>
  <c r="AB15" i="2"/>
  <c r="AE15" i="2"/>
  <c r="Q15" i="2"/>
  <c r="U15" i="2"/>
  <c r="X15" i="2"/>
  <c r="T15" i="2"/>
  <c r="Y15" i="2"/>
  <c r="AC15" i="2"/>
  <c r="Z15" i="2"/>
  <c r="V15" i="2"/>
  <c r="S15" i="2"/>
  <c r="AD15" i="2"/>
  <c r="AA15" i="2"/>
  <c r="R15" i="2"/>
  <c r="B16" i="2"/>
  <c r="C15" i="2"/>
  <c r="W15" i="2"/>
  <c r="R15" i="15"/>
  <c r="Z15" i="15"/>
  <c r="S15" i="15"/>
  <c r="AA15" i="15"/>
  <c r="T15" i="15"/>
  <c r="AB15" i="15"/>
  <c r="Y15" i="15"/>
  <c r="U15" i="15"/>
  <c r="AC15" i="15"/>
  <c r="B16" i="15"/>
  <c r="D16" i="15" s="1"/>
  <c r="V15" i="15"/>
  <c r="AD15" i="15"/>
  <c r="C15" i="15"/>
  <c r="W15" i="15"/>
  <c r="AE15" i="15"/>
  <c r="X15" i="15"/>
  <c r="Q15" i="15"/>
  <c r="Q15" i="16"/>
  <c r="Y15" i="16"/>
  <c r="R15" i="16"/>
  <c r="Z15" i="16"/>
  <c r="S15" i="16"/>
  <c r="AA15" i="16"/>
  <c r="X15" i="16"/>
  <c r="T15" i="16"/>
  <c r="AB15" i="16"/>
  <c r="U15" i="16"/>
  <c r="AC15" i="16"/>
  <c r="V15" i="16"/>
  <c r="AD15" i="16"/>
  <c r="B16" i="16"/>
  <c r="D16" i="16" s="1"/>
  <c r="C15" i="16"/>
  <c r="W15" i="16"/>
  <c r="AE15" i="16"/>
  <c r="D16" i="2" l="1"/>
  <c r="S16" i="2"/>
  <c r="W16" i="2"/>
  <c r="Z16" i="2"/>
  <c r="AD16" i="2"/>
  <c r="AC16" i="2"/>
  <c r="R16" i="2"/>
  <c r="C16" i="2"/>
  <c r="AA16" i="2"/>
  <c r="U16" i="2"/>
  <c r="Y16" i="2"/>
  <c r="X16" i="2"/>
  <c r="AB16" i="2"/>
  <c r="AE16" i="2"/>
  <c r="Q16" i="2"/>
  <c r="T16" i="2"/>
  <c r="V16" i="2"/>
  <c r="B17" i="2"/>
  <c r="C16" i="19"/>
  <c r="D16" i="19"/>
  <c r="D15" i="17"/>
  <c r="Q15" i="17"/>
  <c r="T15" i="17"/>
  <c r="Y15" i="17"/>
  <c r="AB15" i="17"/>
  <c r="R15" i="17"/>
  <c r="B16" i="17"/>
  <c r="AC15" i="17"/>
  <c r="S15" i="17"/>
  <c r="C15" i="17"/>
  <c r="Z15" i="17"/>
  <c r="U15" i="17"/>
  <c r="W15" i="17"/>
  <c r="AE15" i="17"/>
  <c r="V15" i="17"/>
  <c r="X15" i="17"/>
  <c r="AA15" i="17"/>
  <c r="AD15" i="17"/>
  <c r="C16" i="18"/>
  <c r="D16" i="18"/>
  <c r="R16" i="16"/>
  <c r="Z16" i="16"/>
  <c r="S16" i="16"/>
  <c r="AA16" i="16"/>
  <c r="T16" i="16"/>
  <c r="AB16" i="16"/>
  <c r="Q16" i="16"/>
  <c r="U16" i="16"/>
  <c r="AC16" i="16"/>
  <c r="V16" i="16"/>
  <c r="AD16" i="16"/>
  <c r="B17" i="16"/>
  <c r="D17" i="16" s="1"/>
  <c r="C16" i="16"/>
  <c r="W16" i="16"/>
  <c r="AE16" i="16"/>
  <c r="X16" i="16"/>
  <c r="Y16" i="16"/>
  <c r="X16" i="15"/>
  <c r="Q16" i="15"/>
  <c r="Y16" i="15"/>
  <c r="R16" i="15"/>
  <c r="Z16" i="15"/>
  <c r="C16" i="15"/>
  <c r="AE16" i="15"/>
  <c r="B17" i="15"/>
  <c r="D17" i="15" s="1"/>
  <c r="S16" i="15"/>
  <c r="AA16" i="15"/>
  <c r="T16" i="15"/>
  <c r="AB16" i="15"/>
  <c r="U16" i="15"/>
  <c r="AC16" i="15"/>
  <c r="V16" i="15"/>
  <c r="AD16" i="15"/>
  <c r="W16" i="15"/>
  <c r="D16" i="17" l="1"/>
  <c r="Y16" i="17"/>
  <c r="U16" i="17"/>
  <c r="R16" i="17"/>
  <c r="AC16" i="17"/>
  <c r="V16" i="17"/>
  <c r="AB16" i="17"/>
  <c r="Z16" i="17"/>
  <c r="S16" i="17"/>
  <c r="AD16" i="17"/>
  <c r="AE16" i="17"/>
  <c r="B17" i="17"/>
  <c r="Q16" i="17"/>
  <c r="AA16" i="17"/>
  <c r="C16" i="17"/>
  <c r="T16" i="17"/>
  <c r="W16" i="17"/>
  <c r="X16" i="17"/>
  <c r="D17" i="2"/>
  <c r="X17" i="2"/>
  <c r="Q17" i="2"/>
  <c r="AB17" i="2"/>
  <c r="Y17" i="2"/>
  <c r="U17" i="2"/>
  <c r="C17" i="2"/>
  <c r="AD17" i="2"/>
  <c r="AC17" i="2"/>
  <c r="W17" i="2"/>
  <c r="R17" i="2"/>
  <c r="AA17" i="2"/>
  <c r="T17" i="2"/>
  <c r="AE17" i="2"/>
  <c r="Z17" i="2"/>
  <c r="V17" i="2"/>
  <c r="S17" i="2"/>
  <c r="B18" i="2"/>
  <c r="Q17" i="16"/>
  <c r="Y17" i="16"/>
  <c r="R17" i="16"/>
  <c r="Z17" i="16"/>
  <c r="S17" i="16"/>
  <c r="AA17" i="16"/>
  <c r="T17" i="16"/>
  <c r="AB17" i="16"/>
  <c r="B18" i="16"/>
  <c r="U17" i="16"/>
  <c r="AC17" i="16"/>
  <c r="V17" i="16"/>
  <c r="AD17" i="16"/>
  <c r="C17" i="16"/>
  <c r="W17" i="16"/>
  <c r="AE17" i="16"/>
  <c r="X17" i="16"/>
  <c r="Z17" i="15"/>
  <c r="B18" i="15"/>
  <c r="Q17" i="15"/>
  <c r="S17" i="15"/>
  <c r="Y17" i="15"/>
  <c r="V17" i="15"/>
  <c r="R17" i="15"/>
  <c r="U17" i="15"/>
  <c r="AB17" i="15"/>
  <c r="T17" i="15"/>
  <c r="X17" i="15"/>
  <c r="AD17" i="15"/>
  <c r="C17" i="15"/>
  <c r="AC17" i="15"/>
  <c r="AA17" i="15"/>
  <c r="AE17" i="15"/>
  <c r="W17" i="15"/>
  <c r="C18" i="15" l="1"/>
  <c r="B19" i="15"/>
  <c r="C19" i="15" s="1"/>
  <c r="E19" i="15" s="1"/>
  <c r="D18" i="15"/>
  <c r="D18" i="16"/>
  <c r="B19" i="16"/>
  <c r="C18" i="16"/>
  <c r="D18" i="2"/>
  <c r="B19" i="2"/>
  <c r="C18" i="2"/>
  <c r="D17" i="17"/>
  <c r="S17" i="17"/>
  <c r="C17" i="17"/>
  <c r="X17" i="17"/>
  <c r="T17" i="17"/>
  <c r="AE17" i="17"/>
  <c r="Y17" i="17"/>
  <c r="AC17" i="17"/>
  <c r="AD17" i="17"/>
  <c r="W17" i="17"/>
  <c r="Q17" i="17"/>
  <c r="AB17" i="17"/>
  <c r="U17" i="17"/>
  <c r="R17" i="17"/>
  <c r="AA17" i="17"/>
  <c r="Z17" i="17"/>
  <c r="V17" i="17"/>
  <c r="B18" i="17"/>
  <c r="D19" i="2" l="1"/>
  <c r="C19" i="2"/>
  <c r="D19" i="16"/>
  <c r="C19" i="16"/>
  <c r="D18" i="17"/>
  <c r="C18" i="17"/>
  <c r="B19" i="17"/>
  <c r="D19" i="17" l="1"/>
  <c r="C19" i="17"/>
</calcChain>
</file>

<file path=xl/sharedStrings.xml><?xml version="1.0" encoding="utf-8"?>
<sst xmlns="http://schemas.openxmlformats.org/spreadsheetml/2006/main" count="892" uniqueCount="130">
  <si>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</si>
  <si>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</si>
  <si>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</si>
  <si>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</si>
  <si>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</si>
  <si>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</si>
  <si>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</si>
  <si>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</si>
  <si>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</si>
  <si>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</si>
  <si>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</si>
  <si>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</si>
  <si>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</si>
  <si>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</si>
  <si>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</si>
  <si>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</si>
  <si>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</si>
  <si>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</si>
  <si>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</si>
  <si>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</si>
  <si>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</si>
  <si>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</si>
  <si>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</si>
  <si>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</si>
  <si>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</si>
  <si>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</si>
  <si>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</si>
  <si>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</si>
  <si>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</si>
  <si>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</si>
  <si>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</si>
  <si>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</si>
  <si>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</si>
  <si>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</si>
  <si>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</si>
  <si>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</si>
  <si>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</si>
  <si>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</si>
  <si>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</si>
  <si>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</si>
  <si>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</si>
  <si>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</si>
  <si>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</si>
  <si>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</si>
  <si>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</si>
  <si>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스핀들유격: 적정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</si>
  <si>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</si>
  <si>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</si>
  <si>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</si>
  <si>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</si>
  <si>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</si>
  <si>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</si>
  <si>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</si>
  <si>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</si>
  <si>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</si>
  <si>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</si>
  <si>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</si>
  <si>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</si>
  <si>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</si>
  <si>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</si>
  <si>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</si>
  <si>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</si>
  <si>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</si>
  <si>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</si>
  <si>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</si>
  <si>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</si>
  <si>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</si>
  <si>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스핀들소음: 적정</t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</si>
  <si>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</si>
  <si>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</si>
  <si>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</si>
  <si>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</si>
  <si>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</si>
  <si>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</si>
  <si>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</si>
  <si>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</si>
  <si>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</si>
  <si>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</si>
  <si>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</si>
  <si>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</si>
  <si>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</si>
  <si>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</si>
  <si>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</si>
  <si>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</si>
  <si>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</si>
  <si>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</si>
  <si>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</si>
  <si>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</si>
  <si>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</si>
  <si>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</si>
  <si>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</si>
  <si>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</si>
  <si>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</si>
  <si>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</si>
  <si>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</si>
  <si>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</si>
  <si>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</si>
  <si>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</si>
  <si>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</si>
  <si>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</si>
  <si>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</si>
  <si>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</si>
  <si>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</si>
  <si>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</si>
  <si>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</si>
  <si>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</si>
  <si>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</si>
  <si>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</si>
  <si>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</si>
  <si>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</si>
  <si>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</si>
  <si>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</si>
  <si>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</si>
  <si>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</si>
  <si>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</si>
  <si>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2025-11 월가공수량(수식검증)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</si>
  <si>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</si>
  <si>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</si>
  <si>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</si>
  <si>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</si>
  <si>
    <t>관심지표(통계 산출물)</t>
    <phoneticPr fontId="1" type="noConversion"/>
  </si>
  <si>
    <t>2025-11-12 일가공수량</t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</si>
  <si>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</si>
  <si>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</si>
  <si>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t>가공시간(분)</t>
    <phoneticPr fontId="1" type="noConversion"/>
  </si>
  <si>
    <t>적정</t>
  </si>
  <si>
    <t>예측</t>
    <phoneticPr fontId="1" type="noConversion"/>
  </si>
  <si>
    <t>시험결과</t>
    <phoneticPr fontId="1" type="noConversion"/>
  </si>
  <si>
    <t>issue_2025_11_11_1100 이슈 있지만 물닦으면서 가공진행</t>
    <phoneticPr fontId="1" type="noConversion"/>
  </si>
  <si>
    <t>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</si>
</sst>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14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8" fillId="4" borderId="14" xfId="1" applyFont="1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9" fillId="4" borderId="1" xfId="1" applyFont="1" applyFill="1" applyBorder="1">
      <alignment vertical="center"/>
    </xf>
    <xf numFmtId="0" fontId="6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2" fillId="4" borderId="0" xfId="1" applyFill="1" applyBorder="1">
      <alignment vertical="center"/>
    </xf>
    <xf numFmtId="0" fontId="7" fillId="4" borderId="0" xfId="2" applyFill="1" applyBorder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6" fillId="0" borderId="0" xfId="3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</cellXfs>
  <cellStyles count="4">
    <cellStyle name="경고문" xfId="3" builtinId="11"/>
    <cellStyle name="계산" xfId="2" builtinId="22"/>
    <cellStyle name="설명 텍스트" xfId="1" builtinId="53"/>
    <cellStyle name="표준" xfId="0" builtinId="0"/>
  </cellStyles>
  <dxfs count="1015"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11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sheetPr>
    <tabColor theme="0" tint="-0.249977111117893"/>
  </sheetPr>
  <dimension ref="A1:AP23"/>
  <sheetViews>
    <sheetView tabSelected="1" zoomScale="55" zoomScaleNormal="55" workbookViewId="0">
      <selection activeCell="O19" sqref="O19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48" t="s">
        <v>18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</row>
    <row r="2" spans="1:42" x14ac:dyDescent="0.45">
      <c r="A2" s="53" t="s">
        <v>10</v>
      </c>
      <c r="B2" s="54" t="s">
        <v>92</v>
      </c>
      <c r="C2" s="55"/>
      <c r="D2" s="55"/>
      <c r="E2" s="55"/>
      <c r="F2" s="53" t="s">
        <v>111</v>
      </c>
      <c r="G2" s="53"/>
      <c r="H2" s="53"/>
      <c r="I2" s="53"/>
      <c r="J2" s="53"/>
      <c r="K2" s="53"/>
      <c r="L2" s="53"/>
      <c r="M2" s="53"/>
      <c r="N2" s="53"/>
      <c r="O2" s="53"/>
      <c r="P2" s="54" t="s">
        <v>26</v>
      </c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/>
      <c r="AF2" s="54" t="s">
        <v>9</v>
      </c>
      <c r="AG2" s="56"/>
    </row>
    <row r="3" spans="1:42" x14ac:dyDescent="0.45">
      <c r="A3" s="53"/>
      <c r="B3" s="60"/>
      <c r="C3" s="63"/>
      <c r="D3" s="63"/>
      <c r="E3" s="63"/>
      <c r="F3" s="53"/>
      <c r="G3" s="53"/>
      <c r="H3" s="53"/>
      <c r="I3" s="53"/>
      <c r="J3" s="53"/>
      <c r="K3" s="53"/>
      <c r="L3" s="53"/>
      <c r="M3" s="53"/>
      <c r="N3" s="53"/>
      <c r="O3" s="53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9"/>
      <c r="AF3" s="60"/>
      <c r="AG3" s="61"/>
    </row>
    <row r="4" spans="1:42" x14ac:dyDescent="0.45">
      <c r="A4" s="53"/>
      <c r="B4" s="60"/>
      <c r="C4" s="63"/>
      <c r="D4" s="63"/>
      <c r="E4" s="63"/>
      <c r="F4" s="53"/>
      <c r="G4" s="53"/>
      <c r="H4" s="53"/>
      <c r="I4" s="53"/>
      <c r="J4" s="53"/>
      <c r="K4" s="53"/>
      <c r="L4" s="53"/>
      <c r="M4" s="53"/>
      <c r="N4" s="53"/>
      <c r="O4" s="53"/>
      <c r="P4" s="22"/>
      <c r="Q4" s="51" t="s">
        <v>33</v>
      </c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2"/>
      <c r="AD4" s="11" t="s">
        <v>34</v>
      </c>
      <c r="AE4" s="11" t="s">
        <v>35</v>
      </c>
      <c r="AF4" s="60"/>
      <c r="AG4" s="61"/>
    </row>
    <row r="5" spans="1:42" x14ac:dyDescent="0.45">
      <c r="A5" s="53"/>
      <c r="B5" s="57"/>
      <c r="C5" s="58"/>
      <c r="D5" s="58"/>
      <c r="E5" s="58"/>
      <c r="F5" s="62" t="s">
        <v>36</v>
      </c>
      <c r="G5" s="62"/>
      <c r="H5" s="62"/>
      <c r="I5" s="62"/>
      <c r="J5" s="41"/>
      <c r="K5" s="57" t="s">
        <v>94</v>
      </c>
      <c r="L5" s="58"/>
      <c r="M5" s="58"/>
      <c r="N5" s="59"/>
      <c r="O5" s="42" t="s">
        <v>93</v>
      </c>
      <c r="P5" s="20" t="s">
        <v>30</v>
      </c>
      <c r="Q5" s="50" t="s">
        <v>44</v>
      </c>
      <c r="R5" s="51"/>
      <c r="S5" s="51"/>
      <c r="T5" s="52"/>
      <c r="U5" s="50" t="s">
        <v>19</v>
      </c>
      <c r="V5" s="51"/>
      <c r="W5" s="51"/>
      <c r="X5" s="52"/>
      <c r="Y5" s="53" t="s">
        <v>122</v>
      </c>
      <c r="Z5" s="53"/>
      <c r="AA5" s="53"/>
      <c r="AB5" s="53"/>
      <c r="AC5" s="53"/>
      <c r="AD5" s="13"/>
      <c r="AE5" s="11"/>
      <c r="AF5" s="60"/>
      <c r="AG5" s="61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124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57"/>
      <c r="AG6" s="59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">
        <v>129</v>
      </c>
      <c r="E7" s="24">
        <v>21</v>
      </c>
      <c r="F7" s="88" t="s">
        <v>40</v>
      </c>
      <c r="G7" s="24" t="s">
        <v>16</v>
      </c>
      <c r="H7" s="24" t="s">
        <v>16</v>
      </c>
      <c r="I7" s="88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1">IF(MOD($B7,5)=0, "스핀들유격: ","-" )</f>
        <v>-</v>
      </c>
      <c r="R7" s="7" t="str">
        <f t="shared" si="1"/>
        <v>-</v>
      </c>
      <c r="S7" s="7" t="str">
        <f t="shared" si="1"/>
        <v>-</v>
      </c>
      <c r="T7" s="7" t="str">
        <f t="shared" si="1"/>
        <v>-</v>
      </c>
      <c r="U7" s="7" t="str">
        <f t="shared" ref="U7:AB10" si="2">IF(MOD($B7,5)=0, "000-000","-" )</f>
        <v>-</v>
      </c>
      <c r="V7" s="7" t="str">
        <f t="shared" si="2"/>
        <v>-</v>
      </c>
      <c r="W7" s="7" t="str">
        <f t="shared" si="2"/>
        <v>-</v>
      </c>
      <c r="X7" s="7" t="str">
        <f t="shared" si="2"/>
        <v>-</v>
      </c>
      <c r="Y7" s="7" t="str">
        <f t="shared" si="2"/>
        <v>-</v>
      </c>
      <c r="Z7" s="7" t="str">
        <f t="shared" si="2"/>
        <v>-</v>
      </c>
      <c r="AA7" s="7" t="str">
        <f t="shared" si="2"/>
        <v>-</v>
      </c>
      <c r="AB7" s="7" t="str">
        <f t="shared" si="2"/>
        <v>-</v>
      </c>
      <c r="AC7" s="7" t="str">
        <f>IF(MOD($B7,5)=0, "스핀들소음 :","-" )</f>
        <v>-</v>
      </c>
      <c r="AD7" s="7" t="str">
        <f t="shared" ref="AD7:AD14" si="3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">
        <v>129</v>
      </c>
      <c r="E8" s="24">
        <v>21</v>
      </c>
      <c r="F8" s="89" t="s">
        <v>40</v>
      </c>
      <c r="G8" s="24" t="s">
        <v>16</v>
      </c>
      <c r="H8" s="24" t="s">
        <v>16</v>
      </c>
      <c r="I8" s="89" t="s">
        <v>40</v>
      </c>
      <c r="J8" s="1"/>
      <c r="K8" s="90" t="str">
        <f t="shared" ref="K8:N8" si="4">IF(NOT(LEN($I8)=0),K7,"")</f>
        <v>VITA</v>
      </c>
      <c r="L8" s="90" t="str">
        <f t="shared" si="4"/>
        <v>MARK II</v>
      </c>
      <c r="M8" s="90">
        <f t="shared" si="4"/>
        <v>160</v>
      </c>
      <c r="N8" s="90" t="str">
        <f t="shared" si="4"/>
        <v>-</v>
      </c>
      <c r="O8" s="24">
        <f>IF(LEN(A8)&gt;0, 종합!$C$27, "")</f>
        <v>2.2599999999999998</v>
      </c>
      <c r="P8" s="1" t="s">
        <v>16</v>
      </c>
      <c r="Q8" s="7" t="str">
        <f t="shared" si="1"/>
        <v>-</v>
      </c>
      <c r="R8" s="7" t="str">
        <f t="shared" si="1"/>
        <v>-</v>
      </c>
      <c r="S8" s="7" t="str">
        <f t="shared" si="1"/>
        <v>-</v>
      </c>
      <c r="T8" s="7" t="str">
        <f t="shared" si="1"/>
        <v>-</v>
      </c>
      <c r="U8" s="7" t="str">
        <f t="shared" si="2"/>
        <v>-</v>
      </c>
      <c r="V8" s="7" t="str">
        <f t="shared" si="2"/>
        <v>-</v>
      </c>
      <c r="W8" s="7" t="str">
        <f t="shared" si="2"/>
        <v>-</v>
      </c>
      <c r="X8" s="7" t="str">
        <f t="shared" si="2"/>
        <v>-</v>
      </c>
      <c r="Y8" s="7" t="str">
        <f t="shared" si="2"/>
        <v>-</v>
      </c>
      <c r="Z8" s="7" t="str">
        <f t="shared" si="2"/>
        <v>-</v>
      </c>
      <c r="AA8" s="7" t="str">
        <f t="shared" si="2"/>
        <v>-</v>
      </c>
      <c r="AB8" s="7" t="str">
        <f t="shared" si="2"/>
        <v>-</v>
      </c>
      <c r="AC8" s="7" t="str">
        <f>IF(MOD($B8,5)=0, "스핀들소음 :","-" )</f>
        <v>-</v>
      </c>
      <c r="AD8" s="7" t="str">
        <f t="shared" si="3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">
        <v>129</v>
      </c>
      <c r="E9" s="24">
        <v>21</v>
      </c>
      <c r="F9" s="89" t="s">
        <v>40</v>
      </c>
      <c r="G9" s="24" t="s">
        <v>16</v>
      </c>
      <c r="H9" s="24" t="s">
        <v>16</v>
      </c>
      <c r="I9" s="89" t="s">
        <v>40</v>
      </c>
      <c r="J9" s="1"/>
      <c r="K9" s="90" t="str">
        <f t="shared" ref="K9:K22" si="5">IF(NOT(LEN($I9)=0),K8,"")</f>
        <v>VITA</v>
      </c>
      <c r="L9" s="90" t="str">
        <f t="shared" ref="L9:L22" si="6">IF(NOT(LEN($I9)=0),L8,"")</f>
        <v>MARK II</v>
      </c>
      <c r="M9" s="90">
        <f t="shared" ref="M9:M22" si="7">IF(NOT(LEN($I9)=0),M8,"")</f>
        <v>160</v>
      </c>
      <c r="N9" s="90" t="str">
        <f t="shared" ref="N9:N22" si="8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1"/>
        <v>-</v>
      </c>
      <c r="R9" s="7" t="str">
        <f t="shared" si="1"/>
        <v>-</v>
      </c>
      <c r="S9" s="7" t="str">
        <f t="shared" si="1"/>
        <v>-</v>
      </c>
      <c r="T9" s="7" t="str">
        <f t="shared" si="1"/>
        <v>-</v>
      </c>
      <c r="U9" s="7" t="str">
        <f t="shared" si="2"/>
        <v>-</v>
      </c>
      <c r="V9" s="7" t="str">
        <f t="shared" si="2"/>
        <v>-</v>
      </c>
      <c r="W9" s="7" t="str">
        <f t="shared" si="2"/>
        <v>-</v>
      </c>
      <c r="X9" s="7" t="str">
        <f t="shared" si="2"/>
        <v>-</v>
      </c>
      <c r="Y9" s="7" t="str">
        <f t="shared" si="2"/>
        <v>-</v>
      </c>
      <c r="Z9" s="7" t="str">
        <f t="shared" si="2"/>
        <v>-</v>
      </c>
      <c r="AA9" s="7" t="str">
        <f t="shared" si="2"/>
        <v>-</v>
      </c>
      <c r="AB9" s="7" t="str">
        <f t="shared" si="2"/>
        <v>-</v>
      </c>
      <c r="AC9" s="7" t="str">
        <f>IF(MOD($B9,5)=0, "스핀들소음 :","-" )</f>
        <v>-</v>
      </c>
      <c r="AD9" s="7" t="str">
        <f t="shared" si="3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">
        <v>129</v>
      </c>
      <c r="E10" s="24">
        <v>21</v>
      </c>
      <c r="F10" s="89" t="s">
        <v>40</v>
      </c>
      <c r="G10" s="24" t="s">
        <v>16</v>
      </c>
      <c r="H10" s="24" t="s">
        <v>16</v>
      </c>
      <c r="I10" s="89" t="s">
        <v>40</v>
      </c>
      <c r="J10" s="1"/>
      <c r="K10" s="90" t="str">
        <f t="shared" si="5"/>
        <v>VITA</v>
      </c>
      <c r="L10" s="90" t="str">
        <f t="shared" si="6"/>
        <v>MARK II</v>
      </c>
      <c r="M10" s="90">
        <f t="shared" si="7"/>
        <v>160</v>
      </c>
      <c r="N10" s="90" t="str">
        <f t="shared" si="8"/>
        <v>-</v>
      </c>
      <c r="O10" s="24">
        <f>IF(LEN(A10)&gt;0, 종합!$C$27, "")</f>
        <v>2.2599999999999998</v>
      </c>
      <c r="P10" s="1" t="s">
        <v>16</v>
      </c>
      <c r="Q10" s="7" t="str">
        <f t="shared" si="1"/>
        <v>-</v>
      </c>
      <c r="R10" s="7" t="str">
        <f t="shared" si="1"/>
        <v>-</v>
      </c>
      <c r="S10" s="7" t="str">
        <f t="shared" si="1"/>
        <v>-</v>
      </c>
      <c r="T10" s="7" t="str">
        <f t="shared" si="1"/>
        <v>-</v>
      </c>
      <c r="U10" s="7" t="str">
        <f t="shared" si="2"/>
        <v>-</v>
      </c>
      <c r="V10" s="7" t="str">
        <f t="shared" si="2"/>
        <v>-</v>
      </c>
      <c r="W10" s="7" t="str">
        <f t="shared" si="2"/>
        <v>-</v>
      </c>
      <c r="X10" s="7" t="str">
        <f t="shared" si="2"/>
        <v>-</v>
      </c>
      <c r="Y10" s="7" t="str">
        <f t="shared" si="2"/>
        <v>-</v>
      </c>
      <c r="Z10" s="7" t="str">
        <f t="shared" si="2"/>
        <v>-</v>
      </c>
      <c r="AA10" s="7" t="str">
        <f t="shared" si="2"/>
        <v>-</v>
      </c>
      <c r="AB10" s="7" t="str">
        <f t="shared" si="2"/>
        <v>-</v>
      </c>
      <c r="AC10" s="7" t="str">
        <f>IF(MOD($B10,5)=0, "스핀들소음 :","-" )</f>
        <v>-</v>
      </c>
      <c r="AD10" s="7" t="str">
        <f t="shared" si="3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2" si="9">IF(NOT(LEN(A11)=0),B10+1,"")</f>
        <v>5</v>
      </c>
      <c r="C11" s="7" t="str">
        <f t="shared" si="0"/>
        <v>Dimensions: L W H</v>
      </c>
      <c r="D11" s="6" t="s">
        <v>129</v>
      </c>
      <c r="E11" s="24">
        <v>23</v>
      </c>
      <c r="F11" s="6">
        <v>0</v>
      </c>
      <c r="G11" s="90" t="s">
        <v>16</v>
      </c>
      <c r="H11" s="90" t="s">
        <v>16</v>
      </c>
      <c r="I11" s="6">
        <v>0</v>
      </c>
      <c r="J11" s="1"/>
      <c r="K11" s="90" t="str">
        <f t="shared" si="5"/>
        <v>VITA</v>
      </c>
      <c r="L11" s="90" t="str">
        <f t="shared" si="6"/>
        <v>MARK II</v>
      </c>
      <c r="M11" s="90">
        <f t="shared" si="7"/>
        <v>160</v>
      </c>
      <c r="N11" s="90" t="str">
        <f t="shared" si="8"/>
        <v>-</v>
      </c>
      <c r="O11" s="24">
        <f>IF(LEN(A11)&gt;0, 종합!$C$27, "")</f>
        <v>2.2599999999999998</v>
      </c>
      <c r="P11" s="1" t="s">
        <v>16</v>
      </c>
      <c r="Q11" s="7" t="s">
        <v>125</v>
      </c>
      <c r="R11" s="7" t="s">
        <v>125</v>
      </c>
      <c r="S11" s="7" t="s">
        <v>125</v>
      </c>
      <c r="T11" s="7" t="s">
        <v>125</v>
      </c>
      <c r="U11" s="7" t="s">
        <v>59</v>
      </c>
      <c r="V11" s="7" t="s">
        <v>60</v>
      </c>
      <c r="W11" s="7" t="s">
        <v>61</v>
      </c>
      <c r="X11" s="7" t="s">
        <v>62</v>
      </c>
      <c r="Y11" s="7" t="s">
        <v>63</v>
      </c>
      <c r="Z11" s="7" t="s">
        <v>64</v>
      </c>
      <c r="AA11" s="7" t="s">
        <v>65</v>
      </c>
      <c r="AB11" s="7" t="s">
        <v>66</v>
      </c>
      <c r="AC11" s="7" t="s">
        <v>125</v>
      </c>
      <c r="AD11" s="7" t="str">
        <f t="shared" si="3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">
        <v>129</v>
      </c>
      <c r="E12" s="24">
        <v>21</v>
      </c>
      <c r="F12" s="6">
        <f>IF(NOT(LEN($A12)=0),IF(F11+1&gt;15,"버교체요망",F11+1),"")</f>
        <v>1</v>
      </c>
      <c r="G12" s="90" t="s">
        <v>16</v>
      </c>
      <c r="H12" s="90" t="s">
        <v>16</v>
      </c>
      <c r="I12" s="6">
        <f>IF(NOT(LEN($A12)=0),IF(I11+1&gt;15,"버교체요망",I11+1),"")</f>
        <v>1</v>
      </c>
      <c r="J12" s="1"/>
      <c r="K12" s="90" t="str">
        <f t="shared" si="5"/>
        <v>VITA</v>
      </c>
      <c r="L12" s="90" t="str">
        <f t="shared" si="6"/>
        <v>MARK II</v>
      </c>
      <c r="M12" s="90">
        <f t="shared" si="7"/>
        <v>160</v>
      </c>
      <c r="N12" s="90" t="str">
        <f t="shared" si="8"/>
        <v>-</v>
      </c>
      <c r="O12" s="24">
        <f>IF(LEN(A12)&gt;0, 종합!$C$27, "")</f>
        <v>2.2599999999999998</v>
      </c>
      <c r="P12" s="1" t="s">
        <v>16</v>
      </c>
      <c r="Q12" s="7" t="str">
        <f t="shared" ref="Q12:T14" si="10">IF(MOD($B12,5)=0, "스핀들유격: ","-" )</f>
        <v>-</v>
      </c>
      <c r="R12" s="7" t="str">
        <f t="shared" si="10"/>
        <v>-</v>
      </c>
      <c r="S12" s="7" t="str">
        <f t="shared" si="10"/>
        <v>-</v>
      </c>
      <c r="T12" s="7" t="str">
        <f t="shared" si="10"/>
        <v>-</v>
      </c>
      <c r="U12" s="7" t="str">
        <f t="shared" ref="U12:AB14" si="11">IF(MOD($B12,5)=0, "000-000","-" )</f>
        <v>-</v>
      </c>
      <c r="V12" s="7" t="str">
        <f t="shared" si="11"/>
        <v>-</v>
      </c>
      <c r="W12" s="7" t="str">
        <f t="shared" si="11"/>
        <v>-</v>
      </c>
      <c r="X12" s="7" t="str">
        <f t="shared" si="11"/>
        <v>-</v>
      </c>
      <c r="Y12" s="7" t="str">
        <f t="shared" si="11"/>
        <v>-</v>
      </c>
      <c r="Z12" s="7" t="str">
        <f t="shared" si="11"/>
        <v>-</v>
      </c>
      <c r="AA12" s="7" t="str">
        <f t="shared" si="11"/>
        <v>-</v>
      </c>
      <c r="AB12" s="7" t="str">
        <f t="shared" si="11"/>
        <v>-</v>
      </c>
      <c r="AC12" s="7" t="str">
        <f>IF(MOD($B12,5)=0, "스핀들소음 :","-" )</f>
        <v>-</v>
      </c>
      <c r="AD12" s="7" t="str">
        <f t="shared" si="3"/>
        <v>-</v>
      </c>
      <c r="AE12" s="7" t="str">
        <f>IF($B12="","",
  IF(MOD(B12,160)=0,
    "TENSION (XL : / ZL : / XR : / ZR : / Y : )" &amp; CHAR(10) &amp;
    "필터교체",
    "-"
  )
)</f>
        <v>-</v>
      </c>
      <c r="AF12" s="44" t="s">
        <v>99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">
        <v>129</v>
      </c>
      <c r="E13" s="24">
        <v>21</v>
      </c>
      <c r="F13" s="6">
        <f t="shared" ref="F13:F16" si="12">IF(NOT(LEN($A13)=0),IF(F12+1&gt;15,"버교체요망",F12+1),"")</f>
        <v>2</v>
      </c>
      <c r="G13" s="90" t="s">
        <v>16</v>
      </c>
      <c r="H13" s="90" t="s">
        <v>16</v>
      </c>
      <c r="I13" s="6">
        <f t="shared" ref="I13:I16" si="13">IF(NOT(LEN($A13)=0),IF(I12+1&gt;15,"버교체요망",I12+1),"")</f>
        <v>2</v>
      </c>
      <c r="J13" s="1"/>
      <c r="K13" s="90" t="str">
        <f t="shared" si="5"/>
        <v>VITA</v>
      </c>
      <c r="L13" s="90" t="str">
        <f t="shared" si="6"/>
        <v>MARK II</v>
      </c>
      <c r="M13" s="90">
        <f t="shared" si="7"/>
        <v>160</v>
      </c>
      <c r="N13" s="90" t="str">
        <f t="shared" si="8"/>
        <v>-</v>
      </c>
      <c r="O13" s="24">
        <f>IF(LEN(A13)&gt;0, 종합!$C$27, "")</f>
        <v>2.2599999999999998</v>
      </c>
      <c r="P13" s="1" t="s">
        <v>16</v>
      </c>
      <c r="Q13" s="7" t="str">
        <f t="shared" si="10"/>
        <v>-</v>
      </c>
      <c r="R13" s="7" t="str">
        <f t="shared" si="10"/>
        <v>-</v>
      </c>
      <c r="S13" s="7" t="str">
        <f t="shared" si="10"/>
        <v>-</v>
      </c>
      <c r="T13" s="7" t="str">
        <f t="shared" si="10"/>
        <v>-</v>
      </c>
      <c r="U13" s="7" t="str">
        <f t="shared" si="11"/>
        <v>-</v>
      </c>
      <c r="V13" s="7" t="str">
        <f t="shared" si="11"/>
        <v>-</v>
      </c>
      <c r="W13" s="7" t="str">
        <f t="shared" si="11"/>
        <v>-</v>
      </c>
      <c r="X13" s="7" t="str">
        <f t="shared" si="11"/>
        <v>-</v>
      </c>
      <c r="Y13" s="7" t="str">
        <f t="shared" si="11"/>
        <v>-</v>
      </c>
      <c r="Z13" s="7" t="str">
        <f t="shared" si="11"/>
        <v>-</v>
      </c>
      <c r="AA13" s="7" t="str">
        <f t="shared" si="11"/>
        <v>-</v>
      </c>
      <c r="AB13" s="7" t="str">
        <f t="shared" si="11"/>
        <v>-</v>
      </c>
      <c r="AC13" s="7" t="str">
        <f>IF(MOD($B13,5)=0, "스핀들소음 :","-" )</f>
        <v>-</v>
      </c>
      <c r="AD13" s="7" t="str">
        <f t="shared" si="3"/>
        <v>-</v>
      </c>
      <c r="AE13" s="7" t="str">
        <f>IF($B13="","",
  IF(MOD(B13,160)=0,
    "TENSION (XL : / ZL : / XR : / ZR : / Y : )" &amp; CHAR(10) &amp;
    "필터교체",
    "-"
  )
)</f>
        <v>-</v>
      </c>
      <c r="AF13" s="45" t="s">
        <v>99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">
        <v>129</v>
      </c>
      <c r="E14" s="24">
        <v>23</v>
      </c>
      <c r="F14" s="6">
        <f t="shared" si="12"/>
        <v>3</v>
      </c>
      <c r="G14" s="90" t="s">
        <v>16</v>
      </c>
      <c r="H14" s="90" t="s">
        <v>16</v>
      </c>
      <c r="I14" s="6">
        <f t="shared" si="13"/>
        <v>3</v>
      </c>
      <c r="J14" s="1"/>
      <c r="K14" s="90" t="str">
        <f t="shared" si="5"/>
        <v>VITA</v>
      </c>
      <c r="L14" s="90" t="str">
        <f t="shared" si="6"/>
        <v>MARK II</v>
      </c>
      <c r="M14" s="90">
        <f t="shared" si="7"/>
        <v>160</v>
      </c>
      <c r="N14" s="90" t="str">
        <f t="shared" si="8"/>
        <v>-</v>
      </c>
      <c r="O14" s="24">
        <f>IF(LEN(A14)&gt;0, 종합!$C$27, "")</f>
        <v>2.2599999999999998</v>
      </c>
      <c r="P14" s="1" t="s">
        <v>16</v>
      </c>
      <c r="Q14" s="7" t="str">
        <f t="shared" si="10"/>
        <v>-</v>
      </c>
      <c r="R14" s="7" t="str">
        <f t="shared" si="10"/>
        <v>-</v>
      </c>
      <c r="S14" s="7" t="str">
        <f t="shared" si="10"/>
        <v>-</v>
      </c>
      <c r="T14" s="7" t="str">
        <f t="shared" si="10"/>
        <v>-</v>
      </c>
      <c r="U14" s="7" t="str">
        <f t="shared" si="11"/>
        <v>-</v>
      </c>
      <c r="V14" s="7" t="str">
        <f t="shared" si="11"/>
        <v>-</v>
      </c>
      <c r="W14" s="7" t="str">
        <f t="shared" si="11"/>
        <v>-</v>
      </c>
      <c r="X14" s="7" t="str">
        <f t="shared" si="11"/>
        <v>-</v>
      </c>
      <c r="Y14" s="7" t="str">
        <f t="shared" si="11"/>
        <v>-</v>
      </c>
      <c r="Z14" s="7" t="str">
        <f t="shared" si="11"/>
        <v>-</v>
      </c>
      <c r="AA14" s="7" t="str">
        <f t="shared" si="11"/>
        <v>-</v>
      </c>
      <c r="AB14" s="7" t="str">
        <f t="shared" si="11"/>
        <v>-</v>
      </c>
      <c r="AC14" s="7" t="str">
        <f>IF(MOD($B14,5)=0, "스핀들소음 :","-" )</f>
        <v>-</v>
      </c>
      <c r="AD14" s="7" t="str">
        <f t="shared" si="3"/>
        <v>-</v>
      </c>
      <c r="AE14" s="7" t="str">
        <f>IF($B14="","",
  IF(MOD(B14,160)=0,
    "TENSION (XL : / ZL : / XR : / ZR : / Y : )" &amp; CHAR(10) &amp;
    "필터교체",
    "-"
  )
)</f>
        <v>-</v>
      </c>
      <c r="AF14" s="45" t="s">
        <v>99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4">IF(B15="","",
  IF(MOD($B15,1)=0,
    "Dimensions: L W H",
    "-"
  )
)</f>
        <v>Dimensions: L W H</v>
      </c>
      <c r="D15" s="6" t="s">
        <v>129</v>
      </c>
      <c r="E15" s="24">
        <v>23</v>
      </c>
      <c r="F15" s="6">
        <f t="shared" si="12"/>
        <v>4</v>
      </c>
      <c r="G15" s="90" t="s">
        <v>16</v>
      </c>
      <c r="H15" s="90" t="s">
        <v>16</v>
      </c>
      <c r="I15" s="6">
        <f t="shared" si="13"/>
        <v>4</v>
      </c>
      <c r="J15" s="1"/>
      <c r="K15" s="90" t="str">
        <f t="shared" si="5"/>
        <v>VITA</v>
      </c>
      <c r="L15" s="90" t="str">
        <f t="shared" si="6"/>
        <v>MARK II</v>
      </c>
      <c r="M15" s="90">
        <f t="shared" si="7"/>
        <v>160</v>
      </c>
      <c r="N15" s="90" t="str">
        <f t="shared" si="8"/>
        <v>-</v>
      </c>
      <c r="O15" s="24">
        <f>IF(LEN(A15)&gt;0, 종합!$C$27, "")</f>
        <v>2.2599999999999998</v>
      </c>
      <c r="P15" s="1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1"/>
      <c r="AG15" s="2"/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>IF(NOT(LEN(B16)=0),"진행중","")</f>
        <v>진행중</v>
      </c>
      <c r="E16" s="93">
        <v>21</v>
      </c>
      <c r="F16" s="87">
        <f t="shared" si="12"/>
        <v>5</v>
      </c>
      <c r="G16" s="24" t="s">
        <v>16</v>
      </c>
      <c r="H16" s="24" t="s">
        <v>16</v>
      </c>
      <c r="I16" s="87">
        <f t="shared" si="13"/>
        <v>5</v>
      </c>
      <c r="J16" s="1"/>
      <c r="K16" s="90" t="str">
        <f t="shared" si="5"/>
        <v>VITA</v>
      </c>
      <c r="L16" s="90" t="str">
        <f t="shared" si="6"/>
        <v>MARK II</v>
      </c>
      <c r="M16" s="90">
        <f t="shared" si="7"/>
        <v>160</v>
      </c>
      <c r="N16" s="90" t="str">
        <f t="shared" si="8"/>
        <v>-</v>
      </c>
      <c r="O16" s="24">
        <f>IF(LEN(A16)&gt;0, 종합!$C$27, "")</f>
        <v>2.2599999999999998</v>
      </c>
      <c r="P16" s="1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1"/>
      <c r="AG16" s="2"/>
    </row>
    <row r="17" spans="1:33" x14ac:dyDescent="0.45">
      <c r="A17" s="3"/>
      <c r="B17" s="24" t="str">
        <f t="shared" si="9"/>
        <v/>
      </c>
      <c r="C17" s="7" t="str">
        <f t="shared" ref="C17:C22" si="15">IF(B17="","",
  IF(MOD($B17,1)=0,
    "Dimensions: L W H",
    "-"
  )
)</f>
        <v/>
      </c>
      <c r="D17" s="6" t="str">
        <f t="shared" ref="D17:D22" si="16">IF(NOT(LEN(B17)=0),"진행중","")</f>
        <v/>
      </c>
      <c r="E17" s="24"/>
      <c r="F17" s="1"/>
      <c r="G17" s="1"/>
      <c r="H17" s="1"/>
      <c r="I17" s="1"/>
      <c r="J17" s="1"/>
      <c r="K17" s="90" t="str">
        <f t="shared" si="5"/>
        <v/>
      </c>
      <c r="L17" s="90" t="str">
        <f t="shared" si="6"/>
        <v/>
      </c>
      <c r="M17" s="90" t="str">
        <f t="shared" si="7"/>
        <v/>
      </c>
      <c r="N17" s="90" t="str">
        <f t="shared" si="8"/>
        <v/>
      </c>
      <c r="O17" s="24" t="str">
        <f>IF(LEN(A17)&gt;0, 종합!$C$27, "")</f>
        <v/>
      </c>
      <c r="P17" s="1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1"/>
      <c r="AG17" s="2"/>
    </row>
    <row r="18" spans="1:33" x14ac:dyDescent="0.45">
      <c r="A18" s="3"/>
      <c r="B18" s="24" t="str">
        <f t="shared" si="9"/>
        <v/>
      </c>
      <c r="C18" s="7" t="str">
        <f t="shared" si="15"/>
        <v/>
      </c>
      <c r="D18" s="6" t="str">
        <f t="shared" si="16"/>
        <v/>
      </c>
      <c r="E18" s="24"/>
      <c r="F18" s="1"/>
      <c r="G18" s="1"/>
      <c r="H18" s="1"/>
      <c r="I18" s="1"/>
      <c r="J18" s="1"/>
      <c r="K18" s="90" t="str">
        <f t="shared" si="5"/>
        <v/>
      </c>
      <c r="L18" s="90" t="str">
        <f t="shared" si="6"/>
        <v/>
      </c>
      <c r="M18" s="90" t="str">
        <f t="shared" si="7"/>
        <v/>
      </c>
      <c r="N18" s="90" t="str">
        <f t="shared" si="8"/>
        <v/>
      </c>
      <c r="O18" s="24" t="str">
        <f>IF(LEN(A18)&gt;0, 종합!$C$27, "")</f>
        <v/>
      </c>
      <c r="P18" s="1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1"/>
      <c r="AG18" s="2"/>
    </row>
    <row r="19" spans="1:33" x14ac:dyDescent="0.45">
      <c r="A19" s="3"/>
      <c r="B19" s="24" t="str">
        <f t="shared" si="9"/>
        <v/>
      </c>
      <c r="C19" s="7" t="str">
        <f t="shared" si="15"/>
        <v/>
      </c>
      <c r="D19" s="6" t="str">
        <f t="shared" si="16"/>
        <v/>
      </c>
      <c r="E19" s="24"/>
      <c r="F19" s="1"/>
      <c r="G19" s="1"/>
      <c r="H19" s="1"/>
      <c r="I19" s="1"/>
      <c r="J19" s="1"/>
      <c r="K19" s="90" t="str">
        <f t="shared" si="5"/>
        <v/>
      </c>
      <c r="L19" s="90" t="str">
        <f t="shared" si="6"/>
        <v/>
      </c>
      <c r="M19" s="90" t="str">
        <f t="shared" si="7"/>
        <v/>
      </c>
      <c r="N19" s="90" t="str">
        <f t="shared" si="8"/>
        <v/>
      </c>
      <c r="O19" s="24" t="str">
        <f>IF(LEN(A19)&gt;0, 종합!$C$27, "")</f>
        <v/>
      </c>
      <c r="P19" s="1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1"/>
      <c r="AG19" s="2"/>
    </row>
    <row r="20" spans="1:33" x14ac:dyDescent="0.45">
      <c r="A20" s="3"/>
      <c r="B20" s="24" t="str">
        <f>IF(NOT(LEN(A20)=0),B19+1,"")</f>
        <v/>
      </c>
      <c r="C20" s="7" t="str">
        <f t="shared" si="15"/>
        <v/>
      </c>
      <c r="D20" s="6" t="str">
        <f t="shared" si="16"/>
        <v/>
      </c>
      <c r="E20" s="24"/>
      <c r="F20" s="1"/>
      <c r="G20" s="1"/>
      <c r="H20" s="1"/>
      <c r="I20" s="1"/>
      <c r="J20" s="1"/>
      <c r="K20" s="90" t="str">
        <f t="shared" si="5"/>
        <v/>
      </c>
      <c r="L20" s="90" t="str">
        <f t="shared" si="6"/>
        <v/>
      </c>
      <c r="M20" s="90" t="str">
        <f t="shared" si="7"/>
        <v/>
      </c>
      <c r="N20" s="90" t="str">
        <f t="shared" si="8"/>
        <v/>
      </c>
      <c r="O20" s="24" t="str">
        <f>IF(LEN(A20)&gt;0, 종합!$C$27, "")</f>
        <v/>
      </c>
      <c r="P20" s="1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1"/>
      <c r="AG20" s="2"/>
    </row>
    <row r="21" spans="1:33" x14ac:dyDescent="0.45">
      <c r="A21" s="3"/>
      <c r="B21" s="24" t="str">
        <f t="shared" si="9"/>
        <v/>
      </c>
      <c r="C21" s="7" t="str">
        <f t="shared" si="15"/>
        <v/>
      </c>
      <c r="D21" s="6" t="str">
        <f t="shared" si="16"/>
        <v/>
      </c>
      <c r="E21" s="24"/>
      <c r="F21" s="1"/>
      <c r="G21" s="1"/>
      <c r="H21" s="1"/>
      <c r="I21" s="1"/>
      <c r="J21" s="1"/>
      <c r="K21" s="90" t="str">
        <f t="shared" si="5"/>
        <v/>
      </c>
      <c r="L21" s="90" t="str">
        <f t="shared" si="6"/>
        <v/>
      </c>
      <c r="M21" s="90" t="str">
        <f t="shared" si="7"/>
        <v/>
      </c>
      <c r="N21" s="90" t="str">
        <f t="shared" si="8"/>
        <v/>
      </c>
      <c r="O21" s="24" t="str">
        <f>IF(LEN(A21)&gt;0, 종합!$C$27, "")</f>
        <v/>
      </c>
      <c r="P21" s="1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1"/>
      <c r="AG21" s="2"/>
    </row>
    <row r="22" spans="1:33" x14ac:dyDescent="0.45">
      <c r="A22" s="3"/>
      <c r="B22" s="24" t="str">
        <f t="shared" si="9"/>
        <v/>
      </c>
      <c r="C22" s="7" t="str">
        <f t="shared" si="15"/>
        <v/>
      </c>
      <c r="D22" s="6" t="str">
        <f t="shared" si="16"/>
        <v/>
      </c>
      <c r="E22" s="1"/>
      <c r="F22" s="1"/>
      <c r="G22" s="1"/>
      <c r="H22" s="1"/>
      <c r="I22" s="1"/>
      <c r="J22" s="1"/>
      <c r="K22" s="90" t="str">
        <f t="shared" si="5"/>
        <v/>
      </c>
      <c r="L22" s="90" t="str">
        <f t="shared" si="6"/>
        <v/>
      </c>
      <c r="M22" s="90" t="str">
        <f t="shared" si="7"/>
        <v/>
      </c>
      <c r="N22" s="90" t="str">
        <f t="shared" si="8"/>
        <v/>
      </c>
      <c r="O22" s="24" t="str">
        <f>IF(LEN(A22)&gt;0, 종합!$C$27, "")</f>
        <v/>
      </c>
      <c r="P22" s="1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1"/>
      <c r="AG22" s="2"/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D7:D15">
    <cfRule type="containsText" dxfId="1014" priority="109" operator="containsText" text="완료">
      <formula>NOT(ISERROR(SEARCH("완료",D7)))</formula>
    </cfRule>
    <cfRule type="containsText" dxfId="1013" priority="110" operator="containsText" text="중단">
      <formula>NOT(ISERROR(SEARCH("중단",D7)))</formula>
    </cfRule>
  </conditionalFormatting>
  <conditionalFormatting sqref="H7:H9 F7:F9">
    <cfRule type="containsText" dxfId="1012" priority="107" operator="containsText" text="신품">
      <formula>NOT(ISERROR(SEARCH("신품",F7)))</formula>
    </cfRule>
    <cfRule type="containsText" dxfId="1011" priority="108" operator="containsText" text="중고">
      <formula>NOT(ISERROR(SEARCH("중고",F7)))</formula>
    </cfRule>
  </conditionalFormatting>
  <conditionalFormatting sqref="I7:I9">
    <cfRule type="containsText" dxfId="1010" priority="105" operator="containsText" text="신품">
      <formula>NOT(ISERROR(SEARCH("신품",I7)))</formula>
    </cfRule>
    <cfRule type="containsText" dxfId="1009" priority="106" operator="containsText" text="중고">
      <formula>NOT(ISERROR(SEARCH("중고",I7)))</formula>
    </cfRule>
  </conditionalFormatting>
  <conditionalFormatting sqref="D10">
    <cfRule type="containsText" dxfId="1008" priority="103" operator="containsText" text="완료">
      <formula>NOT(ISERROR(SEARCH("완료",D10)))</formula>
    </cfRule>
    <cfRule type="containsText" dxfId="1007" priority="104" operator="containsText" text="중단">
      <formula>NOT(ISERROR(SEARCH("중단",D10)))</formula>
    </cfRule>
  </conditionalFormatting>
  <conditionalFormatting sqref="H10 F10">
    <cfRule type="containsText" dxfId="1006" priority="101" operator="containsText" text="신품">
      <formula>NOT(ISERROR(SEARCH("신품",F10)))</formula>
    </cfRule>
    <cfRule type="containsText" dxfId="1005" priority="102" operator="containsText" text="중고">
      <formula>NOT(ISERROR(SEARCH("중고",F10)))</formula>
    </cfRule>
  </conditionalFormatting>
  <conditionalFormatting sqref="I10">
    <cfRule type="containsText" dxfId="1004" priority="99" operator="containsText" text="신품">
      <formula>NOT(ISERROR(SEARCH("신품",I10)))</formula>
    </cfRule>
    <cfRule type="containsText" dxfId="1003" priority="100" operator="containsText" text="중고">
      <formula>NOT(ISERROR(SEARCH("중고",I10)))</formula>
    </cfRule>
  </conditionalFormatting>
  <conditionalFormatting sqref="D11:D15">
    <cfRule type="containsText" dxfId="1002" priority="97" operator="containsText" text="완료">
      <formula>NOT(ISERROR(SEARCH("완료",D11)))</formula>
    </cfRule>
    <cfRule type="containsText" dxfId="1001" priority="98" operator="containsText" text="중단">
      <formula>NOT(ISERROR(SEARCH("중단",D11)))</formula>
    </cfRule>
  </conditionalFormatting>
  <conditionalFormatting sqref="H11">
    <cfRule type="containsText" dxfId="1000" priority="95" operator="containsText" text="신품">
      <formula>NOT(ISERROR(SEARCH("신품",H11)))</formula>
    </cfRule>
    <cfRule type="containsText" dxfId="999" priority="96" operator="containsText" text="중고">
      <formula>NOT(ISERROR(SEARCH("중고",H11)))</formula>
    </cfRule>
  </conditionalFormatting>
  <conditionalFormatting sqref="D12:D15">
    <cfRule type="containsText" dxfId="996" priority="91" operator="containsText" text="완료">
      <formula>NOT(ISERROR(SEARCH("완료",D12)))</formula>
    </cfRule>
    <cfRule type="containsText" dxfId="995" priority="92" operator="containsText" text="중단">
      <formula>NOT(ISERROR(SEARCH("중단",D12)))</formula>
    </cfRule>
  </conditionalFormatting>
  <conditionalFormatting sqref="F17:F22 H12:H22">
    <cfRule type="containsText" dxfId="994" priority="89" operator="containsText" text="신품">
      <formula>NOT(ISERROR(SEARCH("신품",F12)))</formula>
    </cfRule>
    <cfRule type="containsText" dxfId="993" priority="90" operator="containsText" text="중고">
      <formula>NOT(ISERROR(SEARCH("중고",F12)))</formula>
    </cfRule>
  </conditionalFormatting>
  <conditionalFormatting sqref="I17:I22">
    <cfRule type="containsText" dxfId="992" priority="87" operator="containsText" text="신품">
      <formula>NOT(ISERROR(SEARCH("신품",I17)))</formula>
    </cfRule>
    <cfRule type="containsText" dxfId="991" priority="88" operator="containsText" text="중고">
      <formula>NOT(ISERROR(SEARCH("중고",I17)))</formula>
    </cfRule>
  </conditionalFormatting>
  <conditionalFormatting sqref="D23 D7:D15">
    <cfRule type="containsText" dxfId="990" priority="86" operator="containsText" text="진행중">
      <formula>NOT(ISERROR(SEARCH("진행중",D7)))</formula>
    </cfRule>
  </conditionalFormatting>
  <conditionalFormatting sqref="D16:D22">
    <cfRule type="containsText" dxfId="984" priority="79" operator="containsText" text="완료">
      <formula>NOT(ISERROR(SEARCH("완료",D16)))</formula>
    </cfRule>
    <cfRule type="containsText" dxfId="983" priority="80" operator="containsText" text="중단">
      <formula>NOT(ISERROR(SEARCH("중단",D16)))</formula>
    </cfRule>
  </conditionalFormatting>
  <conditionalFormatting sqref="D16:D22">
    <cfRule type="containsText" dxfId="982" priority="77" operator="containsText" text="완료">
      <formula>NOT(ISERROR(SEARCH("완료",D16)))</formula>
    </cfRule>
    <cfRule type="containsText" dxfId="981" priority="78" operator="containsText" text="중단">
      <formula>NOT(ISERROR(SEARCH("중단",D16)))</formula>
    </cfRule>
  </conditionalFormatting>
  <conditionalFormatting sqref="D16:D22">
    <cfRule type="containsText" dxfId="980" priority="76" operator="containsText" text="진행중">
      <formula>NOT(ISERROR(SEARCH("진행중",D16)))</formula>
    </cfRule>
  </conditionalFormatting>
  <conditionalFormatting sqref="F12:F16">
    <cfRule type="containsText" dxfId="959" priority="54" operator="containsText" text="완료">
      <formula>NOT(ISERROR(SEARCH("완료",F12)))</formula>
    </cfRule>
    <cfRule type="containsText" dxfId="958" priority="55" operator="containsText" text="중단">
      <formula>NOT(ISERROR(SEARCH("중단",F12)))</formula>
    </cfRule>
  </conditionalFormatting>
  <conditionalFormatting sqref="F12:F16">
    <cfRule type="containsText" dxfId="957" priority="52" operator="containsText" text="완료">
      <formula>NOT(ISERROR(SEARCH("완료",F12)))</formula>
    </cfRule>
    <cfRule type="containsText" dxfId="956" priority="53" operator="containsText" text="중단">
      <formula>NOT(ISERROR(SEARCH("중단",F12)))</formula>
    </cfRule>
  </conditionalFormatting>
  <conditionalFormatting sqref="F12:F16">
    <cfRule type="containsText" dxfId="955" priority="51" operator="containsText" text="진행중">
      <formula>NOT(ISERROR(SEARCH("진행중",F12)))</formula>
    </cfRule>
  </conditionalFormatting>
  <conditionalFormatting sqref="F11">
    <cfRule type="containsText" dxfId="954" priority="49" operator="containsText" text="완료">
      <formula>NOT(ISERROR(SEARCH("완료",F11)))</formula>
    </cfRule>
    <cfRule type="containsText" dxfId="953" priority="50" operator="containsText" text="중단">
      <formula>NOT(ISERROR(SEARCH("중단",F11)))</formula>
    </cfRule>
  </conditionalFormatting>
  <conditionalFormatting sqref="F11">
    <cfRule type="containsText" dxfId="952" priority="47" operator="containsText" text="완료">
      <formula>NOT(ISERROR(SEARCH("완료",F11)))</formula>
    </cfRule>
    <cfRule type="containsText" dxfId="951" priority="48" operator="containsText" text="중단">
      <formula>NOT(ISERROR(SEARCH("중단",F11)))</formula>
    </cfRule>
  </conditionalFormatting>
  <conditionalFormatting sqref="F11">
    <cfRule type="containsText" dxfId="950" priority="46" operator="containsText" text="진행중">
      <formula>NOT(ISERROR(SEARCH("진행중",F11)))</formula>
    </cfRule>
  </conditionalFormatting>
  <conditionalFormatting sqref="I12:I16">
    <cfRule type="containsText" dxfId="949" priority="44" operator="containsText" text="완료">
      <formula>NOT(ISERROR(SEARCH("완료",I12)))</formula>
    </cfRule>
    <cfRule type="containsText" dxfId="948" priority="45" operator="containsText" text="중단">
      <formula>NOT(ISERROR(SEARCH("중단",I12)))</formula>
    </cfRule>
  </conditionalFormatting>
  <conditionalFormatting sqref="I12:I16">
    <cfRule type="containsText" dxfId="947" priority="42" operator="containsText" text="완료">
      <formula>NOT(ISERROR(SEARCH("완료",I12)))</formula>
    </cfRule>
    <cfRule type="containsText" dxfId="946" priority="43" operator="containsText" text="중단">
      <formula>NOT(ISERROR(SEARCH("중단",I12)))</formula>
    </cfRule>
  </conditionalFormatting>
  <conditionalFormatting sqref="I12:I16">
    <cfRule type="containsText" dxfId="945" priority="41" operator="containsText" text="진행중">
      <formula>NOT(ISERROR(SEARCH("진행중",I12)))</formula>
    </cfRule>
  </conditionalFormatting>
  <conditionalFormatting sqref="I11">
    <cfRule type="containsText" dxfId="944" priority="39" operator="containsText" text="완료">
      <formula>NOT(ISERROR(SEARCH("완료",I11)))</formula>
    </cfRule>
    <cfRule type="containsText" dxfId="943" priority="40" operator="containsText" text="중단">
      <formula>NOT(ISERROR(SEARCH("중단",I11)))</formula>
    </cfRule>
  </conditionalFormatting>
  <conditionalFormatting sqref="I11">
    <cfRule type="containsText" dxfId="942" priority="37" operator="containsText" text="완료">
      <formula>NOT(ISERROR(SEARCH("완료",I11)))</formula>
    </cfRule>
    <cfRule type="containsText" dxfId="941" priority="38" operator="containsText" text="중단">
      <formula>NOT(ISERROR(SEARCH("중단",I11)))</formula>
    </cfRule>
  </conditionalFormatting>
  <conditionalFormatting sqref="I11">
    <cfRule type="containsText" dxfId="940" priority="36" operator="containsText" text="진행중">
      <formula>NOT(ISERROR(SEARCH("진행중",I11)))</formula>
    </cfRule>
  </conditionalFormatting>
  <conditionalFormatting sqref="K8:K22">
    <cfRule type="containsText" dxfId="29" priority="14" operator="containsText" text="완료">
      <formula>NOT(ISERROR(SEARCH("완료",K8)))</formula>
    </cfRule>
    <cfRule type="containsText" dxfId="28" priority="15" operator="containsText" text="중단">
      <formula>NOT(ISERROR(SEARCH("중단",K8)))</formula>
    </cfRule>
  </conditionalFormatting>
  <conditionalFormatting sqref="K8:K22">
    <cfRule type="containsText" dxfId="27" priority="12" operator="containsText" text="완료">
      <formula>NOT(ISERROR(SEARCH("완료",K8)))</formula>
    </cfRule>
    <cfRule type="containsText" dxfId="26" priority="13" operator="containsText" text="중단">
      <formula>NOT(ISERROR(SEARCH("중단",K8)))</formula>
    </cfRule>
  </conditionalFormatting>
  <conditionalFormatting sqref="K8:K22">
    <cfRule type="containsText" dxfId="25" priority="11" operator="containsText" text="진행중">
      <formula>NOT(ISERROR(SEARCH("진행중",K8)))</formula>
    </cfRule>
  </conditionalFormatting>
  <conditionalFormatting sqref="L8:L22">
    <cfRule type="containsText" dxfId="24" priority="9" operator="containsText" text="완료">
      <formula>NOT(ISERROR(SEARCH("완료",L8)))</formula>
    </cfRule>
    <cfRule type="containsText" dxfId="23" priority="10" operator="containsText" text="중단">
      <formula>NOT(ISERROR(SEARCH("중단",L8)))</formula>
    </cfRule>
  </conditionalFormatting>
  <conditionalFormatting sqref="L8:L22">
    <cfRule type="containsText" dxfId="22" priority="7" operator="containsText" text="완료">
      <formula>NOT(ISERROR(SEARCH("완료",L8)))</formula>
    </cfRule>
    <cfRule type="containsText" dxfId="21" priority="8" operator="containsText" text="중단">
      <formula>NOT(ISERROR(SEARCH("중단",L8)))</formula>
    </cfRule>
  </conditionalFormatting>
  <conditionalFormatting sqref="L8:L22">
    <cfRule type="containsText" dxfId="20" priority="6" operator="containsText" text="진행중">
      <formula>NOT(ISERROR(SEARCH("진행중",L8)))</formula>
    </cfRule>
  </conditionalFormatting>
  <conditionalFormatting sqref="M8:N22">
    <cfRule type="containsText" dxfId="19" priority="4" operator="containsText" text="완료">
      <formula>NOT(ISERROR(SEARCH("완료",M8)))</formula>
    </cfRule>
    <cfRule type="containsText" dxfId="18" priority="5" operator="containsText" text="중단">
      <formula>NOT(ISERROR(SEARCH("중단",M8)))</formula>
    </cfRule>
  </conditionalFormatting>
  <conditionalFormatting sqref="M8:N22">
    <cfRule type="containsText" dxfId="17" priority="2" operator="containsText" text="완료">
      <formula>NOT(ISERROR(SEARCH("완료",M8)))</formula>
    </cfRule>
    <cfRule type="containsText" dxfId="16" priority="3" operator="containsText" text="중단">
      <formula>NOT(ISERROR(SEARCH("중단",M8)))</formula>
    </cfRule>
  </conditionalFormatting>
  <conditionalFormatting sqref="M8:N22">
    <cfRule type="containsText" dxfId="15" priority="1" operator="containsText" text="진행중">
      <formula>NOT(ISERROR(SEARCH("진행중",M8)))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sheetPr>
    <tabColor theme="0" tint="-0.249977111117893"/>
  </sheetPr>
  <dimension ref="A1:AP23"/>
  <sheetViews>
    <sheetView zoomScale="55" zoomScaleNormal="55" workbookViewId="0">
      <selection activeCell="N14" sqref="N14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48" t="s">
        <v>18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</row>
    <row r="2" spans="1:42" x14ac:dyDescent="0.45">
      <c r="A2" s="53" t="s">
        <v>10</v>
      </c>
      <c r="B2" s="54" t="s">
        <v>92</v>
      </c>
      <c r="C2" s="55"/>
      <c r="D2" s="55"/>
      <c r="E2" s="55"/>
      <c r="F2" s="53" t="s">
        <v>111</v>
      </c>
      <c r="G2" s="53"/>
      <c r="H2" s="53"/>
      <c r="I2" s="53"/>
      <c r="J2" s="53"/>
      <c r="K2" s="53"/>
      <c r="L2" s="53"/>
      <c r="M2" s="53"/>
      <c r="N2" s="53"/>
      <c r="O2" s="53"/>
      <c r="P2" s="54" t="s">
        <v>26</v>
      </c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/>
      <c r="AF2" s="54" t="s">
        <v>9</v>
      </c>
      <c r="AG2" s="56"/>
    </row>
    <row r="3" spans="1:42" x14ac:dyDescent="0.45">
      <c r="A3" s="53"/>
      <c r="B3" s="60"/>
      <c r="C3" s="63"/>
      <c r="D3" s="63"/>
      <c r="E3" s="63"/>
      <c r="F3" s="53"/>
      <c r="G3" s="53"/>
      <c r="H3" s="53"/>
      <c r="I3" s="53"/>
      <c r="J3" s="53"/>
      <c r="K3" s="53"/>
      <c r="L3" s="53"/>
      <c r="M3" s="53"/>
      <c r="N3" s="53"/>
      <c r="O3" s="53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9"/>
      <c r="AF3" s="60"/>
      <c r="AG3" s="61"/>
    </row>
    <row r="4" spans="1:42" x14ac:dyDescent="0.45">
      <c r="A4" s="53"/>
      <c r="B4" s="60"/>
      <c r="C4" s="63"/>
      <c r="D4" s="63"/>
      <c r="E4" s="63"/>
      <c r="F4" s="53"/>
      <c r="G4" s="53"/>
      <c r="H4" s="53"/>
      <c r="I4" s="53"/>
      <c r="J4" s="53"/>
      <c r="K4" s="53"/>
      <c r="L4" s="53"/>
      <c r="M4" s="53"/>
      <c r="N4" s="53"/>
      <c r="O4" s="53"/>
      <c r="P4" s="22"/>
      <c r="Q4" s="51" t="s">
        <v>33</v>
      </c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2"/>
      <c r="AD4" s="11" t="s">
        <v>34</v>
      </c>
      <c r="AE4" s="11" t="s">
        <v>35</v>
      </c>
      <c r="AF4" s="60"/>
      <c r="AG4" s="61"/>
    </row>
    <row r="5" spans="1:42" x14ac:dyDescent="0.45">
      <c r="A5" s="53"/>
      <c r="B5" s="57"/>
      <c r="C5" s="58"/>
      <c r="D5" s="58"/>
      <c r="E5" s="58"/>
      <c r="F5" s="62" t="s">
        <v>36</v>
      </c>
      <c r="G5" s="62"/>
      <c r="H5" s="62"/>
      <c r="I5" s="62"/>
      <c r="J5" s="41"/>
      <c r="K5" s="57" t="s">
        <v>94</v>
      </c>
      <c r="L5" s="58"/>
      <c r="M5" s="58"/>
      <c r="N5" s="59"/>
      <c r="O5" s="42" t="s">
        <v>93</v>
      </c>
      <c r="P5" s="20" t="s">
        <v>30</v>
      </c>
      <c r="Q5" s="50" t="s">
        <v>44</v>
      </c>
      <c r="R5" s="51"/>
      <c r="S5" s="51"/>
      <c r="T5" s="52"/>
      <c r="U5" s="50" t="s">
        <v>19</v>
      </c>
      <c r="V5" s="51"/>
      <c r="W5" s="51"/>
      <c r="X5" s="52"/>
      <c r="Y5" s="64" t="s">
        <v>123</v>
      </c>
      <c r="Z5" s="53"/>
      <c r="AA5" s="53"/>
      <c r="AB5" s="53"/>
      <c r="AC5" s="53"/>
      <c r="AD5" s="13"/>
      <c r="AE5" s="11"/>
      <c r="AF5" s="60"/>
      <c r="AG5" s="61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124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57"/>
      <c r="AG6" s="59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">
        <v>129</v>
      </c>
      <c r="E7" s="24">
        <v>21</v>
      </c>
      <c r="F7" s="89" t="s">
        <v>40</v>
      </c>
      <c r="G7" s="24" t="s">
        <v>16</v>
      </c>
      <c r="H7" s="24" t="s">
        <v>16</v>
      </c>
      <c r="I7" s="8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1">IF(MOD($B7,5)=0, "스핀들유격: ","-" )</f>
        <v>-</v>
      </c>
      <c r="R7" s="7" t="str">
        <f t="shared" si="1"/>
        <v>-</v>
      </c>
      <c r="S7" s="7" t="str">
        <f t="shared" si="1"/>
        <v>-</v>
      </c>
      <c r="T7" s="7" t="str">
        <f t="shared" si="1"/>
        <v>-</v>
      </c>
      <c r="U7" s="7" t="str">
        <f t="shared" ref="U7:AB10" si="2">IF(MOD($B7,5)=0, "000-000","-" )</f>
        <v>-</v>
      </c>
      <c r="V7" s="7" t="str">
        <f t="shared" si="2"/>
        <v>-</v>
      </c>
      <c r="W7" s="7" t="str">
        <f t="shared" si="2"/>
        <v>-</v>
      </c>
      <c r="X7" s="7" t="str">
        <f t="shared" si="2"/>
        <v>-</v>
      </c>
      <c r="Y7" s="7" t="str">
        <f t="shared" si="2"/>
        <v>-</v>
      </c>
      <c r="Z7" s="7" t="str">
        <f t="shared" si="2"/>
        <v>-</v>
      </c>
      <c r="AA7" s="7" t="str">
        <f t="shared" si="2"/>
        <v>-</v>
      </c>
      <c r="AB7" s="7" t="str">
        <f t="shared" si="2"/>
        <v>-</v>
      </c>
      <c r="AC7" s="7" t="str">
        <f>IF(MOD($B7,5)=0, "스핀들소음 :","-" )</f>
        <v>-</v>
      </c>
      <c r="AD7" s="7" t="str">
        <f t="shared" ref="AD7:AD14" si="3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">
        <v>129</v>
      </c>
      <c r="E8" s="24">
        <v>21</v>
      </c>
      <c r="F8" s="89" t="s">
        <v>40</v>
      </c>
      <c r="G8" s="24" t="s">
        <v>16</v>
      </c>
      <c r="H8" s="24" t="s">
        <v>16</v>
      </c>
      <c r="I8" s="89" t="s">
        <v>40</v>
      </c>
      <c r="J8" s="1"/>
      <c r="K8" s="90" t="str">
        <f t="shared" ref="K8:N8" si="4">IF(NOT(LEN($I8)=0),K7,"")</f>
        <v>VITA</v>
      </c>
      <c r="L8" s="90" t="str">
        <f t="shared" si="4"/>
        <v>MARK II</v>
      </c>
      <c r="M8" s="90">
        <f t="shared" si="4"/>
        <v>160</v>
      </c>
      <c r="N8" s="90" t="str">
        <f t="shared" si="4"/>
        <v>-</v>
      </c>
      <c r="O8" s="24">
        <f>IF(LEN(A8)&gt;0, 종합!$C$27, "")</f>
        <v>2.2599999999999998</v>
      </c>
      <c r="P8" s="1" t="s">
        <v>16</v>
      </c>
      <c r="Q8" s="7" t="str">
        <f t="shared" si="1"/>
        <v>-</v>
      </c>
      <c r="R8" s="7" t="str">
        <f t="shared" si="1"/>
        <v>-</v>
      </c>
      <c r="S8" s="7" t="str">
        <f t="shared" si="1"/>
        <v>-</v>
      </c>
      <c r="T8" s="7" t="str">
        <f t="shared" si="1"/>
        <v>-</v>
      </c>
      <c r="U8" s="7" t="str">
        <f t="shared" si="2"/>
        <v>-</v>
      </c>
      <c r="V8" s="7" t="str">
        <f t="shared" si="2"/>
        <v>-</v>
      </c>
      <c r="W8" s="7" t="str">
        <f t="shared" si="2"/>
        <v>-</v>
      </c>
      <c r="X8" s="7" t="str">
        <f t="shared" si="2"/>
        <v>-</v>
      </c>
      <c r="Y8" s="7" t="str">
        <f t="shared" si="2"/>
        <v>-</v>
      </c>
      <c r="Z8" s="7" t="str">
        <f t="shared" si="2"/>
        <v>-</v>
      </c>
      <c r="AA8" s="7" t="str">
        <f t="shared" si="2"/>
        <v>-</v>
      </c>
      <c r="AB8" s="7" t="str">
        <f t="shared" si="2"/>
        <v>-</v>
      </c>
      <c r="AC8" s="7" t="str">
        <f>IF(MOD($B8,5)=0, "스핀들소음 :","-" )</f>
        <v>-</v>
      </c>
      <c r="AD8" s="7" t="str">
        <f t="shared" si="3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">
        <v>129</v>
      </c>
      <c r="E9" s="24">
        <v>21</v>
      </c>
      <c r="F9" s="89" t="s">
        <v>40</v>
      </c>
      <c r="G9" s="24" t="s">
        <v>16</v>
      </c>
      <c r="H9" s="24" t="s">
        <v>16</v>
      </c>
      <c r="I9" s="89" t="s">
        <v>40</v>
      </c>
      <c r="J9" s="1"/>
      <c r="K9" s="90" t="str">
        <f t="shared" ref="K9:K22" si="5">IF(NOT(LEN($I9)=0),K8,"")</f>
        <v>VITA</v>
      </c>
      <c r="L9" s="90" t="str">
        <f t="shared" ref="L9:L22" si="6">IF(NOT(LEN($I9)=0),L8,"")</f>
        <v>MARK II</v>
      </c>
      <c r="M9" s="90">
        <f t="shared" ref="M9:M22" si="7">IF(NOT(LEN($I9)=0),M8,"")</f>
        <v>160</v>
      </c>
      <c r="N9" s="90" t="str">
        <f t="shared" ref="N9:N22" si="8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1"/>
        <v>-</v>
      </c>
      <c r="R9" s="7" t="str">
        <f t="shared" si="1"/>
        <v>-</v>
      </c>
      <c r="S9" s="7" t="str">
        <f t="shared" si="1"/>
        <v>-</v>
      </c>
      <c r="T9" s="7" t="str">
        <f t="shared" si="1"/>
        <v>-</v>
      </c>
      <c r="U9" s="7" t="str">
        <f t="shared" si="2"/>
        <v>-</v>
      </c>
      <c r="V9" s="7" t="str">
        <f t="shared" si="2"/>
        <v>-</v>
      </c>
      <c r="W9" s="7" t="str">
        <f t="shared" si="2"/>
        <v>-</v>
      </c>
      <c r="X9" s="7" t="str">
        <f t="shared" si="2"/>
        <v>-</v>
      </c>
      <c r="Y9" s="7" t="str">
        <f t="shared" si="2"/>
        <v>-</v>
      </c>
      <c r="Z9" s="7" t="str">
        <f t="shared" si="2"/>
        <v>-</v>
      </c>
      <c r="AA9" s="7" t="str">
        <f t="shared" si="2"/>
        <v>-</v>
      </c>
      <c r="AB9" s="7" t="str">
        <f t="shared" si="2"/>
        <v>-</v>
      </c>
      <c r="AC9" s="7" t="str">
        <f>IF(MOD($B9,5)=0, "스핀들소음 :","-" )</f>
        <v>-</v>
      </c>
      <c r="AD9" s="7" t="str">
        <f t="shared" si="3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">
        <v>129</v>
      </c>
      <c r="E10" s="24">
        <v>21</v>
      </c>
      <c r="F10" s="89" t="s">
        <v>40</v>
      </c>
      <c r="G10" s="24" t="s">
        <v>16</v>
      </c>
      <c r="H10" s="24" t="s">
        <v>16</v>
      </c>
      <c r="I10" s="89" t="s">
        <v>40</v>
      </c>
      <c r="J10" s="1"/>
      <c r="K10" s="90" t="str">
        <f t="shared" si="5"/>
        <v>VITA</v>
      </c>
      <c r="L10" s="90" t="str">
        <f t="shared" si="6"/>
        <v>MARK II</v>
      </c>
      <c r="M10" s="90">
        <f t="shared" si="7"/>
        <v>160</v>
      </c>
      <c r="N10" s="90" t="str">
        <f t="shared" si="8"/>
        <v>-</v>
      </c>
      <c r="O10" s="24">
        <f>IF(LEN(A10)&gt;0, 종합!$C$27, "")</f>
        <v>2.2599999999999998</v>
      </c>
      <c r="P10" s="1" t="s">
        <v>16</v>
      </c>
      <c r="Q10" s="7" t="str">
        <f t="shared" si="1"/>
        <v>-</v>
      </c>
      <c r="R10" s="7" t="str">
        <f t="shared" si="1"/>
        <v>-</v>
      </c>
      <c r="S10" s="7" t="str">
        <f t="shared" si="1"/>
        <v>-</v>
      </c>
      <c r="T10" s="7" t="str">
        <f t="shared" si="1"/>
        <v>-</v>
      </c>
      <c r="U10" s="7" t="str">
        <f t="shared" si="2"/>
        <v>-</v>
      </c>
      <c r="V10" s="7" t="str">
        <f t="shared" si="2"/>
        <v>-</v>
      </c>
      <c r="W10" s="7" t="str">
        <f t="shared" si="2"/>
        <v>-</v>
      </c>
      <c r="X10" s="7" t="str">
        <f t="shared" si="2"/>
        <v>-</v>
      </c>
      <c r="Y10" s="7" t="str">
        <f t="shared" si="2"/>
        <v>-</v>
      </c>
      <c r="Z10" s="7" t="str">
        <f t="shared" si="2"/>
        <v>-</v>
      </c>
      <c r="AA10" s="7" t="str">
        <f t="shared" si="2"/>
        <v>-</v>
      </c>
      <c r="AB10" s="7" t="str">
        <f t="shared" si="2"/>
        <v>-</v>
      </c>
      <c r="AC10" s="7" t="str">
        <f>IF(MOD($B10,5)=0, "스핀들소음 :","-" )</f>
        <v>-</v>
      </c>
      <c r="AD10" s="7" t="str">
        <f t="shared" si="3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2" si="9">IF(NOT(LEN(A11)=0),B10+1,"")</f>
        <v>5</v>
      </c>
      <c r="C11" s="7" t="str">
        <f t="shared" si="0"/>
        <v>Dimensions: L W H</v>
      </c>
      <c r="D11" s="6" t="s">
        <v>129</v>
      </c>
      <c r="E11" s="24">
        <v>23</v>
      </c>
      <c r="F11" s="94">
        <v>0</v>
      </c>
      <c r="G11" s="90" t="s">
        <v>16</v>
      </c>
      <c r="H11" s="90" t="s">
        <v>16</v>
      </c>
      <c r="I11" s="94">
        <v>0</v>
      </c>
      <c r="J11" s="1"/>
      <c r="K11" s="90" t="str">
        <f t="shared" si="5"/>
        <v>VITA</v>
      </c>
      <c r="L11" s="90" t="str">
        <f t="shared" si="6"/>
        <v>MARK II</v>
      </c>
      <c r="M11" s="90">
        <f t="shared" si="7"/>
        <v>160</v>
      </c>
      <c r="N11" s="90" t="str">
        <f t="shared" si="8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68</v>
      </c>
      <c r="V11" s="7" t="s">
        <v>69</v>
      </c>
      <c r="W11" s="7" t="s">
        <v>70</v>
      </c>
      <c r="X11" s="7" t="s">
        <v>71</v>
      </c>
      <c r="Y11" s="7" t="s">
        <v>72</v>
      </c>
      <c r="Z11" s="7" t="s">
        <v>73</v>
      </c>
      <c r="AA11" s="7" t="s">
        <v>74</v>
      </c>
      <c r="AB11" s="7" t="s">
        <v>75</v>
      </c>
      <c r="AC11" s="7" t="s">
        <v>67</v>
      </c>
      <c r="AD11" s="7" t="str">
        <f t="shared" si="3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">
        <v>129</v>
      </c>
      <c r="E12" s="24">
        <v>21</v>
      </c>
      <c r="F12" s="94">
        <v>1</v>
      </c>
      <c r="G12" s="90" t="s">
        <v>16</v>
      </c>
      <c r="H12" s="90" t="s">
        <v>16</v>
      </c>
      <c r="I12" s="94">
        <v>1</v>
      </c>
      <c r="J12" s="1"/>
      <c r="K12" s="90" t="str">
        <f t="shared" si="5"/>
        <v>VITA</v>
      </c>
      <c r="L12" s="90" t="str">
        <f t="shared" si="6"/>
        <v>MARK II</v>
      </c>
      <c r="M12" s="90">
        <f t="shared" si="7"/>
        <v>160</v>
      </c>
      <c r="N12" s="90" t="str">
        <f t="shared" si="8"/>
        <v>-</v>
      </c>
      <c r="O12" s="24">
        <f>IF(LEN(A12)&gt;0, 종합!$C$27, "")</f>
        <v>2.2599999999999998</v>
      </c>
      <c r="P12" s="1" t="s">
        <v>16</v>
      </c>
      <c r="Q12" s="7" t="str">
        <f t="shared" ref="Q12:T14" si="10">IF(MOD($B12,5)=0, "스핀들유격: ","-" )</f>
        <v>-</v>
      </c>
      <c r="R12" s="7" t="str">
        <f t="shared" si="10"/>
        <v>-</v>
      </c>
      <c r="S12" s="7" t="str">
        <f t="shared" si="10"/>
        <v>-</v>
      </c>
      <c r="T12" s="7" t="str">
        <f t="shared" si="10"/>
        <v>-</v>
      </c>
      <c r="U12" s="7" t="str">
        <f t="shared" ref="U12:AB14" si="11">IF(MOD($B12,5)=0, "000-000","-" )</f>
        <v>-</v>
      </c>
      <c r="V12" s="7" t="str">
        <f t="shared" si="11"/>
        <v>-</v>
      </c>
      <c r="W12" s="7" t="str">
        <f t="shared" si="11"/>
        <v>-</v>
      </c>
      <c r="X12" s="7" t="str">
        <f t="shared" si="11"/>
        <v>-</v>
      </c>
      <c r="Y12" s="7" t="str">
        <f t="shared" si="11"/>
        <v>-</v>
      </c>
      <c r="Z12" s="7" t="str">
        <f t="shared" si="11"/>
        <v>-</v>
      </c>
      <c r="AA12" s="7" t="str">
        <f t="shared" si="11"/>
        <v>-</v>
      </c>
      <c r="AB12" s="7" t="str">
        <f t="shared" si="11"/>
        <v>-</v>
      </c>
      <c r="AC12" s="7" t="str">
        <f>IF(MOD($B12,5)=0, "스핀들소음 :","-" )</f>
        <v>-</v>
      </c>
      <c r="AD12" s="7" t="str">
        <f t="shared" si="3"/>
        <v>-</v>
      </c>
      <c r="AE12" s="7" t="str">
        <f>IF($B12="","",
  IF(MOD(B12,160)=0,
    "TENSION (XL : / ZL : / XR : / ZR : / Y : )" &amp; CHAR(10) &amp;
    "필터교체",
    "-"
  )
)</f>
        <v>-</v>
      </c>
      <c r="AF12" s="7" t="s">
        <v>99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">
        <v>129</v>
      </c>
      <c r="E13" s="24">
        <v>21</v>
      </c>
      <c r="F13" s="94">
        <v>2</v>
      </c>
      <c r="G13" s="90" t="s">
        <v>16</v>
      </c>
      <c r="H13" s="90" t="s">
        <v>16</v>
      </c>
      <c r="I13" s="94">
        <v>2</v>
      </c>
      <c r="J13" s="1"/>
      <c r="K13" s="90" t="str">
        <f t="shared" si="5"/>
        <v>VITA</v>
      </c>
      <c r="L13" s="90" t="str">
        <f t="shared" si="6"/>
        <v>MARK II</v>
      </c>
      <c r="M13" s="90">
        <f t="shared" si="7"/>
        <v>160</v>
      </c>
      <c r="N13" s="90" t="str">
        <f t="shared" si="8"/>
        <v>-</v>
      </c>
      <c r="O13" s="24">
        <f>IF(LEN(A13)&gt;0, 종합!$C$27, "")</f>
        <v>2.2599999999999998</v>
      </c>
      <c r="P13" s="1" t="s">
        <v>16</v>
      </c>
      <c r="Q13" s="7" t="str">
        <f t="shared" si="10"/>
        <v>-</v>
      </c>
      <c r="R13" s="7" t="str">
        <f t="shared" si="10"/>
        <v>-</v>
      </c>
      <c r="S13" s="7" t="str">
        <f t="shared" si="10"/>
        <v>-</v>
      </c>
      <c r="T13" s="7" t="str">
        <f t="shared" si="10"/>
        <v>-</v>
      </c>
      <c r="U13" s="7" t="str">
        <f t="shared" si="11"/>
        <v>-</v>
      </c>
      <c r="V13" s="7" t="str">
        <f t="shared" si="11"/>
        <v>-</v>
      </c>
      <c r="W13" s="7" t="str">
        <f t="shared" si="11"/>
        <v>-</v>
      </c>
      <c r="X13" s="7" t="str">
        <f t="shared" si="11"/>
        <v>-</v>
      </c>
      <c r="Y13" s="7" t="str">
        <f t="shared" si="11"/>
        <v>-</v>
      </c>
      <c r="Z13" s="7" t="str">
        <f t="shared" si="11"/>
        <v>-</v>
      </c>
      <c r="AA13" s="7" t="str">
        <f t="shared" si="11"/>
        <v>-</v>
      </c>
      <c r="AB13" s="7" t="str">
        <f t="shared" si="11"/>
        <v>-</v>
      </c>
      <c r="AC13" s="7" t="str">
        <f>IF(MOD($B13,5)=0, "스핀들소음 :","-" )</f>
        <v>-</v>
      </c>
      <c r="AD13" s="7" t="str">
        <f t="shared" si="3"/>
        <v>-</v>
      </c>
      <c r="AE13" s="7" t="str">
        <f>IF($B13="","",
  IF(MOD(B13,160)=0,
    "TENSION (XL : / ZL : / XR : / ZR : / Y : )" &amp; CHAR(10) &amp;
    "필터교체",
    "-"
  )
)</f>
        <v>-</v>
      </c>
      <c r="AF13" s="7" t="s">
        <v>99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">
        <v>129</v>
      </c>
      <c r="E14" s="24">
        <v>23</v>
      </c>
      <c r="F14" s="94">
        <v>3</v>
      </c>
      <c r="G14" s="90" t="s">
        <v>16</v>
      </c>
      <c r="H14" s="90" t="s">
        <v>16</v>
      </c>
      <c r="I14" s="94">
        <v>3</v>
      </c>
      <c r="J14" s="1"/>
      <c r="K14" s="90" t="str">
        <f t="shared" si="5"/>
        <v>VITA</v>
      </c>
      <c r="L14" s="90" t="str">
        <f t="shared" si="6"/>
        <v>MARK II</v>
      </c>
      <c r="M14" s="90">
        <f t="shared" si="7"/>
        <v>160</v>
      </c>
      <c r="N14" s="90" t="str">
        <f t="shared" si="8"/>
        <v>-</v>
      </c>
      <c r="O14" s="24">
        <f>IF(LEN(A14)&gt;0, 종합!$C$27, "")</f>
        <v>2.2599999999999998</v>
      </c>
      <c r="P14" s="1" t="s">
        <v>16</v>
      </c>
      <c r="Q14" s="7" t="str">
        <f t="shared" si="10"/>
        <v>-</v>
      </c>
      <c r="R14" s="7" t="str">
        <f t="shared" si="10"/>
        <v>-</v>
      </c>
      <c r="S14" s="7" t="str">
        <f t="shared" si="10"/>
        <v>-</v>
      </c>
      <c r="T14" s="7" t="str">
        <f t="shared" si="10"/>
        <v>-</v>
      </c>
      <c r="U14" s="7" t="str">
        <f t="shared" si="11"/>
        <v>-</v>
      </c>
      <c r="V14" s="7" t="str">
        <f t="shared" si="11"/>
        <v>-</v>
      </c>
      <c r="W14" s="7" t="str">
        <f t="shared" si="11"/>
        <v>-</v>
      </c>
      <c r="X14" s="7" t="str">
        <f t="shared" si="11"/>
        <v>-</v>
      </c>
      <c r="Y14" s="7" t="str">
        <f t="shared" si="11"/>
        <v>-</v>
      </c>
      <c r="Z14" s="7" t="str">
        <f t="shared" si="11"/>
        <v>-</v>
      </c>
      <c r="AA14" s="7" t="str">
        <f t="shared" si="11"/>
        <v>-</v>
      </c>
      <c r="AB14" s="7" t="str">
        <f t="shared" si="11"/>
        <v>-</v>
      </c>
      <c r="AC14" s="7" t="str">
        <f>IF(MOD($B14,5)=0, "스핀들소음 :","-" )</f>
        <v>-</v>
      </c>
      <c r="AD14" s="7" t="str">
        <f t="shared" si="3"/>
        <v>-</v>
      </c>
      <c r="AE14" s="7" t="str">
        <f>IF($B14="","",
  IF(MOD(B14,160)=0,
    "TENSION (XL : / ZL : / XR : / ZR : / Y : )" &amp; CHAR(10) &amp;
    "필터교체",
    "-"
  )
)</f>
        <v>-</v>
      </c>
      <c r="AF14" s="7" t="s">
        <v>99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2">IF(B15="","",
  IF(MOD($B15,1)=0,
    "Dimensions: L W H",
    "-"
  )
)</f>
        <v>Dimensions: L W H</v>
      </c>
      <c r="D15" s="6" t="s">
        <v>129</v>
      </c>
      <c r="E15" s="24">
        <v>23</v>
      </c>
      <c r="F15" s="94">
        <v>4</v>
      </c>
      <c r="G15" s="90" t="s">
        <v>16</v>
      </c>
      <c r="H15" s="90" t="s">
        <v>16</v>
      </c>
      <c r="I15" s="94">
        <v>3</v>
      </c>
      <c r="J15" s="1"/>
      <c r="K15" s="90" t="str">
        <f t="shared" si="5"/>
        <v>VITA</v>
      </c>
      <c r="L15" s="90" t="str">
        <f t="shared" si="6"/>
        <v>MARK II</v>
      </c>
      <c r="M15" s="90">
        <f t="shared" si="7"/>
        <v>160</v>
      </c>
      <c r="N15" s="90" t="str">
        <f t="shared" si="8"/>
        <v>-</v>
      </c>
      <c r="O15" s="24">
        <f>IF(LEN(A15)&gt;0, 종합!$C$27, "")</f>
        <v>2.2599999999999998</v>
      </c>
      <c r="P15" s="1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1"/>
      <c r="AG15" s="2"/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>IF(NOT(LEN(B16)=0),"진행중","")</f>
        <v>진행중</v>
      </c>
      <c r="E16" s="24">
        <v>21</v>
      </c>
      <c r="F16" s="92">
        <v>5</v>
      </c>
      <c r="G16" s="24" t="s">
        <v>16</v>
      </c>
      <c r="H16" s="24" t="s">
        <v>16</v>
      </c>
      <c r="I16" s="92">
        <v>4</v>
      </c>
      <c r="J16" s="1"/>
      <c r="K16" s="90" t="str">
        <f t="shared" si="5"/>
        <v>VITA</v>
      </c>
      <c r="L16" s="90" t="str">
        <f t="shared" si="6"/>
        <v>MARK II</v>
      </c>
      <c r="M16" s="90">
        <f t="shared" si="7"/>
        <v>160</v>
      </c>
      <c r="N16" s="90" t="str">
        <f t="shared" si="8"/>
        <v>-</v>
      </c>
      <c r="O16" s="24">
        <f>IF(LEN(A16)&gt;0, 종합!$C$27, "")</f>
        <v>2.2599999999999998</v>
      </c>
      <c r="P16" s="1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1"/>
      <c r="AG16" s="2"/>
    </row>
    <row r="17" spans="1:33" x14ac:dyDescent="0.45">
      <c r="A17" s="3"/>
      <c r="B17" s="24" t="str">
        <f t="shared" si="9"/>
        <v/>
      </c>
      <c r="C17" s="7" t="str">
        <f t="shared" ref="C17:C22" si="13">IF(B17="","",
  IF(MOD($B17,1)=0,
    "Dimensions: L W H",
    "-"
  )
)</f>
        <v/>
      </c>
      <c r="D17" s="6" t="str">
        <f t="shared" ref="D17:D22" si="14">IF(NOT(LEN(B17)=0),"진행중","")</f>
        <v/>
      </c>
      <c r="E17" s="24"/>
      <c r="F17" s="1"/>
      <c r="G17" s="1"/>
      <c r="H17" s="1"/>
      <c r="I17" s="1"/>
      <c r="J17" s="1"/>
      <c r="K17" s="90" t="str">
        <f t="shared" si="5"/>
        <v/>
      </c>
      <c r="L17" s="90" t="str">
        <f t="shared" si="6"/>
        <v/>
      </c>
      <c r="M17" s="90" t="str">
        <f t="shared" si="7"/>
        <v/>
      </c>
      <c r="N17" s="90" t="str">
        <f t="shared" si="8"/>
        <v/>
      </c>
      <c r="O17" s="24" t="str">
        <f>IF(LEN(A17)&gt;0, 종합!$C$27, "")</f>
        <v/>
      </c>
      <c r="P17" s="1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1"/>
      <c r="AG17" s="2"/>
    </row>
    <row r="18" spans="1:33" x14ac:dyDescent="0.45">
      <c r="A18" s="3"/>
      <c r="B18" s="24" t="str">
        <f t="shared" si="9"/>
        <v/>
      </c>
      <c r="C18" s="7" t="str">
        <f t="shared" si="13"/>
        <v/>
      </c>
      <c r="D18" s="6" t="str">
        <f t="shared" si="14"/>
        <v/>
      </c>
      <c r="E18" s="24"/>
      <c r="F18" s="1"/>
      <c r="G18" s="1"/>
      <c r="H18" s="1"/>
      <c r="I18" s="1"/>
      <c r="J18" s="1"/>
      <c r="K18" s="90" t="str">
        <f t="shared" si="5"/>
        <v/>
      </c>
      <c r="L18" s="90" t="str">
        <f t="shared" si="6"/>
        <v/>
      </c>
      <c r="M18" s="90" t="str">
        <f t="shared" si="7"/>
        <v/>
      </c>
      <c r="N18" s="90" t="str">
        <f t="shared" si="8"/>
        <v/>
      </c>
      <c r="O18" s="24" t="str">
        <f>IF(LEN(A18)&gt;0, 종합!$C$27, "")</f>
        <v/>
      </c>
      <c r="P18" s="1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1"/>
      <c r="AG18" s="2"/>
    </row>
    <row r="19" spans="1:33" x14ac:dyDescent="0.45">
      <c r="A19" s="3"/>
      <c r="B19" s="24" t="str">
        <f t="shared" si="9"/>
        <v/>
      </c>
      <c r="C19" s="7" t="str">
        <f t="shared" si="13"/>
        <v/>
      </c>
      <c r="D19" s="6" t="str">
        <f t="shared" si="14"/>
        <v/>
      </c>
      <c r="E19" s="24"/>
      <c r="F19" s="1"/>
      <c r="G19" s="1"/>
      <c r="H19" s="1"/>
      <c r="I19" s="1"/>
      <c r="J19" s="1"/>
      <c r="K19" s="90" t="str">
        <f t="shared" si="5"/>
        <v/>
      </c>
      <c r="L19" s="90" t="str">
        <f t="shared" si="6"/>
        <v/>
      </c>
      <c r="M19" s="90" t="str">
        <f t="shared" si="7"/>
        <v/>
      </c>
      <c r="N19" s="90" t="str">
        <f t="shared" si="8"/>
        <v/>
      </c>
      <c r="O19" s="24" t="str">
        <f>IF(LEN(A19)&gt;0, 종합!$C$27, "")</f>
        <v/>
      </c>
      <c r="P19" s="1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1"/>
      <c r="AG19" s="2"/>
    </row>
    <row r="20" spans="1:33" x14ac:dyDescent="0.45">
      <c r="A20" s="3"/>
      <c r="B20" s="24" t="str">
        <f>IF(NOT(LEN(A20)=0),B19+1,"")</f>
        <v/>
      </c>
      <c r="C20" s="7" t="str">
        <f t="shared" si="13"/>
        <v/>
      </c>
      <c r="D20" s="6" t="str">
        <f t="shared" si="14"/>
        <v/>
      </c>
      <c r="E20" s="24"/>
      <c r="F20" s="1"/>
      <c r="G20" s="1"/>
      <c r="H20" s="1"/>
      <c r="I20" s="1"/>
      <c r="J20" s="1"/>
      <c r="K20" s="90" t="str">
        <f t="shared" si="5"/>
        <v/>
      </c>
      <c r="L20" s="90" t="str">
        <f t="shared" si="6"/>
        <v/>
      </c>
      <c r="M20" s="90" t="str">
        <f t="shared" si="7"/>
        <v/>
      </c>
      <c r="N20" s="90" t="str">
        <f t="shared" si="8"/>
        <v/>
      </c>
      <c r="O20" s="24" t="str">
        <f>IF(LEN(A20)&gt;0, 종합!$C$27, "")</f>
        <v/>
      </c>
      <c r="P20" s="1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1"/>
      <c r="AG20" s="2"/>
    </row>
    <row r="21" spans="1:33" x14ac:dyDescent="0.45">
      <c r="A21" s="3"/>
      <c r="B21" s="24" t="str">
        <f t="shared" si="9"/>
        <v/>
      </c>
      <c r="C21" s="7" t="str">
        <f t="shared" si="13"/>
        <v/>
      </c>
      <c r="D21" s="6" t="str">
        <f t="shared" si="14"/>
        <v/>
      </c>
      <c r="E21" s="24"/>
      <c r="F21" s="1"/>
      <c r="G21" s="1"/>
      <c r="H21" s="1"/>
      <c r="I21" s="1"/>
      <c r="J21" s="1"/>
      <c r="K21" s="90" t="str">
        <f t="shared" si="5"/>
        <v/>
      </c>
      <c r="L21" s="90" t="str">
        <f t="shared" si="6"/>
        <v/>
      </c>
      <c r="M21" s="90" t="str">
        <f t="shared" si="7"/>
        <v/>
      </c>
      <c r="N21" s="90" t="str">
        <f t="shared" si="8"/>
        <v/>
      </c>
      <c r="O21" s="24" t="str">
        <f>IF(LEN(A21)&gt;0, 종합!$C$27, "")</f>
        <v/>
      </c>
      <c r="P21" s="1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1"/>
      <c r="AG21" s="2"/>
    </row>
    <row r="22" spans="1:33" x14ac:dyDescent="0.45">
      <c r="A22" s="3"/>
      <c r="B22" s="24" t="str">
        <f t="shared" si="9"/>
        <v/>
      </c>
      <c r="C22" s="7" t="str">
        <f t="shared" si="13"/>
        <v/>
      </c>
      <c r="D22" s="6" t="str">
        <f t="shared" si="14"/>
        <v/>
      </c>
      <c r="E22" s="1"/>
      <c r="F22" s="1"/>
      <c r="G22" s="1"/>
      <c r="H22" s="1"/>
      <c r="I22" s="1"/>
      <c r="J22" s="1"/>
      <c r="K22" s="90" t="str">
        <f t="shared" si="5"/>
        <v/>
      </c>
      <c r="L22" s="90" t="str">
        <f t="shared" si="6"/>
        <v/>
      </c>
      <c r="M22" s="90" t="str">
        <f t="shared" si="7"/>
        <v/>
      </c>
      <c r="N22" s="90" t="str">
        <f t="shared" si="8"/>
        <v/>
      </c>
      <c r="O22" s="24" t="str">
        <f>IF(LEN(A22)&gt;0, 종합!$C$27, "")</f>
        <v/>
      </c>
      <c r="P22" s="1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1"/>
      <c r="AG22" s="2"/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:H9 F7:F9">
    <cfRule type="containsText" dxfId="934" priority="97" operator="containsText" text="신품">
      <formula>NOT(ISERROR(SEARCH("신품",F7)))</formula>
    </cfRule>
    <cfRule type="containsText" dxfId="933" priority="98" operator="containsText" text="중고">
      <formula>NOT(ISERROR(SEARCH("중고",F7)))</formula>
    </cfRule>
  </conditionalFormatting>
  <conditionalFormatting sqref="I7:I9">
    <cfRule type="containsText" dxfId="932" priority="95" operator="containsText" text="신품">
      <formula>NOT(ISERROR(SEARCH("신품",I7)))</formula>
    </cfRule>
    <cfRule type="containsText" dxfId="931" priority="96" operator="containsText" text="중고">
      <formula>NOT(ISERROR(SEARCH("중고",I7)))</formula>
    </cfRule>
  </conditionalFormatting>
  <conditionalFormatting sqref="H10 F10">
    <cfRule type="containsText" dxfId="930" priority="91" operator="containsText" text="신품">
      <formula>NOT(ISERROR(SEARCH("신품",F10)))</formula>
    </cfRule>
    <cfRule type="containsText" dxfId="929" priority="92" operator="containsText" text="중고">
      <formula>NOT(ISERROR(SEARCH("중고",F10)))</formula>
    </cfRule>
  </conditionalFormatting>
  <conditionalFormatting sqref="I10">
    <cfRule type="containsText" dxfId="928" priority="89" operator="containsText" text="신품">
      <formula>NOT(ISERROR(SEARCH("신품",I10)))</formula>
    </cfRule>
    <cfRule type="containsText" dxfId="927" priority="90" operator="containsText" text="중고">
      <formula>NOT(ISERROR(SEARCH("중고",I10)))</formula>
    </cfRule>
  </conditionalFormatting>
  <conditionalFormatting sqref="F11 H11 F13:F16">
    <cfRule type="containsText" dxfId="926" priority="85" operator="containsText" text="신품">
      <formula>NOT(ISERROR(SEARCH("신품",F11)))</formula>
    </cfRule>
    <cfRule type="containsText" dxfId="925" priority="86" operator="containsText" text="중고">
      <formula>NOT(ISERROR(SEARCH("중고",F11)))</formula>
    </cfRule>
  </conditionalFormatting>
  <conditionalFormatting sqref="I11 I13:I16">
    <cfRule type="containsText" dxfId="924" priority="83" operator="containsText" text="신품">
      <formula>NOT(ISERROR(SEARCH("신품",I11)))</formula>
    </cfRule>
    <cfRule type="containsText" dxfId="923" priority="84" operator="containsText" text="중고">
      <formula>NOT(ISERROR(SEARCH("중고",I11)))</formula>
    </cfRule>
  </conditionalFormatting>
  <conditionalFormatting sqref="F12 F17:F22 H12:H22">
    <cfRule type="containsText" dxfId="922" priority="79" operator="containsText" text="신품">
      <formula>NOT(ISERROR(SEARCH("신품",F12)))</formula>
    </cfRule>
    <cfRule type="containsText" dxfId="921" priority="80" operator="containsText" text="중고">
      <formula>NOT(ISERROR(SEARCH("중고",F12)))</formula>
    </cfRule>
  </conditionalFormatting>
  <conditionalFormatting sqref="I12 I17:I22">
    <cfRule type="containsText" dxfId="920" priority="77" operator="containsText" text="신품">
      <formula>NOT(ISERROR(SEARCH("신품",I12)))</formula>
    </cfRule>
    <cfRule type="containsText" dxfId="919" priority="78" operator="containsText" text="중고">
      <formula>NOT(ISERROR(SEARCH("중고",I12)))</formula>
    </cfRule>
  </conditionalFormatting>
  <conditionalFormatting sqref="D7:D15">
    <cfRule type="containsText" dxfId="918" priority="73" operator="containsText" text="완료">
      <formula>NOT(ISERROR(SEARCH("완료",D7)))</formula>
    </cfRule>
    <cfRule type="containsText" dxfId="917" priority="74" operator="containsText" text="중단">
      <formula>NOT(ISERROR(SEARCH("중단",D7)))</formula>
    </cfRule>
  </conditionalFormatting>
  <conditionalFormatting sqref="D10">
    <cfRule type="containsText" dxfId="916" priority="71" operator="containsText" text="완료">
      <formula>NOT(ISERROR(SEARCH("완료",D10)))</formula>
    </cfRule>
    <cfRule type="containsText" dxfId="915" priority="72" operator="containsText" text="중단">
      <formula>NOT(ISERROR(SEARCH("중단",D10)))</formula>
    </cfRule>
  </conditionalFormatting>
  <conditionalFormatting sqref="D11:D15">
    <cfRule type="containsText" dxfId="914" priority="69" operator="containsText" text="완료">
      <formula>NOT(ISERROR(SEARCH("완료",D11)))</formula>
    </cfRule>
    <cfRule type="containsText" dxfId="913" priority="70" operator="containsText" text="중단">
      <formula>NOT(ISERROR(SEARCH("중단",D11)))</formula>
    </cfRule>
  </conditionalFormatting>
  <conditionalFormatting sqref="D12:D15">
    <cfRule type="containsText" dxfId="912" priority="67" operator="containsText" text="완료">
      <formula>NOT(ISERROR(SEARCH("완료",D12)))</formula>
    </cfRule>
    <cfRule type="containsText" dxfId="911" priority="68" operator="containsText" text="중단">
      <formula>NOT(ISERROR(SEARCH("중단",D12)))</formula>
    </cfRule>
  </conditionalFormatting>
  <conditionalFormatting sqref="D23 D7:D15">
    <cfRule type="containsText" dxfId="910" priority="66" operator="containsText" text="진행중">
      <formula>NOT(ISERROR(SEARCH("진행중",D7)))</formula>
    </cfRule>
  </conditionalFormatting>
  <conditionalFormatting sqref="D16:D22">
    <cfRule type="containsText" dxfId="904" priority="59" operator="containsText" text="완료">
      <formula>NOT(ISERROR(SEARCH("완료",D16)))</formula>
    </cfRule>
    <cfRule type="containsText" dxfId="903" priority="60" operator="containsText" text="중단">
      <formula>NOT(ISERROR(SEARCH("중단",D16)))</formula>
    </cfRule>
  </conditionalFormatting>
  <conditionalFormatting sqref="D16:D22">
    <cfRule type="containsText" dxfId="902" priority="57" operator="containsText" text="완료">
      <formula>NOT(ISERROR(SEARCH("완료",D16)))</formula>
    </cfRule>
    <cfRule type="containsText" dxfId="901" priority="58" operator="containsText" text="중단">
      <formula>NOT(ISERROR(SEARCH("중단",D16)))</formula>
    </cfRule>
  </conditionalFormatting>
  <conditionalFormatting sqref="D16:D22">
    <cfRule type="containsText" dxfId="900" priority="56" operator="containsText" text="진행중">
      <formula>NOT(ISERROR(SEARCH("진행중",D16)))</formula>
    </cfRule>
  </conditionalFormatting>
  <conditionalFormatting sqref="K8:K22">
    <cfRule type="containsText" dxfId="14" priority="14" operator="containsText" text="완료">
      <formula>NOT(ISERROR(SEARCH("완료",K8)))</formula>
    </cfRule>
    <cfRule type="containsText" dxfId="13" priority="15" operator="containsText" text="중단">
      <formula>NOT(ISERROR(SEARCH("중단",K8)))</formula>
    </cfRule>
  </conditionalFormatting>
  <conditionalFormatting sqref="K8:K22">
    <cfRule type="containsText" dxfId="12" priority="12" operator="containsText" text="완료">
      <formula>NOT(ISERROR(SEARCH("완료",K8)))</formula>
    </cfRule>
    <cfRule type="containsText" dxfId="11" priority="13" operator="containsText" text="중단">
      <formula>NOT(ISERROR(SEARCH("중단",K8)))</formula>
    </cfRule>
  </conditionalFormatting>
  <conditionalFormatting sqref="K8:K22">
    <cfRule type="containsText" dxfId="10" priority="11" operator="containsText" text="진행중">
      <formula>NOT(ISERROR(SEARCH("진행중",K8)))</formula>
    </cfRule>
  </conditionalFormatting>
  <conditionalFormatting sqref="L8:L22">
    <cfRule type="containsText" dxfId="9" priority="9" operator="containsText" text="완료">
      <formula>NOT(ISERROR(SEARCH("완료",L8)))</formula>
    </cfRule>
    <cfRule type="containsText" dxfId="8" priority="10" operator="containsText" text="중단">
      <formula>NOT(ISERROR(SEARCH("중단",L8)))</formula>
    </cfRule>
  </conditionalFormatting>
  <conditionalFormatting sqref="L8:L22">
    <cfRule type="containsText" dxfId="7" priority="7" operator="containsText" text="완료">
      <formula>NOT(ISERROR(SEARCH("완료",L8)))</formula>
    </cfRule>
    <cfRule type="containsText" dxfId="6" priority="8" operator="containsText" text="중단">
      <formula>NOT(ISERROR(SEARCH("중단",L8)))</formula>
    </cfRule>
  </conditionalFormatting>
  <conditionalFormatting sqref="L8:L22">
    <cfRule type="containsText" dxfId="5" priority="6" operator="containsText" text="진행중">
      <formula>NOT(ISERROR(SEARCH("진행중",L8)))</formula>
    </cfRule>
  </conditionalFormatting>
  <conditionalFormatting sqref="M8:N22">
    <cfRule type="containsText" dxfId="4" priority="4" operator="containsText" text="완료">
      <formula>NOT(ISERROR(SEARCH("완료",M8)))</formula>
    </cfRule>
    <cfRule type="containsText" dxfId="3" priority="5" operator="containsText" text="중단">
      <formula>NOT(ISERROR(SEARCH("중단",M8)))</formula>
    </cfRule>
  </conditionalFormatting>
  <conditionalFormatting sqref="M8:N22">
    <cfRule type="containsText" dxfId="2" priority="2" operator="containsText" text="완료">
      <formula>NOT(ISERROR(SEARCH("완료",M8)))</formula>
    </cfRule>
    <cfRule type="containsText" dxfId="1" priority="3" operator="containsText" text="중단">
      <formula>NOT(ISERROR(SEARCH("중단",M8)))</formula>
    </cfRule>
  </conditionalFormatting>
  <conditionalFormatting sqref="M8:N22">
    <cfRule type="containsText" dxfId="0" priority="1" operator="containsText" text="진행중">
      <formula>NOT(ISERROR(SEARCH("진행중",M8)))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sheetPr>
    <tabColor theme="0" tint="-0.499984740745262"/>
  </sheetPr>
  <dimension ref="A1:AP23"/>
  <sheetViews>
    <sheetView zoomScale="55" zoomScaleNormal="55" workbookViewId="0">
      <selection activeCell="K7" sqref="K7:O8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65" t="s">
        <v>18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</row>
    <row r="2" spans="1:42" x14ac:dyDescent="0.45">
      <c r="A2" s="53" t="s">
        <v>10</v>
      </c>
      <c r="B2" s="54" t="s">
        <v>92</v>
      </c>
      <c r="C2" s="55"/>
      <c r="D2" s="55"/>
      <c r="E2" s="55"/>
      <c r="F2" s="53" t="s">
        <v>111</v>
      </c>
      <c r="G2" s="53"/>
      <c r="H2" s="53"/>
      <c r="I2" s="53"/>
      <c r="J2" s="53"/>
      <c r="K2" s="53"/>
      <c r="L2" s="53"/>
      <c r="M2" s="53"/>
      <c r="N2" s="53"/>
      <c r="O2" s="53"/>
      <c r="P2" s="54" t="s">
        <v>26</v>
      </c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/>
      <c r="AF2" s="54" t="s">
        <v>9</v>
      </c>
      <c r="AG2" s="56"/>
    </row>
    <row r="3" spans="1:42" x14ac:dyDescent="0.45">
      <c r="A3" s="53"/>
      <c r="B3" s="60"/>
      <c r="C3" s="63"/>
      <c r="D3" s="63"/>
      <c r="E3" s="63"/>
      <c r="F3" s="53"/>
      <c r="G3" s="53"/>
      <c r="H3" s="53"/>
      <c r="I3" s="53"/>
      <c r="J3" s="53"/>
      <c r="K3" s="53"/>
      <c r="L3" s="53"/>
      <c r="M3" s="53"/>
      <c r="N3" s="53"/>
      <c r="O3" s="53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9"/>
      <c r="AF3" s="60"/>
      <c r="AG3" s="61"/>
    </row>
    <row r="4" spans="1:42" x14ac:dyDescent="0.45">
      <c r="A4" s="53"/>
      <c r="B4" s="60"/>
      <c r="C4" s="63"/>
      <c r="D4" s="63"/>
      <c r="E4" s="63"/>
      <c r="F4" s="53"/>
      <c r="G4" s="53"/>
      <c r="H4" s="53"/>
      <c r="I4" s="53"/>
      <c r="J4" s="53"/>
      <c r="K4" s="53"/>
      <c r="L4" s="53"/>
      <c r="M4" s="53"/>
      <c r="N4" s="53"/>
      <c r="O4" s="53"/>
      <c r="P4" s="8"/>
      <c r="Q4" s="51" t="s">
        <v>33</v>
      </c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2"/>
      <c r="AD4" s="11" t="s">
        <v>34</v>
      </c>
      <c r="AE4" s="11" t="s">
        <v>35</v>
      </c>
      <c r="AF4" s="60"/>
      <c r="AG4" s="61"/>
    </row>
    <row r="5" spans="1:42" x14ac:dyDescent="0.45">
      <c r="A5" s="53"/>
      <c r="B5" s="57"/>
      <c r="C5" s="58"/>
      <c r="D5" s="58"/>
      <c r="E5" s="58"/>
      <c r="F5" s="62" t="s">
        <v>36</v>
      </c>
      <c r="G5" s="62"/>
      <c r="H5" s="62"/>
      <c r="I5" s="62"/>
      <c r="J5" s="41"/>
      <c r="K5" s="57" t="s">
        <v>94</v>
      </c>
      <c r="L5" s="58"/>
      <c r="M5" s="58"/>
      <c r="N5" s="59"/>
      <c r="O5" s="42" t="s">
        <v>93</v>
      </c>
      <c r="P5" s="10" t="s">
        <v>30</v>
      </c>
      <c r="Q5" s="50" t="s">
        <v>44</v>
      </c>
      <c r="R5" s="51"/>
      <c r="S5" s="51"/>
      <c r="T5" s="52"/>
      <c r="U5" s="50" t="s">
        <v>19</v>
      </c>
      <c r="V5" s="51"/>
      <c r="W5" s="51"/>
      <c r="X5" s="52"/>
      <c r="Y5" s="64" t="s">
        <v>123</v>
      </c>
      <c r="Z5" s="53"/>
      <c r="AA5" s="53"/>
      <c r="AB5" s="53"/>
      <c r="AC5" s="53"/>
      <c r="AD5" s="13"/>
      <c r="AE5" s="11"/>
      <c r="AF5" s="60"/>
      <c r="AG5" s="61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124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9" t="s">
        <v>25</v>
      </c>
      <c r="Q6" s="9" t="s">
        <v>4</v>
      </c>
      <c r="R6" s="9" t="s">
        <v>12</v>
      </c>
      <c r="S6" s="9" t="s">
        <v>13</v>
      </c>
      <c r="T6" s="9" t="s">
        <v>5</v>
      </c>
      <c r="U6" s="9" t="s">
        <v>4</v>
      </c>
      <c r="V6" s="9" t="s">
        <v>12</v>
      </c>
      <c r="W6" s="9" t="s">
        <v>13</v>
      </c>
      <c r="X6" s="9" t="s">
        <v>5</v>
      </c>
      <c r="Y6" s="9" t="s">
        <v>4</v>
      </c>
      <c r="Z6" s="9" t="s">
        <v>12</v>
      </c>
      <c r="AA6" s="9" t="s">
        <v>13</v>
      </c>
      <c r="AB6" s="9" t="s">
        <v>5</v>
      </c>
      <c r="AC6" s="9" t="s">
        <v>39</v>
      </c>
      <c r="AD6" s="14" t="s">
        <v>37</v>
      </c>
      <c r="AE6" s="12" t="s">
        <v>38</v>
      </c>
      <c r="AF6" s="57"/>
      <c r="AG6" s="59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2" si="0">IF(B7="","",
  IF(MOD($B7,1)=0,
    "Dimensions: L W H",
    "-"
  )
)</f>
        <v>Dimensions: L W H</v>
      </c>
      <c r="D7" s="6" t="str">
        <f t="shared" ref="D7:D18" si="1">IF(E7="","",
  IF(MOD($B7,1)=0,
    "완료",
    "-"
  )
)</f>
        <v>완료</v>
      </c>
      <c r="E7" s="24">
        <v>19</v>
      </c>
      <c r="F7" s="88" t="s">
        <v>40</v>
      </c>
      <c r="G7" s="24" t="s">
        <v>16</v>
      </c>
      <c r="H7" s="24" t="s">
        <v>16</v>
      </c>
      <c r="I7" s="88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2">IF(MOD($B7,5)=0, "스핀들유격: ","-" 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ref="U7:AB10" si="3">IF(MOD($B7,5)=0, "000-000","-" )</f>
        <v>-</v>
      </c>
      <c r="V7" s="7" t="str">
        <f t="shared" si="3"/>
        <v>-</v>
      </c>
      <c r="W7" s="7" t="str">
        <f t="shared" si="3"/>
        <v>-</v>
      </c>
      <c r="X7" s="7" t="str">
        <f t="shared" si="3"/>
        <v>-</v>
      </c>
      <c r="Y7" s="7" t="str">
        <f t="shared" si="3"/>
        <v>-</v>
      </c>
      <c r="Z7" s="7" t="str">
        <f t="shared" si="3"/>
        <v>-</v>
      </c>
      <c r="AA7" s="7" t="str">
        <f t="shared" si="3"/>
        <v>-</v>
      </c>
      <c r="AB7" s="7" t="str">
        <f t="shared" si="3"/>
        <v>-</v>
      </c>
      <c r="AC7" s="7" t="str">
        <f>IF(MOD($B7,5)=0, "스핀들소음 :","-" )</f>
        <v>-</v>
      </c>
      <c r="AD7" s="7" t="str">
        <f t="shared" ref="AD7:AD17" si="4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89" t="s">
        <v>40</v>
      </c>
      <c r="G8" s="90" t="str">
        <f>IF(NOT(LEN($I8)=0),G7,"")</f>
        <v>-</v>
      </c>
      <c r="H8" s="90" t="str">
        <f>IF(NOT(LEN($I8)=0),H7,"")</f>
        <v>-</v>
      </c>
      <c r="I8" s="89" t="s">
        <v>40</v>
      </c>
      <c r="J8" s="1"/>
      <c r="K8" s="90" t="str">
        <f t="shared" ref="K8:K17" si="5">IF(NOT(LEN($I8)=0),K7,"")</f>
        <v>VITA</v>
      </c>
      <c r="L8" s="90" t="str">
        <f t="shared" ref="L8:L17" si="6">IF(NOT(LEN($I8)=0),L7,"")</f>
        <v>MARK II</v>
      </c>
      <c r="M8" s="90">
        <f t="shared" ref="M8:O8" si="7">IF(NOT(LEN($I8)=0),M7,"")</f>
        <v>160</v>
      </c>
      <c r="N8" s="90" t="str">
        <f t="shared" si="7"/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3"/>
        <v>-</v>
      </c>
      <c r="V8" s="7" t="str">
        <f t="shared" si="3"/>
        <v>-</v>
      </c>
      <c r="W8" s="7" t="str">
        <f t="shared" si="3"/>
        <v>-</v>
      </c>
      <c r="X8" s="7" t="str">
        <f t="shared" si="3"/>
        <v>-</v>
      </c>
      <c r="Y8" s="7" t="str">
        <f t="shared" si="3"/>
        <v>-</v>
      </c>
      <c r="Z8" s="7" t="str">
        <f t="shared" si="3"/>
        <v>-</v>
      </c>
      <c r="AA8" s="7" t="str">
        <f t="shared" si="3"/>
        <v>-</v>
      </c>
      <c r="AB8" s="7" t="str">
        <f t="shared" si="3"/>
        <v>-</v>
      </c>
      <c r="AC8" s="7" t="str">
        <f>IF(MOD($B8,5)=0, "스핀들소음 :","-" )</f>
        <v>-</v>
      </c>
      <c r="AD8" s="7" t="str">
        <f t="shared" si="4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2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89" t="s">
        <v>40</v>
      </c>
      <c r="G9" s="90" t="str">
        <f t="shared" ref="G9:G19" si="9">IF(NOT(LEN($I9)=0),G8,"")</f>
        <v>-</v>
      </c>
      <c r="H9" s="90" t="str">
        <f t="shared" ref="H9:H19" si="10">IF(NOT(LEN($I9)=0),H8,"")</f>
        <v>-</v>
      </c>
      <c r="I9" s="89" t="s">
        <v>40</v>
      </c>
      <c r="J9" s="1"/>
      <c r="K9" s="90" t="str">
        <f t="shared" si="5"/>
        <v>VITA</v>
      </c>
      <c r="L9" s="90" t="str">
        <f t="shared" si="6"/>
        <v>MARK II</v>
      </c>
      <c r="M9" s="90">
        <f t="shared" ref="M9:M18" si="11">IF(NOT(LEN($I9)=0),M8,"")</f>
        <v>160</v>
      </c>
      <c r="N9" s="90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3"/>
        <v>-</v>
      </c>
      <c r="V9" s="7" t="str">
        <f t="shared" si="3"/>
        <v>-</v>
      </c>
      <c r="W9" s="7" t="str">
        <f t="shared" si="3"/>
        <v>-</v>
      </c>
      <c r="X9" s="7" t="str">
        <f t="shared" si="3"/>
        <v>-</v>
      </c>
      <c r="Y9" s="7" t="str">
        <f t="shared" si="3"/>
        <v>-</v>
      </c>
      <c r="Z9" s="7" t="str">
        <f t="shared" si="3"/>
        <v>-</v>
      </c>
      <c r="AA9" s="7" t="str">
        <f t="shared" si="3"/>
        <v>-</v>
      </c>
      <c r="AB9" s="7" t="str">
        <f t="shared" si="3"/>
        <v>-</v>
      </c>
      <c r="AC9" s="7" t="str">
        <f>IF(MOD($B9,5)=0, "스핀들소음 :","-" )</f>
        <v>-</v>
      </c>
      <c r="AD9" s="7" t="str">
        <f t="shared" si="4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89" t="s">
        <v>40</v>
      </c>
      <c r="G10" s="90" t="str">
        <f t="shared" si="9"/>
        <v>-</v>
      </c>
      <c r="H10" s="90" t="str">
        <f t="shared" si="10"/>
        <v>-</v>
      </c>
      <c r="I10" s="89" t="s">
        <v>40</v>
      </c>
      <c r="J10" s="1"/>
      <c r="K10" s="90" t="str">
        <f t="shared" si="5"/>
        <v>VITA</v>
      </c>
      <c r="L10" s="90" t="str">
        <f t="shared" si="6"/>
        <v>MARK II</v>
      </c>
      <c r="M10" s="90">
        <f t="shared" si="11"/>
        <v>160</v>
      </c>
      <c r="N10" s="90" t="str">
        <f t="shared" si="12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3"/>
        <v>-</v>
      </c>
      <c r="V10" s="7" t="str">
        <f t="shared" si="3"/>
        <v>-</v>
      </c>
      <c r="W10" s="7" t="str">
        <f t="shared" si="3"/>
        <v>-</v>
      </c>
      <c r="X10" s="7" t="str">
        <f t="shared" si="3"/>
        <v>-</v>
      </c>
      <c r="Y10" s="7" t="str">
        <f t="shared" si="3"/>
        <v>-</v>
      </c>
      <c r="Z10" s="7" t="str">
        <f t="shared" si="3"/>
        <v>-</v>
      </c>
      <c r="AA10" s="7" t="str">
        <f t="shared" si="3"/>
        <v>-</v>
      </c>
      <c r="AB10" s="7" t="str">
        <f t="shared" si="3"/>
        <v>-</v>
      </c>
      <c r="AC10" s="7" t="str">
        <f>IF(MOD($B10,5)=0, "스핀들소음 :","-" )</f>
        <v>-</v>
      </c>
      <c r="AD10" s="7" t="str">
        <f t="shared" si="4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89" t="s">
        <v>40</v>
      </c>
      <c r="G11" s="90" t="str">
        <f t="shared" si="9"/>
        <v>-</v>
      </c>
      <c r="H11" s="90" t="str">
        <f t="shared" si="10"/>
        <v>-</v>
      </c>
      <c r="I11" s="89" t="s">
        <v>40</v>
      </c>
      <c r="J11" s="1"/>
      <c r="K11" s="90" t="str">
        <f t="shared" si="5"/>
        <v>VITA</v>
      </c>
      <c r="L11" s="90" t="str">
        <f t="shared" si="6"/>
        <v>MARK II</v>
      </c>
      <c r="M11" s="90">
        <f t="shared" si="11"/>
        <v>160</v>
      </c>
      <c r="N11" s="90" t="str">
        <f t="shared" si="12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76</v>
      </c>
      <c r="V11" s="7" t="s">
        <v>77</v>
      </c>
      <c r="W11" s="7" t="s">
        <v>78</v>
      </c>
      <c r="X11" s="7" t="s">
        <v>79</v>
      </c>
      <c r="Y11" s="7" t="s">
        <v>80</v>
      </c>
      <c r="Z11" s="7" t="s">
        <v>81</v>
      </c>
      <c r="AA11" s="7" t="s">
        <v>82</v>
      </c>
      <c r="AB11" s="7" t="s">
        <v>83</v>
      </c>
      <c r="AC11" s="7" t="s">
        <v>67</v>
      </c>
      <c r="AD11" s="7" t="str">
        <f t="shared" si="4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89" t="s">
        <v>40</v>
      </c>
      <c r="G12" s="90" t="str">
        <f t="shared" si="9"/>
        <v>-</v>
      </c>
      <c r="H12" s="90" t="str">
        <f t="shared" si="10"/>
        <v>-</v>
      </c>
      <c r="I12" s="89" t="s">
        <v>40</v>
      </c>
      <c r="J12" s="1"/>
      <c r="K12" s="90" t="str">
        <f t="shared" si="5"/>
        <v>VITA</v>
      </c>
      <c r="L12" s="90" t="str">
        <f t="shared" si="6"/>
        <v>MARK II</v>
      </c>
      <c r="M12" s="90">
        <f t="shared" si="11"/>
        <v>160</v>
      </c>
      <c r="N12" s="90" t="str">
        <f t="shared" si="12"/>
        <v>-</v>
      </c>
      <c r="O12" s="24">
        <f>IF(LEN(A12)&gt;0, 종합!$C$27, "")</f>
        <v>2.2599999999999998</v>
      </c>
      <c r="P12" s="1" t="s">
        <v>16</v>
      </c>
      <c r="Q12" s="7" t="str">
        <f t="shared" ref="Q12:T17" si="13">IF(MOD($B12,5)=0, "스핀들유격: ","-" )</f>
        <v>-</v>
      </c>
      <c r="R12" s="7" t="str">
        <f t="shared" si="13"/>
        <v>-</v>
      </c>
      <c r="S12" s="7" t="str">
        <f t="shared" si="13"/>
        <v>-</v>
      </c>
      <c r="T12" s="7" t="str">
        <f t="shared" si="13"/>
        <v>-</v>
      </c>
      <c r="U12" s="7" t="str">
        <f t="shared" ref="U12:AB17" si="14">IF(MOD($B12,5)=0, "000-000","-" )</f>
        <v>-</v>
      </c>
      <c r="V12" s="7" t="str">
        <f t="shared" si="14"/>
        <v>-</v>
      </c>
      <c r="W12" s="7" t="str">
        <f t="shared" si="14"/>
        <v>-</v>
      </c>
      <c r="X12" s="7" t="str">
        <f t="shared" si="14"/>
        <v>-</v>
      </c>
      <c r="Y12" s="7" t="str">
        <f t="shared" si="14"/>
        <v>-</v>
      </c>
      <c r="Z12" s="7" t="str">
        <f t="shared" si="14"/>
        <v>-</v>
      </c>
      <c r="AA12" s="7" t="str">
        <f t="shared" si="14"/>
        <v>-</v>
      </c>
      <c r="AB12" s="7" t="str">
        <f t="shared" si="14"/>
        <v>-</v>
      </c>
      <c r="AC12" s="7" t="str">
        <f t="shared" ref="AC12:AC17" si="15">IF(MOD($B12,5)=0, "스핀들소음 :","-" )</f>
        <v>-</v>
      </c>
      <c r="AD12" s="7" t="str">
        <f t="shared" si="4"/>
        <v>-</v>
      </c>
      <c r="AE12" s="7" t="str">
        <f>IF($B12="","",
  IF(MOD(B12,160)=0,
    "TENSION (XL : / ZL : / XR : / ZR : / Y : )" &amp; CHAR(10) &amp;
    "필터교체",
    "-"
  )
)</f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6">
        <v>0</v>
      </c>
      <c r="G13" s="90" t="str">
        <f t="shared" si="9"/>
        <v>-</v>
      </c>
      <c r="H13" s="90" t="str">
        <f t="shared" si="10"/>
        <v>-</v>
      </c>
      <c r="I13" s="6">
        <v>0</v>
      </c>
      <c r="J13" s="1"/>
      <c r="K13" s="90" t="str">
        <f t="shared" si="5"/>
        <v>VITA</v>
      </c>
      <c r="L13" s="90" t="str">
        <f t="shared" si="6"/>
        <v>MARK II</v>
      </c>
      <c r="M13" s="90">
        <f t="shared" si="11"/>
        <v>160</v>
      </c>
      <c r="N13" s="90" t="str">
        <f t="shared" si="12"/>
        <v>-</v>
      </c>
      <c r="O13" s="24">
        <f>IF(LEN(A13)&gt;0, 종합!$C$27, "")</f>
        <v>2.2599999999999998</v>
      </c>
      <c r="P13" s="1" t="s">
        <v>16</v>
      </c>
      <c r="Q13" s="7" t="str">
        <f t="shared" si="13"/>
        <v>-</v>
      </c>
      <c r="R13" s="7" t="str">
        <f t="shared" si="13"/>
        <v>-</v>
      </c>
      <c r="S13" s="7" t="str">
        <f t="shared" si="13"/>
        <v>-</v>
      </c>
      <c r="T13" s="7" t="str">
        <f t="shared" si="13"/>
        <v>-</v>
      </c>
      <c r="U13" s="7" t="str">
        <f t="shared" si="14"/>
        <v>-</v>
      </c>
      <c r="V13" s="7" t="str">
        <f t="shared" si="14"/>
        <v>-</v>
      </c>
      <c r="W13" s="7" t="str">
        <f t="shared" si="14"/>
        <v>-</v>
      </c>
      <c r="X13" s="7" t="str">
        <f t="shared" si="14"/>
        <v>-</v>
      </c>
      <c r="Y13" s="7" t="str">
        <f t="shared" si="14"/>
        <v>-</v>
      </c>
      <c r="Z13" s="7" t="str">
        <f t="shared" si="14"/>
        <v>-</v>
      </c>
      <c r="AA13" s="7" t="str">
        <f t="shared" si="14"/>
        <v>-</v>
      </c>
      <c r="AB13" s="7" t="str">
        <f t="shared" si="14"/>
        <v>-</v>
      </c>
      <c r="AC13" s="7" t="str">
        <f t="shared" si="15"/>
        <v>-</v>
      </c>
      <c r="AD13" s="7" t="str">
        <f t="shared" si="4"/>
        <v>-</v>
      </c>
      <c r="AE13" s="7" t="str">
        <f>IF($B13="","",
  IF(MOD(B13,160)=0,
    "TENSION (XL : / ZL : / XR : / ZR : / Y : )" &amp; CHAR(10) &amp;
    "필터교체",
    "-"
  )
)</f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6">
        <f>IF(NOT(LEN($A14)=0),IF(F13+1&gt;15,"버교체요망",F13+1),"")</f>
        <v>1</v>
      </c>
      <c r="G14" s="90" t="str">
        <f t="shared" si="9"/>
        <v>-</v>
      </c>
      <c r="H14" s="90" t="str">
        <f t="shared" si="10"/>
        <v>-</v>
      </c>
      <c r="I14" s="6">
        <f>IF(NOT(LEN($A14)=0),IF(I13+1&gt;15,"버교체요망",I13+1),"")</f>
        <v>1</v>
      </c>
      <c r="J14" s="1"/>
      <c r="K14" s="90" t="str">
        <f t="shared" si="5"/>
        <v>VITA</v>
      </c>
      <c r="L14" s="90" t="str">
        <f t="shared" si="6"/>
        <v>MARK II</v>
      </c>
      <c r="M14" s="90">
        <f t="shared" si="11"/>
        <v>160</v>
      </c>
      <c r="N14" s="90" t="str">
        <f t="shared" si="12"/>
        <v>-</v>
      </c>
      <c r="O14" s="24">
        <f>IF(LEN(A14)&gt;0, 종합!$C$27, "")</f>
        <v>2.2599999999999998</v>
      </c>
      <c r="P14" s="1" t="s">
        <v>16</v>
      </c>
      <c r="Q14" s="7" t="str">
        <f t="shared" si="13"/>
        <v>-</v>
      </c>
      <c r="R14" s="7" t="str">
        <f t="shared" si="13"/>
        <v>-</v>
      </c>
      <c r="S14" s="7" t="str">
        <f t="shared" si="13"/>
        <v>-</v>
      </c>
      <c r="T14" s="7" t="str">
        <f t="shared" si="13"/>
        <v>-</v>
      </c>
      <c r="U14" s="7" t="str">
        <f t="shared" si="14"/>
        <v>-</v>
      </c>
      <c r="V14" s="7" t="str">
        <f t="shared" si="14"/>
        <v>-</v>
      </c>
      <c r="W14" s="7" t="str">
        <f t="shared" si="14"/>
        <v>-</v>
      </c>
      <c r="X14" s="7" t="str">
        <f t="shared" si="14"/>
        <v>-</v>
      </c>
      <c r="Y14" s="7" t="str">
        <f t="shared" si="14"/>
        <v>-</v>
      </c>
      <c r="Z14" s="7" t="str">
        <f t="shared" si="14"/>
        <v>-</v>
      </c>
      <c r="AA14" s="7" t="str">
        <f t="shared" si="14"/>
        <v>-</v>
      </c>
      <c r="AB14" s="7" t="str">
        <f t="shared" si="14"/>
        <v>-</v>
      </c>
      <c r="AC14" s="7" t="str">
        <f t="shared" si="15"/>
        <v>-</v>
      </c>
      <c r="AD14" s="7" t="str">
        <f t="shared" si="4"/>
        <v>-</v>
      </c>
      <c r="AE14" s="7" t="str">
        <f>IF($B14="","",
  IF(MOD(B14,160)=0,
    "TENSION (XL : / ZL : / XR : / ZR : / Y : )" &amp; CHAR(10) &amp;
    "필터교체",
    "-"
  )
)</f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6">
        <f t="shared" ref="F15:F22" si="16">IF(NOT(LEN($A15)=0),IF(F14+1&gt;15,"버교체요망",F14+1),"")</f>
        <v>2</v>
      </c>
      <c r="G15" s="90" t="str">
        <f t="shared" si="9"/>
        <v>-</v>
      </c>
      <c r="H15" s="90" t="str">
        <f t="shared" si="10"/>
        <v>-</v>
      </c>
      <c r="I15" s="6">
        <f t="shared" ref="I15:I22" si="17">IF(NOT(LEN($A15)=0),IF(I14+1&gt;15,"버교체요망",I14+1),"")</f>
        <v>2</v>
      </c>
      <c r="J15" s="1"/>
      <c r="K15" s="90" t="str">
        <f t="shared" si="5"/>
        <v>VITA</v>
      </c>
      <c r="L15" s="90" t="str">
        <f t="shared" si="6"/>
        <v>MARK II</v>
      </c>
      <c r="M15" s="90">
        <f t="shared" si="11"/>
        <v>160</v>
      </c>
      <c r="N15" s="90" t="str">
        <f t="shared" si="12"/>
        <v>-</v>
      </c>
      <c r="O15" s="24">
        <f>IF(LEN(A15)&gt;0, 종합!$C$27, "")</f>
        <v>2.2599999999999998</v>
      </c>
      <c r="P15" s="1" t="s">
        <v>16</v>
      </c>
      <c r="Q15" s="7" t="str">
        <f t="shared" si="13"/>
        <v>-</v>
      </c>
      <c r="R15" s="7" t="str">
        <f t="shared" si="13"/>
        <v>-</v>
      </c>
      <c r="S15" s="7" t="str">
        <f t="shared" si="13"/>
        <v>-</v>
      </c>
      <c r="T15" s="7" t="str">
        <f t="shared" si="13"/>
        <v>-</v>
      </c>
      <c r="U15" s="7" t="str">
        <f t="shared" si="14"/>
        <v>-</v>
      </c>
      <c r="V15" s="7" t="str">
        <f t="shared" si="14"/>
        <v>-</v>
      </c>
      <c r="W15" s="7" t="str">
        <f t="shared" si="14"/>
        <v>-</v>
      </c>
      <c r="X15" s="7" t="str">
        <f t="shared" si="14"/>
        <v>-</v>
      </c>
      <c r="Y15" s="7" t="str">
        <f t="shared" si="14"/>
        <v>-</v>
      </c>
      <c r="Z15" s="7" t="str">
        <f t="shared" si="14"/>
        <v>-</v>
      </c>
      <c r="AA15" s="7" t="str">
        <f t="shared" si="14"/>
        <v>-</v>
      </c>
      <c r="AB15" s="7" t="str">
        <f t="shared" si="14"/>
        <v>-</v>
      </c>
      <c r="AC15" s="7" t="str">
        <f t="shared" si="15"/>
        <v>-</v>
      </c>
      <c r="AD15" s="7" t="str">
        <f t="shared" si="4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6">
        <f t="shared" si="16"/>
        <v>3</v>
      </c>
      <c r="G16" s="90" t="str">
        <f t="shared" si="9"/>
        <v>-</v>
      </c>
      <c r="H16" s="90" t="str">
        <f t="shared" si="10"/>
        <v>-</v>
      </c>
      <c r="I16" s="6">
        <f t="shared" si="17"/>
        <v>3</v>
      </c>
      <c r="J16" s="1"/>
      <c r="K16" s="90" t="str">
        <f t="shared" si="5"/>
        <v>VITA</v>
      </c>
      <c r="L16" s="90" t="str">
        <f t="shared" si="6"/>
        <v>MARK II</v>
      </c>
      <c r="M16" s="90">
        <f t="shared" si="11"/>
        <v>160</v>
      </c>
      <c r="N16" s="90" t="str">
        <f t="shared" si="12"/>
        <v>-</v>
      </c>
      <c r="O16" s="24">
        <f>IF(LEN(A16)&gt;0, 종합!$C$27, "")</f>
        <v>2.2599999999999998</v>
      </c>
      <c r="P16" s="1" t="s">
        <v>16</v>
      </c>
      <c r="Q16" s="7" t="str">
        <f t="shared" si="13"/>
        <v xml:space="preserve">스핀들유격: </v>
      </c>
      <c r="R16" s="7" t="str">
        <f t="shared" si="13"/>
        <v xml:space="preserve">스핀들유격: </v>
      </c>
      <c r="S16" s="7" t="str">
        <f t="shared" si="13"/>
        <v xml:space="preserve">스핀들유격: </v>
      </c>
      <c r="T16" s="7" t="str">
        <f t="shared" si="13"/>
        <v xml:space="preserve">스핀들유격: </v>
      </c>
      <c r="U16" s="7" t="str">
        <f t="shared" si="14"/>
        <v>000-000</v>
      </c>
      <c r="V16" s="7" t="str">
        <f t="shared" si="14"/>
        <v>000-000</v>
      </c>
      <c r="W16" s="7" t="str">
        <f t="shared" si="14"/>
        <v>000-000</v>
      </c>
      <c r="X16" s="7" t="str">
        <f t="shared" si="14"/>
        <v>000-000</v>
      </c>
      <c r="Y16" s="7" t="str">
        <f t="shared" si="14"/>
        <v>000-000</v>
      </c>
      <c r="Z16" s="7" t="str">
        <f t="shared" si="14"/>
        <v>000-000</v>
      </c>
      <c r="AA16" s="7" t="str">
        <f t="shared" si="14"/>
        <v>000-000</v>
      </c>
      <c r="AB16" s="7" t="str">
        <f t="shared" si="14"/>
        <v>000-000</v>
      </c>
      <c r="AC16" s="7" t="str">
        <f t="shared" si="15"/>
        <v>스핀들소음 :</v>
      </c>
      <c r="AD16" s="7" t="str">
        <f t="shared" si="4"/>
        <v>-</v>
      </c>
      <c r="AE16" s="7" t="str">
        <f>IF($B16="","",
  IF(MOD(B16,160)=0,
    "TENSION (XL : / ZL : / XR : / ZR : / Y : )" &amp; CHAR(10) &amp;
    "필터교체",
    "-"
  )
)</f>
        <v>-</v>
      </c>
      <c r="AF16" s="1" t="s">
        <v>16</v>
      </c>
      <c r="AG16" s="2"/>
    </row>
    <row r="17" spans="1:33" x14ac:dyDescent="0.45">
      <c r="A17" s="3">
        <v>45973</v>
      </c>
      <c r="B17" s="24">
        <f t="shared" si="8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6">
        <f t="shared" si="16"/>
        <v>4</v>
      </c>
      <c r="G17" s="90" t="str">
        <f t="shared" si="9"/>
        <v>-</v>
      </c>
      <c r="H17" s="90" t="str">
        <f t="shared" si="10"/>
        <v>-</v>
      </c>
      <c r="I17" s="6">
        <f t="shared" si="17"/>
        <v>4</v>
      </c>
      <c r="J17" s="1"/>
      <c r="K17" s="90" t="str">
        <f t="shared" si="5"/>
        <v>VITA</v>
      </c>
      <c r="L17" s="90" t="str">
        <f t="shared" si="6"/>
        <v>MARK II</v>
      </c>
      <c r="M17" s="90">
        <f t="shared" si="11"/>
        <v>160</v>
      </c>
      <c r="N17" s="90" t="str">
        <f t="shared" si="12"/>
        <v>-</v>
      </c>
      <c r="O17" s="24">
        <f>IF(LEN(A17)&gt;0, 종합!$C$27, "")</f>
        <v>2.2599999999999998</v>
      </c>
      <c r="P17" s="1" t="s">
        <v>16</v>
      </c>
      <c r="Q17" s="7" t="str">
        <f t="shared" si="13"/>
        <v>-</v>
      </c>
      <c r="R17" s="7" t="str">
        <f t="shared" si="13"/>
        <v>-</v>
      </c>
      <c r="S17" s="7" t="str">
        <f t="shared" si="13"/>
        <v>-</v>
      </c>
      <c r="T17" s="7" t="str">
        <f t="shared" si="13"/>
        <v>-</v>
      </c>
      <c r="U17" s="7" t="str">
        <f t="shared" si="14"/>
        <v>-</v>
      </c>
      <c r="V17" s="7" t="str">
        <f t="shared" si="14"/>
        <v>-</v>
      </c>
      <c r="W17" s="7" t="str">
        <f t="shared" si="14"/>
        <v>-</v>
      </c>
      <c r="X17" s="7" t="str">
        <f t="shared" si="14"/>
        <v>-</v>
      </c>
      <c r="Y17" s="7" t="str">
        <f t="shared" si="14"/>
        <v>-</v>
      </c>
      <c r="Z17" s="7" t="str">
        <f t="shared" si="14"/>
        <v>-</v>
      </c>
      <c r="AA17" s="7" t="str">
        <f t="shared" si="14"/>
        <v>-</v>
      </c>
      <c r="AB17" s="7" t="str">
        <f t="shared" si="14"/>
        <v>-</v>
      </c>
      <c r="AC17" s="7" t="str">
        <f t="shared" si="15"/>
        <v>-</v>
      </c>
      <c r="AD17" s="7" t="str">
        <f t="shared" si="4"/>
        <v>-</v>
      </c>
      <c r="AE17" s="7" t="str">
        <f>IF($B17="","",
  IF(MOD(B17,160)=0,
    "TENSION (XL : / ZL : / XR : / ZR : / Y : )" &amp; CHAR(10) &amp;
    "필터교체",
    "-"
  )
)</f>
        <v>-</v>
      </c>
      <c r="AF17" s="1" t="s">
        <v>16</v>
      </c>
      <c r="AG17" s="2"/>
    </row>
    <row r="18" spans="1:33" x14ac:dyDescent="0.45">
      <c r="A18" s="3">
        <v>45973</v>
      </c>
      <c r="B18" s="24">
        <f t="shared" si="8"/>
        <v>12</v>
      </c>
      <c r="C18" s="7" t="str">
        <f t="shared" si="0"/>
        <v>Dimensions: L W H</v>
      </c>
      <c r="D18" s="6" t="str">
        <f t="shared" si="1"/>
        <v>완료</v>
      </c>
      <c r="E18" s="4">
        <v>23</v>
      </c>
      <c r="F18" s="6">
        <f t="shared" si="16"/>
        <v>5</v>
      </c>
      <c r="G18" s="90" t="str">
        <f t="shared" si="9"/>
        <v>-</v>
      </c>
      <c r="H18" s="90" t="str">
        <f t="shared" si="10"/>
        <v>-</v>
      </c>
      <c r="I18" s="6">
        <f t="shared" si="17"/>
        <v>5</v>
      </c>
      <c r="K18" s="90" t="str">
        <f>IF(NOT(LEN($I18)=0),K17,"")</f>
        <v>VITA</v>
      </c>
      <c r="L18" s="90" t="str">
        <f>IF(NOT(LEN($I18)=0),L17,"")</f>
        <v>MARK II</v>
      </c>
      <c r="M18" s="90">
        <f t="shared" si="11"/>
        <v>160</v>
      </c>
      <c r="N18" s="90" t="str">
        <f t="shared" si="12"/>
        <v>-</v>
      </c>
      <c r="O18" s="24">
        <f>IF(LEN(A18)&gt;0, 종합!$C$27, "")</f>
        <v>2.2599999999999998</v>
      </c>
    </row>
    <row r="19" spans="1:33" x14ac:dyDescent="0.45">
      <c r="A19" s="3">
        <v>45973</v>
      </c>
      <c r="B19" s="24">
        <f t="shared" si="8"/>
        <v>13</v>
      </c>
      <c r="C19" s="7" t="str">
        <f t="shared" si="0"/>
        <v>Dimensions: L W H</v>
      </c>
      <c r="D19" s="6" t="str">
        <f t="shared" ref="D19:D22" si="18">IF(NOT(LEN(B19)=0),"진행중","")</f>
        <v>진행중</v>
      </c>
      <c r="E19" s="90">
        <v>21</v>
      </c>
      <c r="F19" s="87">
        <f t="shared" si="16"/>
        <v>6</v>
      </c>
      <c r="G19" s="90" t="str">
        <f t="shared" si="9"/>
        <v>-</v>
      </c>
      <c r="H19" s="90" t="str">
        <f t="shared" si="10"/>
        <v>-</v>
      </c>
      <c r="I19" s="87">
        <f t="shared" si="17"/>
        <v>6</v>
      </c>
      <c r="K19" s="90" t="str">
        <f t="shared" ref="K19:K22" si="19">IF(NOT(LEN($I19)=0),K18,"")</f>
        <v>VITA</v>
      </c>
      <c r="L19" s="90" t="str">
        <f t="shared" ref="L19:L22" si="20">IF(NOT(LEN($I19)=0),L18,"")</f>
        <v>MARK II</v>
      </c>
      <c r="M19" s="90">
        <f t="shared" ref="M19:M22" si="21">IF(NOT(LEN($I19)=0),M18,"")</f>
        <v>160</v>
      </c>
      <c r="N19" s="90" t="str">
        <f t="shared" ref="N19:N22" si="22">IF(NOT(LEN($I19)=0),N18,"")</f>
        <v>-</v>
      </c>
      <c r="O19" s="24">
        <f>IF(LEN(A19)&gt;0, 종합!$C$27, "")</f>
        <v>2.2599999999999998</v>
      </c>
    </row>
    <row r="20" spans="1:33" x14ac:dyDescent="0.45">
      <c r="B20" s="24" t="str">
        <f t="shared" si="8"/>
        <v/>
      </c>
      <c r="C20" s="7" t="str">
        <f t="shared" si="0"/>
        <v/>
      </c>
      <c r="D20" s="6" t="str">
        <f t="shared" si="18"/>
        <v/>
      </c>
      <c r="E20" s="89" t="str">
        <f>IF(NOT(LEN(C20)=0),"누락","")</f>
        <v/>
      </c>
      <c r="F20" s="87" t="str">
        <f t="shared" si="16"/>
        <v/>
      </c>
      <c r="I20" s="87" t="str">
        <f t="shared" si="17"/>
        <v/>
      </c>
      <c r="K20" s="90" t="str">
        <f t="shared" si="19"/>
        <v/>
      </c>
      <c r="L20" s="90" t="str">
        <f t="shared" si="20"/>
        <v/>
      </c>
      <c r="M20" s="90" t="str">
        <f t="shared" si="21"/>
        <v/>
      </c>
      <c r="N20" s="90" t="str">
        <f t="shared" si="22"/>
        <v/>
      </c>
      <c r="O20" s="24" t="str">
        <f>IF(LEN(A20)&gt;0, 종합!$C$27, "")</f>
        <v/>
      </c>
    </row>
    <row r="21" spans="1:33" x14ac:dyDescent="0.45">
      <c r="B21" s="24" t="str">
        <f t="shared" si="8"/>
        <v/>
      </c>
      <c r="C21" s="7" t="str">
        <f t="shared" si="0"/>
        <v/>
      </c>
      <c r="D21" s="6" t="str">
        <f t="shared" si="18"/>
        <v/>
      </c>
      <c r="E21" s="89" t="str">
        <f>IF(NOT(LEN(C21)=0),"누락","")</f>
        <v/>
      </c>
      <c r="F21" s="87" t="str">
        <f t="shared" si="16"/>
        <v/>
      </c>
      <c r="I21" s="87" t="str">
        <f t="shared" si="17"/>
        <v/>
      </c>
      <c r="K21" s="90" t="str">
        <f t="shared" si="19"/>
        <v/>
      </c>
      <c r="L21" s="90" t="str">
        <f t="shared" si="20"/>
        <v/>
      </c>
      <c r="M21" s="90" t="str">
        <f t="shared" si="21"/>
        <v/>
      </c>
      <c r="N21" s="90" t="str">
        <f t="shared" si="22"/>
        <v/>
      </c>
      <c r="O21" s="24" t="str">
        <f>IF(LEN(A21)&gt;0, 종합!$C$27, "")</f>
        <v/>
      </c>
    </row>
    <row r="22" spans="1:33" x14ac:dyDescent="0.45">
      <c r="B22" s="24" t="str">
        <f t="shared" si="8"/>
        <v/>
      </c>
      <c r="C22" s="7" t="str">
        <f t="shared" si="0"/>
        <v/>
      </c>
      <c r="D22" s="6" t="str">
        <f t="shared" si="18"/>
        <v/>
      </c>
      <c r="E22" s="89" t="str">
        <f>IF(NOT(LEN(C22)=0),"누락","")</f>
        <v/>
      </c>
      <c r="F22" s="87" t="str">
        <f t="shared" si="16"/>
        <v/>
      </c>
      <c r="I22" s="87" t="str">
        <f t="shared" si="17"/>
        <v/>
      </c>
      <c r="K22" s="90" t="str">
        <f t="shared" si="19"/>
        <v/>
      </c>
      <c r="L22" s="90" t="str">
        <f t="shared" si="20"/>
        <v/>
      </c>
      <c r="M22" s="90" t="str">
        <f t="shared" si="21"/>
        <v/>
      </c>
      <c r="N22" s="90" t="str">
        <f t="shared" si="22"/>
        <v/>
      </c>
      <c r="O22" s="24" t="str">
        <f>IF(LEN(A22)&gt;0, 종합!$C$27, "")</f>
        <v/>
      </c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Y5:AC5"/>
    <mergeCell ref="Q4:AC4"/>
    <mergeCell ref="F5:I5"/>
    <mergeCell ref="A2:A5"/>
    <mergeCell ref="U5:X5"/>
    <mergeCell ref="AF2:AG6"/>
    <mergeCell ref="Q5:T5"/>
    <mergeCell ref="P2:AE3"/>
    <mergeCell ref="B2:E5"/>
    <mergeCell ref="K5:N5"/>
    <mergeCell ref="F2:O4"/>
  </mergeCells>
  <phoneticPr fontId="1" type="noConversion"/>
  <conditionalFormatting sqref="D7:D18">
    <cfRule type="containsText" dxfId="874" priority="209" operator="containsText" text="완료">
      <formula>NOT(ISERROR(SEARCH("완료",D7)))</formula>
    </cfRule>
    <cfRule type="containsText" dxfId="873" priority="210" operator="containsText" text="중단">
      <formula>NOT(ISERROR(SEARCH("중단",D7)))</formula>
    </cfRule>
  </conditionalFormatting>
  <conditionalFormatting sqref="H7 F7:F10">
    <cfRule type="containsText" dxfId="872" priority="206" operator="containsText" text="신품">
      <formula>NOT(ISERROR(SEARCH("신품",F7)))</formula>
    </cfRule>
    <cfRule type="containsText" dxfId="871" priority="208" operator="containsText" text="중고">
      <formula>NOT(ISERROR(SEARCH("중고",F7)))</formula>
    </cfRule>
  </conditionalFormatting>
  <conditionalFormatting sqref="I7:I10">
    <cfRule type="containsText" dxfId="870" priority="204" operator="containsText" text="신품">
      <formula>NOT(ISERROR(SEARCH("신품",I7)))</formula>
    </cfRule>
    <cfRule type="containsText" dxfId="869" priority="205" operator="containsText" text="중고">
      <formula>NOT(ISERROR(SEARCH("중고",I7)))</formula>
    </cfRule>
  </conditionalFormatting>
  <conditionalFormatting sqref="D11">
    <cfRule type="containsText" dxfId="868" priority="200" operator="containsText" text="완료">
      <formula>NOT(ISERROR(SEARCH("완료",D11)))</formula>
    </cfRule>
    <cfRule type="containsText" dxfId="867" priority="201" operator="containsText" text="중단">
      <formula>NOT(ISERROR(SEARCH("중단",D11)))</formula>
    </cfRule>
  </conditionalFormatting>
  <conditionalFormatting sqref="F11">
    <cfRule type="containsText" dxfId="866" priority="198" operator="containsText" text="신품">
      <formula>NOT(ISERROR(SEARCH("신품",F11)))</formula>
    </cfRule>
    <cfRule type="containsText" dxfId="865" priority="199" operator="containsText" text="중고">
      <formula>NOT(ISERROR(SEARCH("중고",F11)))</formula>
    </cfRule>
  </conditionalFormatting>
  <conditionalFormatting sqref="I11">
    <cfRule type="containsText" dxfId="864" priority="196" operator="containsText" text="신품">
      <formula>NOT(ISERROR(SEARCH("신품",I11)))</formula>
    </cfRule>
    <cfRule type="containsText" dxfId="863" priority="197" operator="containsText" text="중고">
      <formula>NOT(ISERROR(SEARCH("중고",I11)))</formula>
    </cfRule>
  </conditionalFormatting>
  <conditionalFormatting sqref="D12:D18">
    <cfRule type="containsText" dxfId="862" priority="194" operator="containsText" text="완료">
      <formula>NOT(ISERROR(SEARCH("완료",D12)))</formula>
    </cfRule>
    <cfRule type="containsText" dxfId="861" priority="195" operator="containsText" text="중단">
      <formula>NOT(ISERROR(SEARCH("중단",D12)))</formula>
    </cfRule>
  </conditionalFormatting>
  <conditionalFormatting sqref="F12">
    <cfRule type="containsText" dxfId="860" priority="192" operator="containsText" text="신품">
      <formula>NOT(ISERROR(SEARCH("신품",F12)))</formula>
    </cfRule>
    <cfRule type="containsText" dxfId="859" priority="193" operator="containsText" text="중고">
      <formula>NOT(ISERROR(SEARCH("중고",F12)))</formula>
    </cfRule>
  </conditionalFormatting>
  <conditionalFormatting sqref="I12">
    <cfRule type="containsText" dxfId="858" priority="190" operator="containsText" text="신품">
      <formula>NOT(ISERROR(SEARCH("신품",I12)))</formula>
    </cfRule>
    <cfRule type="containsText" dxfId="857" priority="191" operator="containsText" text="중고">
      <formula>NOT(ISERROR(SEARCH("중고",I12)))</formula>
    </cfRule>
  </conditionalFormatting>
  <conditionalFormatting sqref="D13:D18">
    <cfRule type="containsText" dxfId="856" priority="188" operator="containsText" text="완료">
      <formula>NOT(ISERROR(SEARCH("완료",D13)))</formula>
    </cfRule>
    <cfRule type="containsText" dxfId="855" priority="189" operator="containsText" text="중단">
      <formula>NOT(ISERROR(SEARCH("중단",D13)))</formula>
    </cfRule>
  </conditionalFormatting>
  <conditionalFormatting sqref="D23 D7:D18">
    <cfRule type="containsText" dxfId="850" priority="183" operator="containsText" text="진행중">
      <formula>NOT(ISERROR(SEARCH("진행중",D7)))</formula>
    </cfRule>
  </conditionalFormatting>
  <conditionalFormatting sqref="D8:D22">
    <cfRule type="containsText" dxfId="837" priority="169" operator="containsText" text="완료">
      <formula>NOT(ISERROR(SEARCH("완료",D8)))</formula>
    </cfRule>
    <cfRule type="containsText" dxfId="836" priority="170" operator="containsText" text="중단">
      <formula>NOT(ISERROR(SEARCH("중단",D8)))</formula>
    </cfRule>
  </conditionalFormatting>
  <conditionalFormatting sqref="D8:D22">
    <cfRule type="containsText" dxfId="835" priority="167" operator="containsText" text="완료">
      <formula>NOT(ISERROR(SEARCH("완료",D8)))</formula>
    </cfRule>
    <cfRule type="containsText" dxfId="834" priority="168" operator="containsText" text="중단">
      <formula>NOT(ISERROR(SEARCH("중단",D8)))</formula>
    </cfRule>
  </conditionalFormatting>
  <conditionalFormatting sqref="D8:D22">
    <cfRule type="containsText" dxfId="833" priority="166" operator="containsText" text="진행중">
      <formula>NOT(ISERROR(SEARCH("진행중",D8)))</formula>
    </cfRule>
  </conditionalFormatting>
  <conditionalFormatting sqref="F14:F22">
    <cfRule type="containsText" dxfId="827" priority="159" operator="containsText" text="완료">
      <formula>NOT(ISERROR(SEARCH("완료",F14)))</formula>
    </cfRule>
    <cfRule type="containsText" dxfId="826" priority="160" operator="containsText" text="중단">
      <formula>NOT(ISERROR(SEARCH("중단",F14)))</formula>
    </cfRule>
  </conditionalFormatting>
  <conditionalFormatting sqref="F14:F22">
    <cfRule type="containsText" dxfId="825" priority="157" operator="containsText" text="완료">
      <formula>NOT(ISERROR(SEARCH("완료",F14)))</formula>
    </cfRule>
    <cfRule type="containsText" dxfId="824" priority="158" operator="containsText" text="중단">
      <formula>NOT(ISERROR(SEARCH("중단",F14)))</formula>
    </cfRule>
  </conditionalFormatting>
  <conditionalFormatting sqref="F14:F22">
    <cfRule type="containsText" dxfId="823" priority="156" operator="containsText" text="진행중">
      <formula>NOT(ISERROR(SEARCH("진행중",F14)))</formula>
    </cfRule>
  </conditionalFormatting>
  <conditionalFormatting sqref="K8:K17">
    <cfRule type="containsText" dxfId="822" priority="49" operator="containsText" text="완료">
      <formula>NOT(ISERROR(SEARCH("완료",K8)))</formula>
    </cfRule>
    <cfRule type="containsText" dxfId="821" priority="50" operator="containsText" text="중단">
      <formula>NOT(ISERROR(SEARCH("중단",K8)))</formula>
    </cfRule>
  </conditionalFormatting>
  <conditionalFormatting sqref="K8:K17">
    <cfRule type="containsText" dxfId="820" priority="47" operator="containsText" text="완료">
      <formula>NOT(ISERROR(SEARCH("완료",K8)))</formula>
    </cfRule>
    <cfRule type="containsText" dxfId="819" priority="48" operator="containsText" text="중단">
      <formula>NOT(ISERROR(SEARCH("중단",K8)))</formula>
    </cfRule>
  </conditionalFormatting>
  <conditionalFormatting sqref="K8:K17">
    <cfRule type="containsText" dxfId="818" priority="46" operator="containsText" text="진행중">
      <formula>NOT(ISERROR(SEARCH("진행중",K8)))</formula>
    </cfRule>
  </conditionalFormatting>
  <conditionalFormatting sqref="L8:L17">
    <cfRule type="containsText" dxfId="817" priority="44" operator="containsText" text="완료">
      <formula>NOT(ISERROR(SEARCH("완료",L8)))</formula>
    </cfRule>
    <cfRule type="containsText" dxfId="816" priority="45" operator="containsText" text="중단">
      <formula>NOT(ISERROR(SEARCH("중단",L8)))</formula>
    </cfRule>
  </conditionalFormatting>
  <conditionalFormatting sqref="L8:L17">
    <cfRule type="containsText" dxfId="815" priority="42" operator="containsText" text="완료">
      <formula>NOT(ISERROR(SEARCH("완료",L8)))</formula>
    </cfRule>
    <cfRule type="containsText" dxfId="814" priority="43" operator="containsText" text="중단">
      <formula>NOT(ISERROR(SEARCH("중단",L8)))</formula>
    </cfRule>
  </conditionalFormatting>
  <conditionalFormatting sqref="L8:L17">
    <cfRule type="containsText" dxfId="813" priority="41" operator="containsText" text="진행중">
      <formula>NOT(ISERROR(SEARCH("진행중",L8)))</formula>
    </cfRule>
  </conditionalFormatting>
  <conditionalFormatting sqref="M8:N22">
    <cfRule type="containsText" dxfId="807" priority="34" operator="containsText" text="완료">
      <formula>NOT(ISERROR(SEARCH("완료",M8)))</formula>
    </cfRule>
    <cfRule type="containsText" dxfId="806" priority="35" operator="containsText" text="중단">
      <formula>NOT(ISERROR(SEARCH("중단",M8)))</formula>
    </cfRule>
  </conditionalFormatting>
  <conditionalFormatting sqref="M8:N22">
    <cfRule type="containsText" dxfId="805" priority="32" operator="containsText" text="완료">
      <formula>NOT(ISERROR(SEARCH("완료",M8)))</formula>
    </cfRule>
    <cfRule type="containsText" dxfId="804" priority="33" operator="containsText" text="중단">
      <formula>NOT(ISERROR(SEARCH("중단",M8)))</formula>
    </cfRule>
  </conditionalFormatting>
  <conditionalFormatting sqref="M8:N22">
    <cfRule type="containsText" dxfId="803" priority="31" operator="containsText" text="진행중">
      <formula>NOT(ISERROR(SEARCH("진행중",M8)))</formula>
    </cfRule>
  </conditionalFormatting>
  <conditionalFormatting sqref="E19">
    <cfRule type="containsText" dxfId="792" priority="24" operator="containsText" text="완료">
      <formula>NOT(ISERROR(SEARCH("완료",E19)))</formula>
    </cfRule>
    <cfRule type="containsText" dxfId="791" priority="25" operator="containsText" text="중단">
      <formula>NOT(ISERROR(SEARCH("중단",E19)))</formula>
    </cfRule>
  </conditionalFormatting>
  <conditionalFormatting sqref="E19">
    <cfRule type="containsText" dxfId="790" priority="22" operator="containsText" text="완료">
      <formula>NOT(ISERROR(SEARCH("완료",E19)))</formula>
    </cfRule>
    <cfRule type="containsText" dxfId="789" priority="23" operator="containsText" text="중단">
      <formula>NOT(ISERROR(SEARCH("중단",E19)))</formula>
    </cfRule>
  </conditionalFormatting>
  <conditionalFormatting sqref="E19">
    <cfRule type="containsText" dxfId="788" priority="21" operator="containsText" text="진행중">
      <formula>NOT(ISERROR(SEARCH("진행중",E19)))</formula>
    </cfRule>
  </conditionalFormatting>
  <conditionalFormatting sqref="I14:I22">
    <cfRule type="containsText" dxfId="782" priority="114" operator="containsText" text="완료">
      <formula>NOT(ISERROR(SEARCH("완료",I14)))</formula>
    </cfRule>
    <cfRule type="containsText" dxfId="781" priority="115" operator="containsText" text="중단">
      <formula>NOT(ISERROR(SEARCH("중단",I14)))</formula>
    </cfRule>
  </conditionalFormatting>
  <conditionalFormatting sqref="I14:I22">
    <cfRule type="containsText" dxfId="780" priority="112" operator="containsText" text="완료">
      <formula>NOT(ISERROR(SEARCH("완료",I14)))</formula>
    </cfRule>
    <cfRule type="containsText" dxfId="779" priority="113" operator="containsText" text="중단">
      <formula>NOT(ISERROR(SEARCH("중단",I14)))</formula>
    </cfRule>
  </conditionalFormatting>
  <conditionalFormatting sqref="I14:I22">
    <cfRule type="containsText" dxfId="778" priority="111" operator="containsText" text="진행중">
      <formula>NOT(ISERROR(SEARCH("진행중",I14)))</formula>
    </cfRule>
  </conditionalFormatting>
  <conditionalFormatting sqref="F13">
    <cfRule type="containsText" dxfId="777" priority="109" operator="containsText" text="완료">
      <formula>NOT(ISERROR(SEARCH("완료",F13)))</formula>
    </cfRule>
    <cfRule type="containsText" dxfId="776" priority="110" operator="containsText" text="중단">
      <formula>NOT(ISERROR(SEARCH("중단",F13)))</formula>
    </cfRule>
  </conditionalFormatting>
  <conditionalFormatting sqref="F13">
    <cfRule type="containsText" dxfId="775" priority="107" operator="containsText" text="완료">
      <formula>NOT(ISERROR(SEARCH("완료",F13)))</formula>
    </cfRule>
    <cfRule type="containsText" dxfId="774" priority="108" operator="containsText" text="중단">
      <formula>NOT(ISERROR(SEARCH("중단",F13)))</formula>
    </cfRule>
  </conditionalFormatting>
  <conditionalFormatting sqref="F13">
    <cfRule type="containsText" dxfId="773" priority="106" operator="containsText" text="진행중">
      <formula>NOT(ISERROR(SEARCH("진행중",F13)))</formula>
    </cfRule>
  </conditionalFormatting>
  <conditionalFormatting sqref="I13">
    <cfRule type="containsText" dxfId="772" priority="104" operator="containsText" text="완료">
      <formula>NOT(ISERROR(SEARCH("완료",I13)))</formula>
    </cfRule>
    <cfRule type="containsText" dxfId="771" priority="105" operator="containsText" text="중단">
      <formula>NOT(ISERROR(SEARCH("중단",I13)))</formula>
    </cfRule>
  </conditionalFormatting>
  <conditionalFormatting sqref="I13">
    <cfRule type="containsText" dxfId="770" priority="102" operator="containsText" text="완료">
      <formula>NOT(ISERROR(SEARCH("완료",I13)))</formula>
    </cfRule>
    <cfRule type="containsText" dxfId="769" priority="103" operator="containsText" text="중단">
      <formula>NOT(ISERROR(SEARCH("중단",I13)))</formula>
    </cfRule>
  </conditionalFormatting>
  <conditionalFormatting sqref="I13">
    <cfRule type="containsText" dxfId="768" priority="101" operator="containsText" text="진행중">
      <formula>NOT(ISERROR(SEARCH("진행중",I13)))</formula>
    </cfRule>
  </conditionalFormatting>
  <conditionalFormatting sqref="E20:E22">
    <cfRule type="containsText" dxfId="767" priority="14" operator="containsText" text="완료">
      <formula>NOT(ISERROR(SEARCH("완료",E20)))</formula>
    </cfRule>
    <cfRule type="containsText" dxfId="766" priority="15" operator="containsText" text="중단">
      <formula>NOT(ISERROR(SEARCH("중단",E20)))</formula>
    </cfRule>
  </conditionalFormatting>
  <conditionalFormatting sqref="E20:E22">
    <cfRule type="containsText" dxfId="765" priority="12" operator="containsText" text="완료">
      <formula>NOT(ISERROR(SEARCH("완료",E20)))</formula>
    </cfRule>
    <cfRule type="containsText" dxfId="764" priority="13" operator="containsText" text="중단">
      <formula>NOT(ISERROR(SEARCH("중단",E20)))</formula>
    </cfRule>
  </conditionalFormatting>
  <conditionalFormatting sqref="E20:E22">
    <cfRule type="containsText" dxfId="763" priority="11" operator="containsText" text="진행중">
      <formula>NOT(ISERROR(SEARCH("진행중",E20)))</formula>
    </cfRule>
  </conditionalFormatting>
  <conditionalFormatting sqref="K18:K22">
    <cfRule type="containsText" dxfId="762" priority="94" operator="containsText" text="완료">
      <formula>NOT(ISERROR(SEARCH("완료",K18)))</formula>
    </cfRule>
    <cfRule type="containsText" dxfId="761" priority="95" operator="containsText" text="중단">
      <formula>NOT(ISERROR(SEARCH("중단",K18)))</formula>
    </cfRule>
  </conditionalFormatting>
  <conditionalFormatting sqref="K18:K22">
    <cfRule type="containsText" dxfId="760" priority="92" operator="containsText" text="완료">
      <formula>NOT(ISERROR(SEARCH("완료",K18)))</formula>
    </cfRule>
    <cfRule type="containsText" dxfId="759" priority="93" operator="containsText" text="중단">
      <formula>NOT(ISERROR(SEARCH("중단",K18)))</formula>
    </cfRule>
  </conditionalFormatting>
  <conditionalFormatting sqref="K18:K22">
    <cfRule type="containsText" dxfId="758" priority="91" operator="containsText" text="진행중">
      <formula>NOT(ISERROR(SEARCH("진행중",K18)))</formula>
    </cfRule>
  </conditionalFormatting>
  <conditionalFormatting sqref="L18:L22">
    <cfRule type="containsText" dxfId="752" priority="84" operator="containsText" text="완료">
      <formula>NOT(ISERROR(SEARCH("완료",L18)))</formula>
    </cfRule>
    <cfRule type="containsText" dxfId="751" priority="85" operator="containsText" text="중단">
      <formula>NOT(ISERROR(SEARCH("중단",L18)))</formula>
    </cfRule>
  </conditionalFormatting>
  <conditionalFormatting sqref="L18:L22">
    <cfRule type="containsText" dxfId="750" priority="82" operator="containsText" text="완료">
      <formula>NOT(ISERROR(SEARCH("완료",L18)))</formula>
    </cfRule>
    <cfRule type="containsText" dxfId="749" priority="83" operator="containsText" text="중단">
      <formula>NOT(ISERROR(SEARCH("중단",L18)))</formula>
    </cfRule>
  </conditionalFormatting>
  <conditionalFormatting sqref="L18:L22">
    <cfRule type="containsText" dxfId="748" priority="81" operator="containsText" text="진행중">
      <formula>NOT(ISERROR(SEARCH("진행중",L18)))</formula>
    </cfRule>
  </conditionalFormatting>
  <conditionalFormatting sqref="G8:G19">
    <cfRule type="containsText" dxfId="103" priority="9" operator="containsText" text="완료">
      <formula>NOT(ISERROR(SEARCH("완료",G8)))</formula>
    </cfRule>
    <cfRule type="containsText" dxfId="102" priority="10" operator="containsText" text="중단">
      <formula>NOT(ISERROR(SEARCH("중단",G8)))</formula>
    </cfRule>
  </conditionalFormatting>
  <conditionalFormatting sqref="G8:G19">
    <cfRule type="containsText" dxfId="101" priority="7" operator="containsText" text="완료">
      <formula>NOT(ISERROR(SEARCH("완료",G8)))</formula>
    </cfRule>
    <cfRule type="containsText" dxfId="100" priority="8" operator="containsText" text="중단">
      <formula>NOT(ISERROR(SEARCH("중단",G8)))</formula>
    </cfRule>
  </conditionalFormatting>
  <conditionalFormatting sqref="G8:G19">
    <cfRule type="containsText" dxfId="99" priority="6" operator="containsText" text="진행중">
      <formula>NOT(ISERROR(SEARCH("진행중",G8)))</formula>
    </cfRule>
  </conditionalFormatting>
  <conditionalFormatting sqref="H8:H19">
    <cfRule type="containsText" dxfId="81" priority="4" operator="containsText" text="완료">
      <formula>NOT(ISERROR(SEARCH("완료",H8)))</formula>
    </cfRule>
    <cfRule type="containsText" dxfId="80" priority="5" operator="containsText" text="중단">
      <formula>NOT(ISERROR(SEARCH("중단",H8)))</formula>
    </cfRule>
  </conditionalFormatting>
  <conditionalFormatting sqref="H8:H19">
    <cfRule type="containsText" dxfId="79" priority="2" operator="containsText" text="완료">
      <formula>NOT(ISERROR(SEARCH("완료",H8)))</formula>
    </cfRule>
    <cfRule type="containsText" dxfId="78" priority="3" operator="containsText" text="중단">
      <formula>NOT(ISERROR(SEARCH("중단",H8)))</formula>
    </cfRule>
  </conditionalFormatting>
  <conditionalFormatting sqref="H8:H19">
    <cfRule type="containsText" dxfId="77" priority="1" operator="containsText" text="진행중">
      <formula>NOT(ISERROR(SEARCH("진행중",H8)))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sheetPr>
    <tabColor theme="0" tint="-0.499984740745262"/>
  </sheetPr>
  <dimension ref="A1:AP23"/>
  <sheetViews>
    <sheetView zoomScale="55" zoomScaleNormal="55" workbookViewId="0">
      <selection activeCell="R19" sqref="R18:R19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65" t="s">
        <v>18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</row>
    <row r="2" spans="1:42" x14ac:dyDescent="0.45">
      <c r="A2" s="53" t="s">
        <v>10</v>
      </c>
      <c r="B2" s="54" t="s">
        <v>92</v>
      </c>
      <c r="C2" s="55"/>
      <c r="D2" s="55"/>
      <c r="E2" s="55"/>
      <c r="F2" s="53" t="s">
        <v>111</v>
      </c>
      <c r="G2" s="53"/>
      <c r="H2" s="53"/>
      <c r="I2" s="53"/>
      <c r="J2" s="53"/>
      <c r="K2" s="53"/>
      <c r="L2" s="53"/>
      <c r="M2" s="53"/>
      <c r="N2" s="53"/>
      <c r="O2" s="53"/>
      <c r="P2" s="54" t="s">
        <v>26</v>
      </c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/>
      <c r="AF2" s="54" t="s">
        <v>9</v>
      </c>
      <c r="AG2" s="56"/>
    </row>
    <row r="3" spans="1:42" x14ac:dyDescent="0.45">
      <c r="A3" s="53"/>
      <c r="B3" s="60"/>
      <c r="C3" s="63"/>
      <c r="D3" s="63"/>
      <c r="E3" s="63"/>
      <c r="F3" s="53"/>
      <c r="G3" s="53"/>
      <c r="H3" s="53"/>
      <c r="I3" s="53"/>
      <c r="J3" s="53"/>
      <c r="K3" s="53"/>
      <c r="L3" s="53"/>
      <c r="M3" s="53"/>
      <c r="N3" s="53"/>
      <c r="O3" s="53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9"/>
      <c r="AF3" s="60"/>
      <c r="AG3" s="61"/>
    </row>
    <row r="4" spans="1:42" x14ac:dyDescent="0.45">
      <c r="A4" s="53"/>
      <c r="B4" s="60"/>
      <c r="C4" s="63"/>
      <c r="D4" s="63"/>
      <c r="E4" s="63"/>
      <c r="F4" s="53"/>
      <c r="G4" s="53"/>
      <c r="H4" s="53"/>
      <c r="I4" s="53"/>
      <c r="J4" s="53"/>
      <c r="K4" s="53"/>
      <c r="L4" s="53"/>
      <c r="M4" s="53"/>
      <c r="N4" s="53"/>
      <c r="O4" s="53"/>
      <c r="P4" s="18"/>
      <c r="Q4" s="51" t="s">
        <v>33</v>
      </c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2"/>
      <c r="AD4" s="11" t="s">
        <v>34</v>
      </c>
      <c r="AE4" s="11" t="s">
        <v>35</v>
      </c>
      <c r="AF4" s="60"/>
      <c r="AG4" s="61"/>
    </row>
    <row r="5" spans="1:42" x14ac:dyDescent="0.45">
      <c r="A5" s="53"/>
      <c r="B5" s="57"/>
      <c r="C5" s="58"/>
      <c r="D5" s="58"/>
      <c r="E5" s="58"/>
      <c r="F5" s="62" t="s">
        <v>36</v>
      </c>
      <c r="G5" s="62"/>
      <c r="H5" s="62"/>
      <c r="I5" s="62"/>
      <c r="J5" s="41"/>
      <c r="K5" s="57" t="s">
        <v>94</v>
      </c>
      <c r="L5" s="58"/>
      <c r="M5" s="58"/>
      <c r="N5" s="59"/>
      <c r="O5" s="42" t="s">
        <v>93</v>
      </c>
      <c r="P5" s="17" t="s">
        <v>30</v>
      </c>
      <c r="Q5" s="50" t="s">
        <v>44</v>
      </c>
      <c r="R5" s="51"/>
      <c r="S5" s="51"/>
      <c r="T5" s="52"/>
      <c r="U5" s="50" t="s">
        <v>19</v>
      </c>
      <c r="V5" s="51"/>
      <c r="W5" s="51"/>
      <c r="X5" s="52"/>
      <c r="Y5" s="64" t="s">
        <v>123</v>
      </c>
      <c r="Z5" s="53"/>
      <c r="AA5" s="53"/>
      <c r="AB5" s="53"/>
      <c r="AC5" s="53"/>
      <c r="AD5" s="13"/>
      <c r="AE5" s="11"/>
      <c r="AF5" s="60"/>
      <c r="AG5" s="61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124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57"/>
      <c r="AG6" s="59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6" si="0">IF(B7="","",
  IF(MOD($B7,1)=0,
    "Dimensions: L W H",
    "-"
  )
)</f>
        <v>Dimensions: L W H</v>
      </c>
      <c r="D7" s="6" t="str">
        <f t="shared" ref="D7:D18" si="1">IF(E7="","",
  IF(MOD($B7,1)=0,
    "완료",
    "-"
  )
)</f>
        <v>완료</v>
      </c>
      <c r="E7" s="24">
        <v>19</v>
      </c>
      <c r="F7" s="89" t="s">
        <v>40</v>
      </c>
      <c r="G7" s="24" t="s">
        <v>16</v>
      </c>
      <c r="H7" s="24" t="s">
        <v>16</v>
      </c>
      <c r="I7" s="8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2">IF(MOD($B7,5)=0, "스핀들유격: ","-" 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ref="U7:AB10" si="3">IF(MOD($B7,5)=0, "000-000","-" )</f>
        <v>-</v>
      </c>
      <c r="V7" s="7" t="str">
        <f t="shared" si="3"/>
        <v>-</v>
      </c>
      <c r="W7" s="7" t="str">
        <f t="shared" si="3"/>
        <v>-</v>
      </c>
      <c r="X7" s="7" t="str">
        <f t="shared" si="3"/>
        <v>-</v>
      </c>
      <c r="Y7" s="7" t="str">
        <f t="shared" si="3"/>
        <v>-</v>
      </c>
      <c r="Z7" s="7" t="str">
        <f t="shared" si="3"/>
        <v>-</v>
      </c>
      <c r="AA7" s="7" t="str">
        <f t="shared" si="3"/>
        <v>-</v>
      </c>
      <c r="AB7" s="7" t="str">
        <f t="shared" si="3"/>
        <v>-</v>
      </c>
      <c r="AC7" s="7" t="str">
        <f>IF(MOD($B7,5)=0, "스핀들소음 :","-" )</f>
        <v>-</v>
      </c>
      <c r="AD7" s="7" t="str">
        <f t="shared" ref="AD7:AD17" si="4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89" t="s">
        <v>40</v>
      </c>
      <c r="G8" s="91" t="str">
        <f>IF(NOT(LEN($I8)=0),G7,"")</f>
        <v>-</v>
      </c>
      <c r="H8" s="91" t="str">
        <f>IF(NOT(LEN($I8)=0),H7,"")</f>
        <v>-</v>
      </c>
      <c r="I8" s="89" t="s">
        <v>40</v>
      </c>
      <c r="J8" s="1"/>
      <c r="K8" s="91" t="str">
        <f t="shared" ref="K8:K17" si="5">IF(NOT(LEN($I8)=0),K7,"")</f>
        <v>VITA</v>
      </c>
      <c r="L8" s="91" t="str">
        <f t="shared" ref="L8:L17" si="6">IF(NOT(LEN($I8)=0),L7,"")</f>
        <v>MARK II</v>
      </c>
      <c r="M8" s="91">
        <f t="shared" ref="M8:M17" si="7">IF(NOT(LEN($I8)=0),M7,"")</f>
        <v>160</v>
      </c>
      <c r="N8" s="91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3"/>
        <v>-</v>
      </c>
      <c r="V8" s="7" t="str">
        <f t="shared" si="3"/>
        <v>-</v>
      </c>
      <c r="W8" s="7" t="str">
        <f t="shared" si="3"/>
        <v>-</v>
      </c>
      <c r="X8" s="7" t="str">
        <f t="shared" si="3"/>
        <v>-</v>
      </c>
      <c r="Y8" s="7" t="str">
        <f t="shared" si="3"/>
        <v>-</v>
      </c>
      <c r="Z8" s="7" t="str">
        <f t="shared" si="3"/>
        <v>-</v>
      </c>
      <c r="AA8" s="7" t="str">
        <f t="shared" si="3"/>
        <v>-</v>
      </c>
      <c r="AB8" s="7" t="str">
        <f t="shared" si="3"/>
        <v>-</v>
      </c>
      <c r="AC8" s="7" t="str">
        <f>IF(MOD($B8,5)=0, "스핀들소음 :","-" )</f>
        <v>-</v>
      </c>
      <c r="AD8" s="7" t="str">
        <f t="shared" si="4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2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89" t="s">
        <v>40</v>
      </c>
      <c r="G9" s="91" t="str">
        <f t="shared" ref="G9:G19" si="9">IF(NOT(LEN($I9)=0),G8,"")</f>
        <v>-</v>
      </c>
      <c r="H9" s="91" t="str">
        <f t="shared" ref="H9:H19" si="10">IF(NOT(LEN($I9)=0),H8,"")</f>
        <v>-</v>
      </c>
      <c r="I9" s="89" t="s">
        <v>40</v>
      </c>
      <c r="J9" s="1"/>
      <c r="K9" s="91" t="str">
        <f t="shared" si="5"/>
        <v>VITA</v>
      </c>
      <c r="L9" s="91" t="str">
        <f t="shared" si="6"/>
        <v>MARK II</v>
      </c>
      <c r="M9" s="91">
        <f t="shared" ref="M9:M18" si="11">IF(NOT(LEN($I9)=0),M8,"")</f>
        <v>160</v>
      </c>
      <c r="N9" s="91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3"/>
        <v>-</v>
      </c>
      <c r="V9" s="7" t="str">
        <f t="shared" si="3"/>
        <v>-</v>
      </c>
      <c r="W9" s="7" t="str">
        <f t="shared" si="3"/>
        <v>-</v>
      </c>
      <c r="X9" s="7" t="str">
        <f t="shared" si="3"/>
        <v>-</v>
      </c>
      <c r="Y9" s="7" t="str">
        <f t="shared" si="3"/>
        <v>-</v>
      </c>
      <c r="Z9" s="7" t="str">
        <f t="shared" si="3"/>
        <v>-</v>
      </c>
      <c r="AA9" s="7" t="str">
        <f t="shared" si="3"/>
        <v>-</v>
      </c>
      <c r="AB9" s="7" t="str">
        <f t="shared" si="3"/>
        <v>-</v>
      </c>
      <c r="AC9" s="7" t="str">
        <f>IF(MOD($B9,5)=0, "스핀들소음 :","-" )</f>
        <v>-</v>
      </c>
      <c r="AD9" s="7" t="str">
        <f t="shared" si="4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89" t="s">
        <v>40</v>
      </c>
      <c r="G10" s="91" t="str">
        <f t="shared" si="9"/>
        <v>-</v>
      </c>
      <c r="H10" s="91" t="str">
        <f t="shared" si="10"/>
        <v>-</v>
      </c>
      <c r="I10" s="89" t="s">
        <v>40</v>
      </c>
      <c r="J10" s="1"/>
      <c r="K10" s="91" t="str">
        <f t="shared" si="5"/>
        <v>VITA</v>
      </c>
      <c r="L10" s="91" t="str">
        <f t="shared" si="6"/>
        <v>MARK II</v>
      </c>
      <c r="M10" s="91">
        <f t="shared" si="11"/>
        <v>160</v>
      </c>
      <c r="N10" s="91" t="str">
        <f t="shared" si="12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3"/>
        <v>-</v>
      </c>
      <c r="V10" s="7" t="str">
        <f t="shared" si="3"/>
        <v>-</v>
      </c>
      <c r="W10" s="7" t="str">
        <f t="shared" si="3"/>
        <v>-</v>
      </c>
      <c r="X10" s="7" t="str">
        <f t="shared" si="3"/>
        <v>-</v>
      </c>
      <c r="Y10" s="7" t="str">
        <f t="shared" si="3"/>
        <v>-</v>
      </c>
      <c r="Z10" s="7" t="str">
        <f t="shared" si="3"/>
        <v>-</v>
      </c>
      <c r="AA10" s="7" t="str">
        <f t="shared" si="3"/>
        <v>-</v>
      </c>
      <c r="AB10" s="7" t="str">
        <f t="shared" si="3"/>
        <v>-</v>
      </c>
      <c r="AC10" s="7" t="str">
        <f>IF(MOD($B10,5)=0, "스핀들소음 :","-" )</f>
        <v>-</v>
      </c>
      <c r="AD10" s="7" t="str">
        <f t="shared" si="4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89" t="s">
        <v>40</v>
      </c>
      <c r="G11" s="91" t="str">
        <f t="shared" si="9"/>
        <v>-</v>
      </c>
      <c r="H11" s="91" t="str">
        <f t="shared" si="10"/>
        <v>-</v>
      </c>
      <c r="I11" s="89" t="s">
        <v>40</v>
      </c>
      <c r="J11" s="1"/>
      <c r="K11" s="91" t="str">
        <f t="shared" si="5"/>
        <v>VITA</v>
      </c>
      <c r="L11" s="91" t="str">
        <f t="shared" si="6"/>
        <v>MARK II</v>
      </c>
      <c r="M11" s="91">
        <f t="shared" si="11"/>
        <v>160</v>
      </c>
      <c r="N11" s="91" t="str">
        <f t="shared" si="12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84</v>
      </c>
      <c r="V11" s="7" t="s">
        <v>85</v>
      </c>
      <c r="W11" s="7" t="s">
        <v>86</v>
      </c>
      <c r="X11" s="7" t="s">
        <v>87</v>
      </c>
      <c r="Y11" s="7" t="s">
        <v>88</v>
      </c>
      <c r="Z11" s="7" t="s">
        <v>89</v>
      </c>
      <c r="AA11" s="7" t="s">
        <v>90</v>
      </c>
      <c r="AB11" s="7" t="s">
        <v>91</v>
      </c>
      <c r="AC11" s="7" t="s">
        <v>67</v>
      </c>
      <c r="AD11" s="7" t="str">
        <f t="shared" si="4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89" t="s">
        <v>40</v>
      </c>
      <c r="G12" s="91" t="str">
        <f t="shared" si="9"/>
        <v>-</v>
      </c>
      <c r="H12" s="91" t="str">
        <f t="shared" si="10"/>
        <v>-</v>
      </c>
      <c r="I12" s="89" t="s">
        <v>40</v>
      </c>
      <c r="J12" s="1"/>
      <c r="K12" s="91" t="str">
        <f t="shared" si="5"/>
        <v>VITA</v>
      </c>
      <c r="L12" s="91" t="str">
        <f t="shared" si="6"/>
        <v>MARK II</v>
      </c>
      <c r="M12" s="91">
        <f t="shared" si="11"/>
        <v>160</v>
      </c>
      <c r="N12" s="91" t="str">
        <f t="shared" si="12"/>
        <v>-</v>
      </c>
      <c r="O12" s="24">
        <f>IF(LEN(A12)&gt;0, 종합!$C$27, "")</f>
        <v>2.2599999999999998</v>
      </c>
      <c r="P12" s="1" t="s">
        <v>16</v>
      </c>
      <c r="Q12" s="7" t="str">
        <f t="shared" ref="Q12:T17" si="13">IF(MOD($B12,5)=0, "스핀들유격: ","-" )</f>
        <v>-</v>
      </c>
      <c r="R12" s="7" t="str">
        <f t="shared" si="13"/>
        <v>-</v>
      </c>
      <c r="S12" s="7" t="str">
        <f t="shared" si="13"/>
        <v>-</v>
      </c>
      <c r="T12" s="7" t="str">
        <f t="shared" si="13"/>
        <v>-</v>
      </c>
      <c r="U12" s="7" t="str">
        <f t="shared" ref="U12:AB17" si="14">IF(MOD($B12,5)=0, "000-000","-" )</f>
        <v>-</v>
      </c>
      <c r="V12" s="7" t="str">
        <f t="shared" si="14"/>
        <v>-</v>
      </c>
      <c r="W12" s="7" t="str">
        <f t="shared" si="14"/>
        <v>-</v>
      </c>
      <c r="X12" s="7" t="str">
        <f t="shared" si="14"/>
        <v>-</v>
      </c>
      <c r="Y12" s="7" t="str">
        <f t="shared" si="14"/>
        <v>-</v>
      </c>
      <c r="Z12" s="7" t="str">
        <f t="shared" si="14"/>
        <v>-</v>
      </c>
      <c r="AA12" s="7" t="str">
        <f t="shared" si="14"/>
        <v>-</v>
      </c>
      <c r="AB12" s="7" t="str">
        <f t="shared" si="14"/>
        <v>-</v>
      </c>
      <c r="AC12" s="7" t="str">
        <f>IF(MOD($B12,5)=0, "스핀들소음 :","-" )</f>
        <v>-</v>
      </c>
      <c r="AD12" s="7" t="str">
        <f t="shared" si="4"/>
        <v>-</v>
      </c>
      <c r="AE12" s="7" t="str">
        <f>IF($B12="","",
  IF(MOD(B12,160)=0,
    "TENSION (XL : / ZL : / XR : / ZR : / Y : )" &amp; CHAR(10) &amp;
    "필터교체",
    "-"
  )
)</f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6">
        <v>0</v>
      </c>
      <c r="G13" s="90" t="str">
        <f t="shared" si="9"/>
        <v>-</v>
      </c>
      <c r="H13" s="90" t="str">
        <f t="shared" si="10"/>
        <v>-</v>
      </c>
      <c r="I13" s="6">
        <v>0</v>
      </c>
      <c r="J13" s="1"/>
      <c r="K13" s="91" t="str">
        <f t="shared" si="5"/>
        <v>VITA</v>
      </c>
      <c r="L13" s="91" t="str">
        <f t="shared" si="6"/>
        <v>MARK II</v>
      </c>
      <c r="M13" s="91">
        <f t="shared" si="11"/>
        <v>160</v>
      </c>
      <c r="N13" s="91" t="str">
        <f t="shared" si="12"/>
        <v>-</v>
      </c>
      <c r="O13" s="24">
        <f>IF(LEN(A13)&gt;0, 종합!$C$27, "")</f>
        <v>2.2599999999999998</v>
      </c>
      <c r="P13" s="1" t="s">
        <v>16</v>
      </c>
      <c r="Q13" s="7" t="str">
        <f t="shared" si="13"/>
        <v>-</v>
      </c>
      <c r="R13" s="7" t="str">
        <f t="shared" si="13"/>
        <v>-</v>
      </c>
      <c r="S13" s="7" t="str">
        <f t="shared" si="13"/>
        <v>-</v>
      </c>
      <c r="T13" s="7" t="str">
        <f t="shared" si="13"/>
        <v>-</v>
      </c>
      <c r="U13" s="7" t="str">
        <f t="shared" si="14"/>
        <v>-</v>
      </c>
      <c r="V13" s="7" t="str">
        <f t="shared" si="14"/>
        <v>-</v>
      </c>
      <c r="W13" s="7" t="str">
        <f t="shared" si="14"/>
        <v>-</v>
      </c>
      <c r="X13" s="7" t="str">
        <f t="shared" si="14"/>
        <v>-</v>
      </c>
      <c r="Y13" s="7" t="str">
        <f t="shared" si="14"/>
        <v>-</v>
      </c>
      <c r="Z13" s="7" t="str">
        <f t="shared" si="14"/>
        <v>-</v>
      </c>
      <c r="AA13" s="7" t="str">
        <f t="shared" si="14"/>
        <v>-</v>
      </c>
      <c r="AB13" s="7" t="str">
        <f t="shared" si="14"/>
        <v>-</v>
      </c>
      <c r="AC13" s="7" t="str">
        <f>IF(MOD($B13,5)=0, "스핀들소음 :","-" )</f>
        <v>-</v>
      </c>
      <c r="AD13" s="7" t="str">
        <f t="shared" si="4"/>
        <v>-</v>
      </c>
      <c r="AE13" s="7" t="str">
        <f>IF($B13="","",
  IF(MOD(B13,160)=0,
    "TENSION (XL : / ZL : / XR : / ZR : / Y : )" &amp; CHAR(10) &amp;
    "필터교체",
    "-"
  )
)</f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6">
        <f>IF(NOT(LEN($A14)=0),IF(F13+1&gt;15,"버교체요망",F13+1),"")</f>
        <v>1</v>
      </c>
      <c r="G14" s="90" t="str">
        <f t="shared" si="9"/>
        <v>-</v>
      </c>
      <c r="H14" s="90" t="str">
        <f t="shared" si="10"/>
        <v>-</v>
      </c>
      <c r="I14" s="6">
        <f>IF(NOT(LEN($A14)=0),IF(I13+1&gt;15,"버교체요망",I13+1),"")</f>
        <v>1</v>
      </c>
      <c r="J14" s="1"/>
      <c r="K14" s="91" t="str">
        <f t="shared" si="5"/>
        <v>VITA</v>
      </c>
      <c r="L14" s="91" t="str">
        <f t="shared" si="6"/>
        <v>MARK II</v>
      </c>
      <c r="M14" s="91">
        <f t="shared" si="11"/>
        <v>160</v>
      </c>
      <c r="N14" s="91" t="str">
        <f t="shared" si="12"/>
        <v>-</v>
      </c>
      <c r="O14" s="24">
        <f>IF(LEN(A14)&gt;0, 종합!$C$27, "")</f>
        <v>2.2599999999999998</v>
      </c>
      <c r="P14" s="1" t="s">
        <v>16</v>
      </c>
      <c r="Q14" s="7" t="str">
        <f t="shared" si="13"/>
        <v>-</v>
      </c>
      <c r="R14" s="7" t="str">
        <f t="shared" si="13"/>
        <v>-</v>
      </c>
      <c r="S14" s="7" t="str">
        <f t="shared" si="13"/>
        <v>-</v>
      </c>
      <c r="T14" s="7" t="str">
        <f t="shared" si="13"/>
        <v>-</v>
      </c>
      <c r="U14" s="7" t="str">
        <f t="shared" si="14"/>
        <v>-</v>
      </c>
      <c r="V14" s="7" t="str">
        <f t="shared" si="14"/>
        <v>-</v>
      </c>
      <c r="W14" s="7" t="str">
        <f t="shared" si="14"/>
        <v>-</v>
      </c>
      <c r="X14" s="7" t="str">
        <f t="shared" si="14"/>
        <v>-</v>
      </c>
      <c r="Y14" s="7" t="str">
        <f t="shared" si="14"/>
        <v>-</v>
      </c>
      <c r="Z14" s="7" t="str">
        <f t="shared" si="14"/>
        <v>-</v>
      </c>
      <c r="AA14" s="7" t="str">
        <f t="shared" si="14"/>
        <v>-</v>
      </c>
      <c r="AB14" s="7" t="str">
        <f t="shared" si="14"/>
        <v>-</v>
      </c>
      <c r="AC14" s="7" t="str">
        <f>IF(MOD($B14,5)=0, "스핀들소음 :","-" )</f>
        <v>-</v>
      </c>
      <c r="AD14" s="7" t="str">
        <f t="shared" si="4"/>
        <v>-</v>
      </c>
      <c r="AE14" s="7" t="str">
        <f>IF($B14="","",
  IF(MOD(B14,160)=0,
    "TENSION (XL : / ZL : / XR : / ZR : / Y : )" &amp; CHAR(10) &amp;
    "필터교체",
    "-"
  )
)</f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6">
        <f t="shared" ref="F15:F22" si="15">IF(NOT(LEN($A15)=0),IF(F14+1&gt;15,"버교체요망",F14+1),"")</f>
        <v>2</v>
      </c>
      <c r="G15" s="90" t="str">
        <f t="shared" si="9"/>
        <v>-</v>
      </c>
      <c r="H15" s="90" t="str">
        <f t="shared" si="10"/>
        <v>-</v>
      </c>
      <c r="I15" s="6">
        <f t="shared" ref="I15:I22" si="16">IF(NOT(LEN($A15)=0),IF(I14+1&gt;15,"버교체요망",I14+1),"")</f>
        <v>2</v>
      </c>
      <c r="J15" s="1"/>
      <c r="K15" s="91" t="str">
        <f t="shared" si="5"/>
        <v>VITA</v>
      </c>
      <c r="L15" s="91" t="str">
        <f t="shared" si="6"/>
        <v>MARK II</v>
      </c>
      <c r="M15" s="91">
        <f t="shared" si="11"/>
        <v>160</v>
      </c>
      <c r="N15" s="91" t="str">
        <f t="shared" si="12"/>
        <v>-</v>
      </c>
      <c r="O15" s="24">
        <f>IF(LEN(A15)&gt;0, 종합!$C$27, "")</f>
        <v>2.2599999999999998</v>
      </c>
      <c r="P15" s="1" t="s">
        <v>16</v>
      </c>
      <c r="Q15" s="7" t="str">
        <f t="shared" si="13"/>
        <v>-</v>
      </c>
      <c r="R15" s="7" t="str">
        <f t="shared" si="13"/>
        <v>-</v>
      </c>
      <c r="S15" s="7" t="str">
        <f t="shared" si="13"/>
        <v>-</v>
      </c>
      <c r="T15" s="7" t="str">
        <f t="shared" si="13"/>
        <v>-</v>
      </c>
      <c r="U15" s="7" t="str">
        <f t="shared" si="14"/>
        <v>-</v>
      </c>
      <c r="V15" s="7" t="str">
        <f t="shared" si="14"/>
        <v>-</v>
      </c>
      <c r="W15" s="7" t="str">
        <f t="shared" si="14"/>
        <v>-</v>
      </c>
      <c r="X15" s="7" t="str">
        <f t="shared" si="14"/>
        <v>-</v>
      </c>
      <c r="Y15" s="7" t="str">
        <f t="shared" si="14"/>
        <v>-</v>
      </c>
      <c r="Z15" s="7" t="str">
        <f t="shared" si="14"/>
        <v>-</v>
      </c>
      <c r="AA15" s="7" t="str">
        <f t="shared" si="14"/>
        <v>-</v>
      </c>
      <c r="AB15" s="7" t="str">
        <f t="shared" si="14"/>
        <v>-</v>
      </c>
      <c r="AC15" s="7" t="str">
        <f>IF(MOD($B15,5)=0, "스핀들소음 :","-" )</f>
        <v>-</v>
      </c>
      <c r="AD15" s="7" t="str">
        <f t="shared" si="4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6">
        <f t="shared" si="15"/>
        <v>3</v>
      </c>
      <c r="G16" s="90" t="str">
        <f t="shared" si="9"/>
        <v>-</v>
      </c>
      <c r="H16" s="90" t="str">
        <f t="shared" si="10"/>
        <v>-</v>
      </c>
      <c r="I16" s="6">
        <f t="shared" si="16"/>
        <v>3</v>
      </c>
      <c r="J16" s="1"/>
      <c r="K16" s="91" t="str">
        <f t="shared" si="5"/>
        <v>VITA</v>
      </c>
      <c r="L16" s="91" t="str">
        <f t="shared" si="6"/>
        <v>MARK II</v>
      </c>
      <c r="M16" s="91">
        <f t="shared" si="11"/>
        <v>160</v>
      </c>
      <c r="N16" s="91" t="str">
        <f t="shared" si="12"/>
        <v>-</v>
      </c>
      <c r="O16" s="24">
        <f>IF(LEN(A16)&gt;0, 종합!$C$27, "")</f>
        <v>2.2599999999999998</v>
      </c>
      <c r="P16" s="1" t="s">
        <v>16</v>
      </c>
      <c r="Q16" s="7" t="str">
        <f t="shared" si="13"/>
        <v xml:space="preserve">스핀들유격: </v>
      </c>
      <c r="R16" s="7" t="str">
        <f t="shared" si="13"/>
        <v xml:space="preserve">스핀들유격: </v>
      </c>
      <c r="S16" s="7" t="str">
        <f t="shared" si="13"/>
        <v xml:space="preserve">스핀들유격: </v>
      </c>
      <c r="T16" s="7" t="str">
        <f t="shared" si="13"/>
        <v xml:space="preserve">스핀들유격: </v>
      </c>
      <c r="U16" s="7" t="str">
        <f t="shared" si="14"/>
        <v>000-000</v>
      </c>
      <c r="V16" s="7" t="str">
        <f t="shared" si="14"/>
        <v>000-000</v>
      </c>
      <c r="W16" s="7" t="str">
        <f t="shared" si="14"/>
        <v>000-000</v>
      </c>
      <c r="X16" s="7" t="str">
        <f t="shared" si="14"/>
        <v>000-000</v>
      </c>
      <c r="Y16" s="7" t="str">
        <f t="shared" si="14"/>
        <v>000-000</v>
      </c>
      <c r="Z16" s="7" t="str">
        <f t="shared" si="14"/>
        <v>000-000</v>
      </c>
      <c r="AA16" s="7" t="str">
        <f t="shared" si="14"/>
        <v>000-000</v>
      </c>
      <c r="AB16" s="7" t="str">
        <f t="shared" si="14"/>
        <v>000-000</v>
      </c>
      <c r="AC16" s="7" t="str">
        <f>IF(MOD($B16,5)=0, "스핀들소음 :","-" )</f>
        <v>스핀들소음 :</v>
      </c>
      <c r="AD16" s="7" t="str">
        <f t="shared" si="4"/>
        <v>-</v>
      </c>
      <c r="AE16" s="7" t="str">
        <f>IF($B16="","",
  IF(MOD(B16,160)=0,
    "TENSION (XL : / ZL : / XR : / ZR : / Y : )" &amp; CHAR(10) &amp;
    "필터교체",
    "-"
  )
)</f>
        <v>-</v>
      </c>
      <c r="AF16" s="85" t="s">
        <v>116</v>
      </c>
      <c r="AG16" s="2"/>
    </row>
    <row r="17" spans="1:33" x14ac:dyDescent="0.45">
      <c r="A17" s="3">
        <v>45973</v>
      </c>
      <c r="B17" s="24">
        <f t="shared" si="8"/>
        <v>11</v>
      </c>
      <c r="C17" s="7" t="str">
        <f t="shared" ref="C17:C22" si="17">IF(B17="","",
  IF(MOD($B17,1)=0,
    "Dimensions: L W H",
    "-"
  )
)</f>
        <v>Dimensions: L W H</v>
      </c>
      <c r="D17" s="6" t="str">
        <f t="shared" si="1"/>
        <v>완료</v>
      </c>
      <c r="E17" s="24">
        <v>23</v>
      </c>
      <c r="F17" s="6">
        <f t="shared" si="15"/>
        <v>4</v>
      </c>
      <c r="G17" s="90" t="str">
        <f t="shared" si="9"/>
        <v>-</v>
      </c>
      <c r="H17" s="90" t="str">
        <f t="shared" si="10"/>
        <v>-</v>
      </c>
      <c r="I17" s="6">
        <f t="shared" si="16"/>
        <v>4</v>
      </c>
      <c r="J17" s="1"/>
      <c r="K17" s="91" t="str">
        <f t="shared" si="5"/>
        <v>VITA</v>
      </c>
      <c r="L17" s="91" t="str">
        <f t="shared" si="6"/>
        <v>MARK II</v>
      </c>
      <c r="M17" s="91">
        <f t="shared" si="11"/>
        <v>160</v>
      </c>
      <c r="N17" s="91" t="str">
        <f t="shared" si="12"/>
        <v>-</v>
      </c>
      <c r="O17" s="24">
        <f>IF(LEN(A17)&gt;0, 종합!$C$27, "")</f>
        <v>2.2599999999999998</v>
      </c>
      <c r="P17" s="1" t="s">
        <v>16</v>
      </c>
      <c r="Q17" s="7" t="str">
        <f t="shared" si="13"/>
        <v>-</v>
      </c>
      <c r="R17" s="7" t="str">
        <f t="shared" si="13"/>
        <v>-</v>
      </c>
      <c r="S17" s="7" t="str">
        <f t="shared" si="13"/>
        <v>-</v>
      </c>
      <c r="T17" s="7" t="str">
        <f t="shared" si="13"/>
        <v>-</v>
      </c>
      <c r="U17" s="7" t="str">
        <f t="shared" si="14"/>
        <v>-</v>
      </c>
      <c r="V17" s="7" t="str">
        <f t="shared" si="14"/>
        <v>-</v>
      </c>
      <c r="W17" s="7" t="str">
        <f t="shared" si="14"/>
        <v>-</v>
      </c>
      <c r="X17" s="7" t="str">
        <f t="shared" si="14"/>
        <v>-</v>
      </c>
      <c r="Y17" s="7" t="str">
        <f t="shared" si="14"/>
        <v>-</v>
      </c>
      <c r="Z17" s="7" t="str">
        <f t="shared" si="14"/>
        <v>-</v>
      </c>
      <c r="AA17" s="7" t="str">
        <f t="shared" si="14"/>
        <v>-</v>
      </c>
      <c r="AB17" s="7" t="str">
        <f t="shared" si="14"/>
        <v>-</v>
      </c>
      <c r="AC17" s="7" t="str">
        <f>IF(MOD($B17,5)=0, "스핀들소음 :","-" )</f>
        <v>-</v>
      </c>
      <c r="AD17" s="7" t="str">
        <f t="shared" si="4"/>
        <v>-</v>
      </c>
      <c r="AE17" s="7" t="str">
        <f>IF($B17="","",
  IF(MOD(B17,160)=0,
    "TENSION (XL : / ZL : / XR : / ZR : / Y : )" &amp; CHAR(10) &amp;
    "필터교체",
    "-"
  )
)</f>
        <v>-</v>
      </c>
      <c r="AF17" s="86" t="s">
        <v>128</v>
      </c>
      <c r="AG17" s="2"/>
    </row>
    <row r="18" spans="1:33" x14ac:dyDescent="0.45">
      <c r="A18" s="3">
        <v>45973</v>
      </c>
      <c r="B18" s="24">
        <f t="shared" si="8"/>
        <v>12</v>
      </c>
      <c r="C18" s="7" t="str">
        <f t="shared" si="17"/>
        <v>Dimensions: L W H</v>
      </c>
      <c r="D18" s="6" t="str">
        <f t="shared" si="1"/>
        <v>완료</v>
      </c>
      <c r="E18" s="24">
        <v>21</v>
      </c>
      <c r="F18" s="6">
        <f t="shared" si="15"/>
        <v>5</v>
      </c>
      <c r="G18" s="90" t="str">
        <f t="shared" si="9"/>
        <v>-</v>
      </c>
      <c r="H18" s="90" t="str">
        <f t="shared" si="10"/>
        <v>-</v>
      </c>
      <c r="I18" s="6">
        <f t="shared" si="16"/>
        <v>5</v>
      </c>
      <c r="J18" s="1"/>
      <c r="K18" s="91" t="str">
        <f>IF(NOT(LEN($I18)=0),K17,"")</f>
        <v>VITA</v>
      </c>
      <c r="L18" s="91" t="str">
        <f>IF(NOT(LEN($I18)=0),L17,"")</f>
        <v>MARK II</v>
      </c>
      <c r="M18" s="91">
        <f t="shared" si="11"/>
        <v>160</v>
      </c>
      <c r="N18" s="91" t="str">
        <f t="shared" si="12"/>
        <v>-</v>
      </c>
      <c r="O18" s="24">
        <f>IF(LEN(A18)&gt;0, 종합!$C$27, "")</f>
        <v>2.2599999999999998</v>
      </c>
      <c r="P18" s="1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1"/>
      <c r="AG18" s="2"/>
    </row>
    <row r="19" spans="1:33" x14ac:dyDescent="0.45">
      <c r="A19" s="3">
        <v>45973</v>
      </c>
      <c r="B19" s="24">
        <f t="shared" si="8"/>
        <v>13</v>
      </c>
      <c r="C19" s="7" t="str">
        <f t="shared" si="17"/>
        <v>Dimensions: L W H</v>
      </c>
      <c r="D19" s="6" t="s">
        <v>21</v>
      </c>
      <c r="E19" s="89" t="str">
        <f>IF(NOT(LEN(C19)=0),"누락","")</f>
        <v>누락</v>
      </c>
      <c r="F19" s="87">
        <f t="shared" si="15"/>
        <v>6</v>
      </c>
      <c r="G19" s="91" t="str">
        <f t="shared" si="9"/>
        <v>-</v>
      </c>
      <c r="H19" s="91" t="str">
        <f t="shared" si="10"/>
        <v>-</v>
      </c>
      <c r="I19" s="87">
        <f t="shared" si="16"/>
        <v>6</v>
      </c>
      <c r="J19" s="1"/>
      <c r="K19" s="91" t="str">
        <f t="shared" ref="K19:K22" si="18">IF(NOT(LEN($I19)=0),K18,"")</f>
        <v>VITA</v>
      </c>
      <c r="L19" s="91" t="str">
        <f t="shared" ref="L19:L22" si="19">IF(NOT(LEN($I19)=0),L18,"")</f>
        <v>MARK II</v>
      </c>
      <c r="M19" s="91">
        <f t="shared" ref="M19:M22" si="20">IF(NOT(LEN($I19)=0),M18,"")</f>
        <v>160</v>
      </c>
      <c r="N19" s="91" t="str">
        <f t="shared" ref="N19:N22" si="21">IF(NOT(LEN($I19)=0),N18,"")</f>
        <v>-</v>
      </c>
      <c r="O19" s="24">
        <f>IF(LEN(A19)&gt;0, 종합!$C$27, "")</f>
        <v>2.2599999999999998</v>
      </c>
      <c r="P19" s="1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1"/>
      <c r="AG19" s="2"/>
    </row>
    <row r="20" spans="1:33" x14ac:dyDescent="0.45">
      <c r="A20" s="23"/>
      <c r="B20" s="24" t="str">
        <f t="shared" si="8"/>
        <v/>
      </c>
      <c r="C20" s="7" t="str">
        <f t="shared" si="17"/>
        <v/>
      </c>
      <c r="D20" s="6" t="str">
        <f t="shared" ref="D20:D22" si="22">IF(NOT(LEN(B20)=0),"진행중","")</f>
        <v/>
      </c>
      <c r="E20" s="89" t="str">
        <f t="shared" ref="E20:E22" si="23">IF(NOT(LEN(C20)=0),"누락","")</f>
        <v/>
      </c>
      <c r="F20" s="87" t="str">
        <f t="shared" si="15"/>
        <v/>
      </c>
      <c r="G20" s="1"/>
      <c r="H20" s="1"/>
      <c r="I20" s="87" t="str">
        <f t="shared" si="16"/>
        <v/>
      </c>
      <c r="J20" s="1"/>
      <c r="K20" s="91" t="str">
        <f t="shared" si="18"/>
        <v/>
      </c>
      <c r="L20" s="91" t="str">
        <f t="shared" si="19"/>
        <v/>
      </c>
      <c r="M20" s="91" t="str">
        <f t="shared" si="20"/>
        <v/>
      </c>
      <c r="N20" s="91" t="str">
        <f t="shared" si="21"/>
        <v/>
      </c>
      <c r="O20" s="24" t="str">
        <f>IF(LEN(A20)&gt;0, 종합!$C$27, "")</f>
        <v/>
      </c>
      <c r="P20" s="1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1"/>
      <c r="AG20" s="2"/>
    </row>
    <row r="21" spans="1:33" x14ac:dyDescent="0.45">
      <c r="B21" s="24" t="str">
        <f t="shared" si="8"/>
        <v/>
      </c>
      <c r="C21" s="7" t="str">
        <f t="shared" si="17"/>
        <v/>
      </c>
      <c r="D21" s="6" t="str">
        <f t="shared" si="22"/>
        <v/>
      </c>
      <c r="E21" s="89" t="str">
        <f t="shared" si="23"/>
        <v/>
      </c>
      <c r="F21" s="87" t="str">
        <f t="shared" si="15"/>
        <v/>
      </c>
      <c r="I21" s="87" t="str">
        <f t="shared" si="16"/>
        <v/>
      </c>
      <c r="K21" s="91" t="str">
        <f t="shared" si="18"/>
        <v/>
      </c>
      <c r="L21" s="91" t="str">
        <f t="shared" si="19"/>
        <v/>
      </c>
      <c r="M21" s="91" t="str">
        <f t="shared" si="20"/>
        <v/>
      </c>
      <c r="N21" s="91" t="str">
        <f t="shared" si="21"/>
        <v/>
      </c>
      <c r="O21" s="24" t="str">
        <f>IF(LEN(A21)&gt;0, 종합!$C$27, "")</f>
        <v/>
      </c>
    </row>
    <row r="22" spans="1:33" x14ac:dyDescent="0.45">
      <c r="B22" s="24" t="str">
        <f t="shared" si="8"/>
        <v/>
      </c>
      <c r="C22" s="7" t="str">
        <f t="shared" si="17"/>
        <v/>
      </c>
      <c r="D22" s="6" t="str">
        <f t="shared" si="22"/>
        <v/>
      </c>
      <c r="E22" s="89" t="str">
        <f t="shared" si="23"/>
        <v/>
      </c>
      <c r="F22" s="87" t="str">
        <f t="shared" si="15"/>
        <v/>
      </c>
      <c r="I22" s="87" t="str">
        <f t="shared" si="16"/>
        <v/>
      </c>
      <c r="K22" s="91" t="str">
        <f t="shared" si="18"/>
        <v/>
      </c>
      <c r="L22" s="91" t="str">
        <f t="shared" si="19"/>
        <v/>
      </c>
      <c r="M22" s="91" t="str">
        <f t="shared" si="20"/>
        <v/>
      </c>
      <c r="N22" s="91" t="str">
        <f t="shared" si="21"/>
        <v/>
      </c>
      <c r="O22" s="24" t="str">
        <f>IF(LEN(A22)&gt;0, 종합!$C$27, "")</f>
        <v/>
      </c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 H20">
    <cfRule type="containsText" dxfId="677" priority="237" operator="containsText" text="신품">
      <formula>NOT(ISERROR(SEARCH("신품",F7)))</formula>
    </cfRule>
    <cfRule type="containsText" dxfId="676" priority="238" operator="containsText" text="중고">
      <formula>NOT(ISERROR(SEARCH("중고",F7)))</formula>
    </cfRule>
  </conditionalFormatting>
  <conditionalFormatting sqref="I7:I9">
    <cfRule type="containsText" dxfId="675" priority="235" operator="containsText" text="신품">
      <formula>NOT(ISERROR(SEARCH("신품",I7)))</formula>
    </cfRule>
    <cfRule type="containsText" dxfId="674" priority="236" operator="containsText" text="중고">
      <formula>NOT(ISERROR(SEARCH("중고",I7)))</formula>
    </cfRule>
  </conditionalFormatting>
  <conditionalFormatting sqref="F10">
    <cfRule type="containsText" dxfId="673" priority="231" operator="containsText" text="신품">
      <formula>NOT(ISERROR(SEARCH("신품",F10)))</formula>
    </cfRule>
    <cfRule type="containsText" dxfId="672" priority="232" operator="containsText" text="중고">
      <formula>NOT(ISERROR(SEARCH("중고",F10)))</formula>
    </cfRule>
  </conditionalFormatting>
  <conditionalFormatting sqref="I10">
    <cfRule type="containsText" dxfId="671" priority="229" operator="containsText" text="신품">
      <formula>NOT(ISERROR(SEARCH("신품",I10)))</formula>
    </cfRule>
    <cfRule type="containsText" dxfId="670" priority="230" operator="containsText" text="중고">
      <formula>NOT(ISERROR(SEARCH("중고",I10)))</formula>
    </cfRule>
  </conditionalFormatting>
  <conditionalFormatting sqref="F11">
    <cfRule type="containsText" dxfId="669" priority="225" operator="containsText" text="신품">
      <formula>NOT(ISERROR(SEARCH("신품",F11)))</formula>
    </cfRule>
    <cfRule type="containsText" dxfId="668" priority="226" operator="containsText" text="중고">
      <formula>NOT(ISERROR(SEARCH("중고",F11)))</formula>
    </cfRule>
  </conditionalFormatting>
  <conditionalFormatting sqref="I11">
    <cfRule type="containsText" dxfId="667" priority="223" operator="containsText" text="신품">
      <formula>NOT(ISERROR(SEARCH("신품",I11)))</formula>
    </cfRule>
    <cfRule type="containsText" dxfId="666" priority="224" operator="containsText" text="중고">
      <formula>NOT(ISERROR(SEARCH("중고",I11)))</formula>
    </cfRule>
  </conditionalFormatting>
  <conditionalFormatting sqref="H20 F12">
    <cfRule type="containsText" dxfId="665" priority="219" operator="containsText" text="신품">
      <formula>NOT(ISERROR(SEARCH("신품",F12)))</formula>
    </cfRule>
    <cfRule type="containsText" dxfId="664" priority="220" operator="containsText" text="중고">
      <formula>NOT(ISERROR(SEARCH("중고",F12)))</formula>
    </cfRule>
  </conditionalFormatting>
  <conditionalFormatting sqref="I12">
    <cfRule type="containsText" dxfId="663" priority="217" operator="containsText" text="신품">
      <formula>NOT(ISERROR(SEARCH("신품",I12)))</formula>
    </cfRule>
    <cfRule type="containsText" dxfId="662" priority="218" operator="containsText" text="중고">
      <formula>NOT(ISERROR(SEARCH("중고",I12)))</formula>
    </cfRule>
  </conditionalFormatting>
  <conditionalFormatting sqref="D7:D22">
    <cfRule type="containsText" dxfId="657" priority="209" operator="containsText" text="완료">
      <formula>NOT(ISERROR(SEARCH("완료",D7)))</formula>
    </cfRule>
    <cfRule type="containsText" dxfId="656" priority="210" operator="containsText" text="중단">
      <formula>NOT(ISERROR(SEARCH("중단",D7)))</formula>
    </cfRule>
  </conditionalFormatting>
  <conditionalFormatting sqref="D11">
    <cfRule type="containsText" dxfId="655" priority="207" operator="containsText" text="완료">
      <formula>NOT(ISERROR(SEARCH("완료",D11)))</formula>
    </cfRule>
    <cfRule type="containsText" dxfId="654" priority="208" operator="containsText" text="중단">
      <formula>NOT(ISERROR(SEARCH("중단",D11)))</formula>
    </cfRule>
  </conditionalFormatting>
  <conditionalFormatting sqref="D8:D22">
    <cfRule type="containsText" dxfId="653" priority="205" operator="containsText" text="완료">
      <formula>NOT(ISERROR(SEARCH("완료",D8)))</formula>
    </cfRule>
    <cfRule type="containsText" dxfId="652" priority="206" operator="containsText" text="중단">
      <formula>NOT(ISERROR(SEARCH("중단",D8)))</formula>
    </cfRule>
  </conditionalFormatting>
  <conditionalFormatting sqref="D8:D22">
    <cfRule type="containsText" dxfId="651" priority="203" operator="containsText" text="완료">
      <formula>NOT(ISERROR(SEARCH("완료",D8)))</formula>
    </cfRule>
    <cfRule type="containsText" dxfId="650" priority="204" operator="containsText" text="중단">
      <formula>NOT(ISERROR(SEARCH("중단",D8)))</formula>
    </cfRule>
  </conditionalFormatting>
  <conditionalFormatting sqref="D7:D23">
    <cfRule type="containsText" dxfId="649" priority="202" operator="containsText" text="진행중">
      <formula>NOT(ISERROR(SEARCH("진행중",D7)))</formula>
    </cfRule>
  </conditionalFormatting>
  <conditionalFormatting sqref="F14:F22">
    <cfRule type="containsText" dxfId="641" priority="193" operator="containsText" text="완료">
      <formula>NOT(ISERROR(SEARCH("완료",F14)))</formula>
    </cfRule>
    <cfRule type="containsText" dxfId="640" priority="194" operator="containsText" text="중단">
      <formula>NOT(ISERROR(SEARCH("중단",F14)))</formula>
    </cfRule>
  </conditionalFormatting>
  <conditionalFormatting sqref="F14:F22">
    <cfRule type="containsText" dxfId="639" priority="191" operator="containsText" text="완료">
      <formula>NOT(ISERROR(SEARCH("완료",F14)))</formula>
    </cfRule>
    <cfRule type="containsText" dxfId="638" priority="192" operator="containsText" text="중단">
      <formula>NOT(ISERROR(SEARCH("중단",F14)))</formula>
    </cfRule>
  </conditionalFormatting>
  <conditionalFormatting sqref="F14:F22">
    <cfRule type="containsText" dxfId="637" priority="189" operator="containsText" text="완료">
      <formula>NOT(ISERROR(SEARCH("완료",F14)))</formula>
    </cfRule>
    <cfRule type="containsText" dxfId="636" priority="190" operator="containsText" text="중단">
      <formula>NOT(ISERROR(SEARCH("중단",F14)))</formula>
    </cfRule>
  </conditionalFormatting>
  <conditionalFormatting sqref="F14:F22">
    <cfRule type="containsText" dxfId="635" priority="188" operator="containsText" text="진행중">
      <formula>NOT(ISERROR(SEARCH("진행중",F14)))</formula>
    </cfRule>
  </conditionalFormatting>
  <conditionalFormatting sqref="N8:N22">
    <cfRule type="containsText" dxfId="632" priority="67" operator="containsText" text="완료">
      <formula>NOT(ISERROR(SEARCH("완료",N8)))</formula>
    </cfRule>
    <cfRule type="containsText" dxfId="631" priority="68" operator="containsText" text="중단">
      <formula>NOT(ISERROR(SEARCH("중단",N8)))</formula>
    </cfRule>
  </conditionalFormatting>
  <conditionalFormatting sqref="N8:N22">
    <cfRule type="containsText" dxfId="630" priority="65" operator="containsText" text="완료">
      <formula>NOT(ISERROR(SEARCH("완료",N8)))</formula>
    </cfRule>
    <cfRule type="containsText" dxfId="629" priority="66" operator="containsText" text="중단">
      <formula>NOT(ISERROR(SEARCH("중단",N8)))</formula>
    </cfRule>
  </conditionalFormatting>
  <conditionalFormatting sqref="K8:K17">
    <cfRule type="containsText" dxfId="597" priority="39" operator="containsText" text="완료">
      <formula>NOT(ISERROR(SEARCH("완료",K8)))</formula>
    </cfRule>
    <cfRule type="containsText" dxfId="596" priority="40" operator="containsText" text="중단">
      <formula>NOT(ISERROR(SEARCH("중단",K8)))</formula>
    </cfRule>
  </conditionalFormatting>
  <conditionalFormatting sqref="K8:K17">
    <cfRule type="containsText" dxfId="595" priority="37" operator="containsText" text="완료">
      <formula>NOT(ISERROR(SEARCH("완료",K8)))</formula>
    </cfRule>
    <cfRule type="containsText" dxfId="594" priority="38" operator="containsText" text="중단">
      <formula>NOT(ISERROR(SEARCH("중단",K8)))</formula>
    </cfRule>
  </conditionalFormatting>
  <conditionalFormatting sqref="L8:L17">
    <cfRule type="containsText" dxfId="590" priority="32" operator="containsText" text="완료">
      <formula>NOT(ISERROR(SEARCH("완료",L8)))</formula>
    </cfRule>
    <cfRule type="containsText" dxfId="589" priority="33" operator="containsText" text="중단">
      <formula>NOT(ISERROR(SEARCH("중단",L8)))</formula>
    </cfRule>
  </conditionalFormatting>
  <conditionalFormatting sqref="L8:L17">
    <cfRule type="containsText" dxfId="588" priority="30" operator="containsText" text="완료">
      <formula>NOT(ISERROR(SEARCH("완료",L8)))</formula>
    </cfRule>
    <cfRule type="containsText" dxfId="587" priority="31" operator="containsText" text="중단">
      <formula>NOT(ISERROR(SEARCH("중단",L8)))</formula>
    </cfRule>
  </conditionalFormatting>
  <conditionalFormatting sqref="M8:M22">
    <cfRule type="containsText" dxfId="583" priority="25" operator="containsText" text="완료">
      <formula>NOT(ISERROR(SEARCH("완료",M8)))</formula>
    </cfRule>
    <cfRule type="containsText" dxfId="582" priority="26" operator="containsText" text="중단">
      <formula>NOT(ISERROR(SEARCH("중단",M8)))</formula>
    </cfRule>
  </conditionalFormatting>
  <conditionalFormatting sqref="M8:M22">
    <cfRule type="containsText" dxfId="581" priority="23" operator="containsText" text="완료">
      <formula>NOT(ISERROR(SEARCH("완료",M8)))</formula>
    </cfRule>
    <cfRule type="containsText" dxfId="580" priority="24" operator="containsText" text="중단">
      <formula>NOT(ISERROR(SEARCH("중단",M8)))</formula>
    </cfRule>
  </conditionalFormatting>
  <conditionalFormatting sqref="I14:I22">
    <cfRule type="containsText" dxfId="578" priority="130" operator="containsText" text="완료">
      <formula>NOT(ISERROR(SEARCH("완료",I14)))</formula>
    </cfRule>
    <cfRule type="containsText" dxfId="577" priority="131" operator="containsText" text="중단">
      <formula>NOT(ISERROR(SEARCH("중단",I14)))</formula>
    </cfRule>
  </conditionalFormatting>
  <conditionalFormatting sqref="I14:I22">
    <cfRule type="containsText" dxfId="576" priority="128" operator="containsText" text="완료">
      <formula>NOT(ISERROR(SEARCH("완료",I14)))</formula>
    </cfRule>
    <cfRule type="containsText" dxfId="575" priority="129" operator="containsText" text="중단">
      <formula>NOT(ISERROR(SEARCH("중단",I14)))</formula>
    </cfRule>
  </conditionalFormatting>
  <conditionalFormatting sqref="I14:I22">
    <cfRule type="containsText" dxfId="574" priority="126" operator="containsText" text="완료">
      <formula>NOT(ISERROR(SEARCH("완료",I14)))</formula>
    </cfRule>
    <cfRule type="containsText" dxfId="573" priority="127" operator="containsText" text="중단">
      <formula>NOT(ISERROR(SEARCH("중단",I14)))</formula>
    </cfRule>
  </conditionalFormatting>
  <conditionalFormatting sqref="I14:I22">
    <cfRule type="containsText" dxfId="572" priority="125" operator="containsText" text="진행중">
      <formula>NOT(ISERROR(SEARCH("진행중",I14)))</formula>
    </cfRule>
  </conditionalFormatting>
  <conditionalFormatting sqref="F13">
    <cfRule type="containsText" dxfId="571" priority="123" operator="containsText" text="완료">
      <formula>NOT(ISERROR(SEARCH("완료",F13)))</formula>
    </cfRule>
    <cfRule type="containsText" dxfId="570" priority="124" operator="containsText" text="중단">
      <formula>NOT(ISERROR(SEARCH("중단",F13)))</formula>
    </cfRule>
  </conditionalFormatting>
  <conditionalFormatting sqref="F13">
    <cfRule type="containsText" dxfId="569" priority="121" operator="containsText" text="완료">
      <formula>NOT(ISERROR(SEARCH("완료",F13)))</formula>
    </cfRule>
    <cfRule type="containsText" dxfId="568" priority="122" operator="containsText" text="중단">
      <formula>NOT(ISERROR(SEARCH("중단",F13)))</formula>
    </cfRule>
  </conditionalFormatting>
  <conditionalFormatting sqref="F13">
    <cfRule type="containsText" dxfId="567" priority="119" operator="containsText" text="완료">
      <formula>NOT(ISERROR(SEARCH("완료",F13)))</formula>
    </cfRule>
    <cfRule type="containsText" dxfId="566" priority="120" operator="containsText" text="중단">
      <formula>NOT(ISERROR(SEARCH("중단",F13)))</formula>
    </cfRule>
  </conditionalFormatting>
  <conditionalFormatting sqref="F13">
    <cfRule type="containsText" dxfId="565" priority="118" operator="containsText" text="진행중">
      <formula>NOT(ISERROR(SEARCH("진행중",F13)))</formula>
    </cfRule>
  </conditionalFormatting>
  <conditionalFormatting sqref="I13">
    <cfRule type="containsText" dxfId="564" priority="116" operator="containsText" text="완료">
      <formula>NOT(ISERROR(SEARCH("완료",I13)))</formula>
    </cfRule>
    <cfRule type="containsText" dxfId="563" priority="117" operator="containsText" text="중단">
      <formula>NOT(ISERROR(SEARCH("중단",I13)))</formula>
    </cfRule>
  </conditionalFormatting>
  <conditionalFormatting sqref="I13">
    <cfRule type="containsText" dxfId="562" priority="114" operator="containsText" text="완료">
      <formula>NOT(ISERROR(SEARCH("완료",I13)))</formula>
    </cfRule>
    <cfRule type="containsText" dxfId="561" priority="115" operator="containsText" text="중단">
      <formula>NOT(ISERROR(SEARCH("중단",I13)))</formula>
    </cfRule>
  </conditionalFormatting>
  <conditionalFormatting sqref="I13">
    <cfRule type="containsText" dxfId="560" priority="112" operator="containsText" text="완료">
      <formula>NOT(ISERROR(SEARCH("완료",I13)))</formula>
    </cfRule>
    <cfRule type="containsText" dxfId="559" priority="113" operator="containsText" text="중단">
      <formula>NOT(ISERROR(SEARCH("중단",I13)))</formula>
    </cfRule>
  </conditionalFormatting>
  <conditionalFormatting sqref="I13">
    <cfRule type="containsText" dxfId="558" priority="111" operator="containsText" text="진행중">
      <formula>NOT(ISERROR(SEARCH("진행중",I13)))</formula>
    </cfRule>
  </conditionalFormatting>
  <conditionalFormatting sqref="E19:E22">
    <cfRule type="containsText" dxfId="555" priority="18" operator="containsText" text="완료">
      <formula>NOT(ISERROR(SEARCH("완료",E19)))</formula>
    </cfRule>
    <cfRule type="containsText" dxfId="554" priority="19" operator="containsText" text="중단">
      <formula>NOT(ISERROR(SEARCH("중단",E19)))</formula>
    </cfRule>
  </conditionalFormatting>
  <conditionalFormatting sqref="E19:E22">
    <cfRule type="containsText" dxfId="553" priority="16" operator="containsText" text="완료">
      <formula>NOT(ISERROR(SEARCH("완료",E19)))</formula>
    </cfRule>
    <cfRule type="containsText" dxfId="552" priority="17" operator="containsText" text="중단">
      <formula>NOT(ISERROR(SEARCH("중단",E19)))</formula>
    </cfRule>
  </conditionalFormatting>
  <conditionalFormatting sqref="E19:E22">
    <cfRule type="containsText" dxfId="551" priority="15" operator="containsText" text="진행중">
      <formula>NOT(ISERROR(SEARCH("진행중",E19)))</formula>
    </cfRule>
  </conditionalFormatting>
  <conditionalFormatting sqref="K18:K22">
    <cfRule type="containsText" dxfId="550" priority="102" operator="containsText" text="완료">
      <formula>NOT(ISERROR(SEARCH("완료",K18)))</formula>
    </cfRule>
    <cfRule type="containsText" dxfId="549" priority="103" operator="containsText" text="중단">
      <formula>NOT(ISERROR(SEARCH("중단",K18)))</formula>
    </cfRule>
  </conditionalFormatting>
  <conditionalFormatting sqref="K18:K22">
    <cfRule type="containsText" dxfId="548" priority="100" operator="containsText" text="완료">
      <formula>NOT(ISERROR(SEARCH("완료",K18)))</formula>
    </cfRule>
    <cfRule type="containsText" dxfId="547" priority="101" operator="containsText" text="중단">
      <formula>NOT(ISERROR(SEARCH("중단",K18)))</formula>
    </cfRule>
  </conditionalFormatting>
  <conditionalFormatting sqref="K18:K22">
    <cfRule type="containsText" dxfId="546" priority="98" operator="containsText" text="완료">
      <formula>NOT(ISERROR(SEARCH("완료",K18)))</formula>
    </cfRule>
    <cfRule type="containsText" dxfId="545" priority="99" operator="containsText" text="중단">
      <formula>NOT(ISERROR(SEARCH("중단",K18)))</formula>
    </cfRule>
  </conditionalFormatting>
  <conditionalFormatting sqref="K18:K22">
    <cfRule type="containsText" dxfId="544" priority="97" operator="containsText" text="진행중">
      <formula>NOT(ISERROR(SEARCH("진행중",K18)))</formula>
    </cfRule>
  </conditionalFormatting>
  <conditionalFormatting sqref="L18:L22">
    <cfRule type="containsText" dxfId="536" priority="88" operator="containsText" text="완료">
      <formula>NOT(ISERROR(SEARCH("완료",L18)))</formula>
    </cfRule>
    <cfRule type="containsText" dxfId="535" priority="89" operator="containsText" text="중단">
      <formula>NOT(ISERROR(SEARCH("중단",L18)))</formula>
    </cfRule>
  </conditionalFormatting>
  <conditionalFormatting sqref="L18:L22">
    <cfRule type="containsText" dxfId="534" priority="86" operator="containsText" text="완료">
      <formula>NOT(ISERROR(SEARCH("완료",L18)))</formula>
    </cfRule>
    <cfRule type="containsText" dxfId="533" priority="87" operator="containsText" text="중단">
      <formula>NOT(ISERROR(SEARCH("중단",L18)))</formula>
    </cfRule>
  </conditionalFormatting>
  <conditionalFormatting sqref="L18:L22">
    <cfRule type="containsText" dxfId="532" priority="84" operator="containsText" text="완료">
      <formula>NOT(ISERROR(SEARCH("완료",L18)))</formula>
    </cfRule>
    <cfRule type="containsText" dxfId="531" priority="85" operator="containsText" text="중단">
      <formula>NOT(ISERROR(SEARCH("중단",L18)))</formula>
    </cfRule>
  </conditionalFormatting>
  <conditionalFormatting sqref="L18:L22">
    <cfRule type="containsText" dxfId="530" priority="83" operator="containsText" text="진행중">
      <formula>NOT(ISERROR(SEARCH("진행중",L18)))</formula>
    </cfRule>
  </conditionalFormatting>
  <conditionalFormatting sqref="N8:N22">
    <cfRule type="containsText" dxfId="511" priority="63" operator="containsText" text="완료">
      <formula>NOT(ISERROR(SEARCH("완료",N8)))</formula>
    </cfRule>
    <cfRule type="containsText" dxfId="510" priority="64" operator="containsText" text="중단">
      <formula>NOT(ISERROR(SEARCH("중단",N8)))</formula>
    </cfRule>
  </conditionalFormatting>
  <conditionalFormatting sqref="N8:N22">
    <cfRule type="containsText" dxfId="509" priority="62" operator="containsText" text="진행중">
      <formula>NOT(ISERROR(SEARCH("진행중",N8)))</formula>
    </cfRule>
  </conditionalFormatting>
  <conditionalFormatting sqref="K8:K17">
    <cfRule type="containsText" dxfId="483" priority="35" operator="containsText" text="완료">
      <formula>NOT(ISERROR(SEARCH("완료",K8)))</formula>
    </cfRule>
    <cfRule type="containsText" dxfId="482" priority="36" operator="containsText" text="중단">
      <formula>NOT(ISERROR(SEARCH("중단",K8)))</formula>
    </cfRule>
  </conditionalFormatting>
  <conditionalFormatting sqref="K8:K17">
    <cfRule type="containsText" dxfId="481" priority="34" operator="containsText" text="진행중">
      <formula>NOT(ISERROR(SEARCH("진행중",K8)))</formula>
    </cfRule>
  </conditionalFormatting>
  <conditionalFormatting sqref="L8:L17">
    <cfRule type="containsText" dxfId="476" priority="28" operator="containsText" text="완료">
      <formula>NOT(ISERROR(SEARCH("완료",L8)))</formula>
    </cfRule>
    <cfRule type="containsText" dxfId="475" priority="29" operator="containsText" text="중단">
      <formula>NOT(ISERROR(SEARCH("중단",L8)))</formula>
    </cfRule>
  </conditionalFormatting>
  <conditionalFormatting sqref="L8:L17">
    <cfRule type="containsText" dxfId="474" priority="27" operator="containsText" text="진행중">
      <formula>NOT(ISERROR(SEARCH("진행중",L8)))</formula>
    </cfRule>
  </conditionalFormatting>
  <conditionalFormatting sqref="M8:M22">
    <cfRule type="containsText" dxfId="469" priority="21" operator="containsText" text="완료">
      <formula>NOT(ISERROR(SEARCH("완료",M8)))</formula>
    </cfRule>
    <cfRule type="containsText" dxfId="468" priority="22" operator="containsText" text="중단">
      <formula>NOT(ISERROR(SEARCH("중단",M8)))</formula>
    </cfRule>
  </conditionalFormatting>
  <conditionalFormatting sqref="M8:M22">
    <cfRule type="containsText" dxfId="467" priority="20" operator="containsText" text="진행중">
      <formula>NOT(ISERROR(SEARCH("진행중",M8)))</formula>
    </cfRule>
  </conditionalFormatting>
  <conditionalFormatting sqref="G8:G19">
    <cfRule type="containsText" dxfId="88" priority="13" operator="containsText" text="완료">
      <formula>NOT(ISERROR(SEARCH("완료",G8)))</formula>
    </cfRule>
    <cfRule type="containsText" dxfId="87" priority="14" operator="containsText" text="중단">
      <formula>NOT(ISERROR(SEARCH("중단",G8)))</formula>
    </cfRule>
  </conditionalFormatting>
  <conditionalFormatting sqref="G8:G19">
    <cfRule type="containsText" dxfId="86" priority="11" operator="containsText" text="완료">
      <formula>NOT(ISERROR(SEARCH("완료",G8)))</formula>
    </cfRule>
    <cfRule type="containsText" dxfId="85" priority="12" operator="containsText" text="중단">
      <formula>NOT(ISERROR(SEARCH("중단",G8)))</formula>
    </cfRule>
  </conditionalFormatting>
  <conditionalFormatting sqref="G8:G19">
    <cfRule type="containsText" dxfId="84" priority="9" operator="containsText" text="완료">
      <formula>NOT(ISERROR(SEARCH("완료",G8)))</formula>
    </cfRule>
    <cfRule type="containsText" dxfId="83" priority="10" operator="containsText" text="중단">
      <formula>NOT(ISERROR(SEARCH("중단",G8)))</formula>
    </cfRule>
  </conditionalFormatting>
  <conditionalFormatting sqref="G8:G19">
    <cfRule type="containsText" dxfId="82" priority="8" operator="containsText" text="진행중">
      <formula>NOT(ISERROR(SEARCH("진행중",G8)))</formula>
    </cfRule>
  </conditionalFormatting>
  <conditionalFormatting sqref="H8:H19">
    <cfRule type="containsText" dxfId="66" priority="6" operator="containsText" text="완료">
      <formula>NOT(ISERROR(SEARCH("완료",H8)))</formula>
    </cfRule>
    <cfRule type="containsText" dxfId="65" priority="7" operator="containsText" text="중단">
      <formula>NOT(ISERROR(SEARCH("중단",H8)))</formula>
    </cfRule>
  </conditionalFormatting>
  <conditionalFormatting sqref="H8:H19">
    <cfRule type="containsText" dxfId="64" priority="4" operator="containsText" text="완료">
      <formula>NOT(ISERROR(SEARCH("완료",H8)))</formula>
    </cfRule>
    <cfRule type="containsText" dxfId="63" priority="5" operator="containsText" text="중단">
      <formula>NOT(ISERROR(SEARCH("중단",H8)))</formula>
    </cfRule>
  </conditionalFormatting>
  <conditionalFormatting sqref="H8:H19">
    <cfRule type="containsText" dxfId="62" priority="2" operator="containsText" text="완료">
      <formula>NOT(ISERROR(SEARCH("완료",H8)))</formula>
    </cfRule>
    <cfRule type="containsText" dxfId="61" priority="3" operator="containsText" text="중단">
      <formula>NOT(ISERROR(SEARCH("중단",H8)))</formula>
    </cfRule>
  </conditionalFormatting>
  <conditionalFormatting sqref="H8:H19">
    <cfRule type="containsText" dxfId="60" priority="1" operator="containsText" text="진행중">
      <formula>NOT(ISERROR(SEARCH("진행중",H8)))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sheetPr>
    <tabColor theme="0" tint="-0.499984740745262"/>
  </sheetPr>
  <dimension ref="A1:AP23"/>
  <sheetViews>
    <sheetView zoomScale="55" zoomScaleNormal="55" workbookViewId="0">
      <selection activeCell="R19" sqref="R18:R19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65" t="s">
        <v>18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</row>
    <row r="2" spans="1:42" x14ac:dyDescent="0.45">
      <c r="A2" s="53" t="s">
        <v>10</v>
      </c>
      <c r="B2" s="54" t="s">
        <v>92</v>
      </c>
      <c r="C2" s="55"/>
      <c r="D2" s="55"/>
      <c r="E2" s="55"/>
      <c r="F2" s="53" t="s">
        <v>111</v>
      </c>
      <c r="G2" s="53"/>
      <c r="H2" s="53"/>
      <c r="I2" s="53"/>
      <c r="J2" s="53"/>
      <c r="K2" s="53"/>
      <c r="L2" s="53"/>
      <c r="M2" s="53"/>
      <c r="N2" s="53"/>
      <c r="O2" s="53"/>
      <c r="P2" s="54" t="s">
        <v>26</v>
      </c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/>
      <c r="AF2" s="54" t="s">
        <v>9</v>
      </c>
      <c r="AG2" s="56"/>
    </row>
    <row r="3" spans="1:42" x14ac:dyDescent="0.45">
      <c r="A3" s="53"/>
      <c r="B3" s="60"/>
      <c r="C3" s="63"/>
      <c r="D3" s="63"/>
      <c r="E3" s="63"/>
      <c r="F3" s="53"/>
      <c r="G3" s="53"/>
      <c r="H3" s="53"/>
      <c r="I3" s="53"/>
      <c r="J3" s="53"/>
      <c r="K3" s="53"/>
      <c r="L3" s="53"/>
      <c r="M3" s="53"/>
      <c r="N3" s="53"/>
      <c r="O3" s="53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9"/>
      <c r="AF3" s="60"/>
      <c r="AG3" s="61"/>
    </row>
    <row r="4" spans="1:42" x14ac:dyDescent="0.45">
      <c r="A4" s="53"/>
      <c r="B4" s="60"/>
      <c r="C4" s="63"/>
      <c r="D4" s="63"/>
      <c r="E4" s="63"/>
      <c r="F4" s="53"/>
      <c r="G4" s="53"/>
      <c r="H4" s="53"/>
      <c r="I4" s="53"/>
      <c r="J4" s="53"/>
      <c r="K4" s="53"/>
      <c r="L4" s="53"/>
      <c r="M4" s="53"/>
      <c r="N4" s="53"/>
      <c r="O4" s="53"/>
      <c r="P4" s="18"/>
      <c r="Q4" s="51" t="s">
        <v>33</v>
      </c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2"/>
      <c r="AD4" s="11" t="s">
        <v>34</v>
      </c>
      <c r="AE4" s="11" t="s">
        <v>35</v>
      </c>
      <c r="AF4" s="60"/>
      <c r="AG4" s="61"/>
    </row>
    <row r="5" spans="1:42" x14ac:dyDescent="0.45">
      <c r="A5" s="53"/>
      <c r="B5" s="57"/>
      <c r="C5" s="58"/>
      <c r="D5" s="58"/>
      <c r="E5" s="58"/>
      <c r="F5" s="62" t="s">
        <v>36</v>
      </c>
      <c r="G5" s="62"/>
      <c r="H5" s="62"/>
      <c r="I5" s="62"/>
      <c r="J5" s="41"/>
      <c r="K5" s="57" t="s">
        <v>94</v>
      </c>
      <c r="L5" s="58"/>
      <c r="M5" s="58"/>
      <c r="N5" s="59"/>
      <c r="O5" s="42" t="s">
        <v>93</v>
      </c>
      <c r="P5" s="17" t="s">
        <v>30</v>
      </c>
      <c r="Q5" s="50" t="s">
        <v>44</v>
      </c>
      <c r="R5" s="51"/>
      <c r="S5" s="51"/>
      <c r="T5" s="52"/>
      <c r="U5" s="50" t="s">
        <v>19</v>
      </c>
      <c r="V5" s="51"/>
      <c r="W5" s="51"/>
      <c r="X5" s="52"/>
      <c r="Y5" s="64" t="s">
        <v>123</v>
      </c>
      <c r="Z5" s="53"/>
      <c r="AA5" s="53"/>
      <c r="AB5" s="53"/>
      <c r="AC5" s="53"/>
      <c r="AD5" s="13"/>
      <c r="AE5" s="11"/>
      <c r="AF5" s="60"/>
      <c r="AG5" s="61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124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57"/>
      <c r="AG6" s="59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2" si="0">IF(B7="","",
  IF(MOD($B7,1)=0,
    "Dimensions: L W H",
    "-"
  )
)</f>
        <v>Dimensions: L W H</v>
      </c>
      <c r="D7" s="6" t="str">
        <f t="shared" ref="D7:D18" si="1">IF(E7="","",
  IF(MOD($B7,1)=0,
    "완료",
    "-"
  )
)</f>
        <v>완료</v>
      </c>
      <c r="E7" s="24">
        <v>19</v>
      </c>
      <c r="F7" s="89" t="s">
        <v>40</v>
      </c>
      <c r="G7" s="24" t="s">
        <v>16</v>
      </c>
      <c r="H7" s="24" t="s">
        <v>16</v>
      </c>
      <c r="I7" s="8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2">IF(MOD($B7,5)=0, "스핀들유격: ","-" 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ref="U7:AB10" si="3">IF(MOD($B7,5)=0, "000-000","-" )</f>
        <v>-</v>
      </c>
      <c r="V7" s="7" t="str">
        <f t="shared" si="3"/>
        <v>-</v>
      </c>
      <c r="W7" s="7" t="str">
        <f t="shared" si="3"/>
        <v>-</v>
      </c>
      <c r="X7" s="7" t="str">
        <f t="shared" si="3"/>
        <v>-</v>
      </c>
      <c r="Y7" s="7" t="str">
        <f t="shared" si="3"/>
        <v>-</v>
      </c>
      <c r="Z7" s="7" t="str">
        <f t="shared" si="3"/>
        <v>-</v>
      </c>
      <c r="AA7" s="7" t="str">
        <f t="shared" si="3"/>
        <v>-</v>
      </c>
      <c r="AB7" s="7" t="str">
        <f t="shared" si="3"/>
        <v>-</v>
      </c>
      <c r="AC7" s="7" t="str">
        <f>IF(MOD($B7,5)=0, "스핀들소음 :","-" )</f>
        <v>-</v>
      </c>
      <c r="AD7" s="7" t="str">
        <f t="shared" ref="AD7:AD17" si="4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89" t="s">
        <v>40</v>
      </c>
      <c r="G8" s="91" t="str">
        <f>IF(NOT(LEN($I8)=0),G7,"")</f>
        <v>-</v>
      </c>
      <c r="H8" s="91" t="str">
        <f>IF(NOT(LEN($I8)=0),H7,"")</f>
        <v>-</v>
      </c>
      <c r="I8" s="89" t="s">
        <v>40</v>
      </c>
      <c r="J8" s="1"/>
      <c r="K8" s="91" t="str">
        <f t="shared" ref="K8:K17" si="5">IF(NOT(LEN($I8)=0),K7,"")</f>
        <v>VITA</v>
      </c>
      <c r="L8" s="91" t="str">
        <f t="shared" ref="L8:L17" si="6">IF(NOT(LEN($I8)=0),L7,"")</f>
        <v>MARK II</v>
      </c>
      <c r="M8" s="91">
        <f t="shared" ref="M8:M17" si="7">IF(NOT(LEN($I8)=0),M7,"")</f>
        <v>160</v>
      </c>
      <c r="N8" s="91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3"/>
        <v>-</v>
      </c>
      <c r="V8" s="7" t="str">
        <f t="shared" si="3"/>
        <v>-</v>
      </c>
      <c r="W8" s="7" t="str">
        <f t="shared" si="3"/>
        <v>-</v>
      </c>
      <c r="X8" s="7" t="str">
        <f t="shared" si="3"/>
        <v>-</v>
      </c>
      <c r="Y8" s="7" t="str">
        <f t="shared" si="3"/>
        <v>-</v>
      </c>
      <c r="Z8" s="7" t="str">
        <f t="shared" si="3"/>
        <v>-</v>
      </c>
      <c r="AA8" s="7" t="str">
        <f t="shared" si="3"/>
        <v>-</v>
      </c>
      <c r="AB8" s="7" t="str">
        <f t="shared" si="3"/>
        <v>-</v>
      </c>
      <c r="AC8" s="7" t="str">
        <f>IF(MOD($B8,5)=0, "스핀들소음 :","-" )</f>
        <v>-</v>
      </c>
      <c r="AD8" s="7" t="str">
        <f t="shared" si="4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2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89" t="s">
        <v>40</v>
      </c>
      <c r="G9" s="91" t="str">
        <f t="shared" ref="G9:G19" si="9">IF(NOT(LEN($I9)=0),G8,"")</f>
        <v>-</v>
      </c>
      <c r="H9" s="91" t="str">
        <f t="shared" ref="H9:H19" si="10">IF(NOT(LEN($I9)=0),H8,"")</f>
        <v>-</v>
      </c>
      <c r="I9" s="89" t="s">
        <v>40</v>
      </c>
      <c r="J9" s="1"/>
      <c r="K9" s="91" t="str">
        <f t="shared" si="5"/>
        <v>VITA</v>
      </c>
      <c r="L9" s="91" t="str">
        <f t="shared" si="6"/>
        <v>MARK II</v>
      </c>
      <c r="M9" s="91">
        <f t="shared" ref="M9:M18" si="11">IF(NOT(LEN($I9)=0),M8,"")</f>
        <v>160</v>
      </c>
      <c r="N9" s="91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3"/>
        <v>-</v>
      </c>
      <c r="V9" s="7" t="str">
        <f t="shared" si="3"/>
        <v>-</v>
      </c>
      <c r="W9" s="7" t="str">
        <f t="shared" si="3"/>
        <v>-</v>
      </c>
      <c r="X9" s="7" t="str">
        <f t="shared" si="3"/>
        <v>-</v>
      </c>
      <c r="Y9" s="7" t="str">
        <f t="shared" si="3"/>
        <v>-</v>
      </c>
      <c r="Z9" s="7" t="str">
        <f t="shared" si="3"/>
        <v>-</v>
      </c>
      <c r="AA9" s="7" t="str">
        <f t="shared" si="3"/>
        <v>-</v>
      </c>
      <c r="AB9" s="7" t="str">
        <f t="shared" si="3"/>
        <v>-</v>
      </c>
      <c r="AC9" s="7" t="str">
        <f>IF(MOD($B9,5)=0, "스핀들소음 :","-" )</f>
        <v>-</v>
      </c>
      <c r="AD9" s="7" t="str">
        <f t="shared" si="4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89" t="s">
        <v>40</v>
      </c>
      <c r="G10" s="91" t="str">
        <f t="shared" si="9"/>
        <v>-</v>
      </c>
      <c r="H10" s="91" t="str">
        <f t="shared" si="10"/>
        <v>-</v>
      </c>
      <c r="I10" s="89" t="s">
        <v>40</v>
      </c>
      <c r="J10" s="1"/>
      <c r="K10" s="91" t="str">
        <f t="shared" si="5"/>
        <v>VITA</v>
      </c>
      <c r="L10" s="91" t="str">
        <f t="shared" si="6"/>
        <v>MARK II</v>
      </c>
      <c r="M10" s="91">
        <f t="shared" si="11"/>
        <v>160</v>
      </c>
      <c r="N10" s="91" t="str">
        <f t="shared" si="12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3"/>
        <v>-</v>
      </c>
      <c r="V10" s="7" t="str">
        <f t="shared" si="3"/>
        <v>-</v>
      </c>
      <c r="W10" s="7" t="str">
        <f t="shared" si="3"/>
        <v>-</v>
      </c>
      <c r="X10" s="7" t="str">
        <f t="shared" si="3"/>
        <v>-</v>
      </c>
      <c r="Y10" s="7" t="str">
        <f t="shared" si="3"/>
        <v>-</v>
      </c>
      <c r="Z10" s="7" t="str">
        <f t="shared" si="3"/>
        <v>-</v>
      </c>
      <c r="AA10" s="7" t="str">
        <f t="shared" si="3"/>
        <v>-</v>
      </c>
      <c r="AB10" s="7" t="str">
        <f t="shared" si="3"/>
        <v>-</v>
      </c>
      <c r="AC10" s="7" t="str">
        <f>IF(MOD($B10,5)=0, "스핀들소음 :","-" )</f>
        <v>-</v>
      </c>
      <c r="AD10" s="7" t="str">
        <f t="shared" si="4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89" t="s">
        <v>40</v>
      </c>
      <c r="G11" s="91" t="str">
        <f t="shared" si="9"/>
        <v>-</v>
      </c>
      <c r="H11" s="91" t="str">
        <f t="shared" si="10"/>
        <v>-</v>
      </c>
      <c r="I11" s="89" t="s">
        <v>40</v>
      </c>
      <c r="J11" s="1"/>
      <c r="K11" s="91" t="str">
        <f t="shared" si="5"/>
        <v>VITA</v>
      </c>
      <c r="L11" s="91" t="str">
        <f t="shared" si="6"/>
        <v>MARK II</v>
      </c>
      <c r="M11" s="91">
        <f t="shared" si="11"/>
        <v>160</v>
      </c>
      <c r="N11" s="91" t="str">
        <f t="shared" si="12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46</v>
      </c>
      <c r="V11" s="7" t="s">
        <v>47</v>
      </c>
      <c r="W11" s="7" t="s">
        <v>48</v>
      </c>
      <c r="X11" s="7" t="s">
        <v>49</v>
      </c>
      <c r="Y11" s="7" t="str">
        <f t="shared" ref="Y11:AB17" si="13">IF(MOD($B11,5)=0, "000-000","-" )</f>
        <v>000-000</v>
      </c>
      <c r="Z11" s="7" t="str">
        <f t="shared" si="13"/>
        <v>000-000</v>
      </c>
      <c r="AA11" s="7" t="str">
        <f t="shared" si="13"/>
        <v>000-000</v>
      </c>
      <c r="AB11" s="7" t="str">
        <f t="shared" si="13"/>
        <v>000-000</v>
      </c>
      <c r="AC11" s="7" t="s">
        <v>67</v>
      </c>
      <c r="AD11" s="7" t="str">
        <f t="shared" si="4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89" t="s">
        <v>40</v>
      </c>
      <c r="G12" s="91" t="str">
        <f t="shared" si="9"/>
        <v>-</v>
      </c>
      <c r="H12" s="91" t="str">
        <f t="shared" si="10"/>
        <v>-</v>
      </c>
      <c r="I12" s="89" t="s">
        <v>40</v>
      </c>
      <c r="J12" s="1"/>
      <c r="K12" s="91" t="str">
        <f t="shared" si="5"/>
        <v>VITA</v>
      </c>
      <c r="L12" s="91" t="str">
        <f t="shared" si="6"/>
        <v>MARK II</v>
      </c>
      <c r="M12" s="91">
        <f t="shared" si="11"/>
        <v>160</v>
      </c>
      <c r="N12" s="91" t="str">
        <f t="shared" si="12"/>
        <v>-</v>
      </c>
      <c r="O12" s="24">
        <f>IF(LEN(A12)&gt;0, 종합!$C$27, "")</f>
        <v>2.2599999999999998</v>
      </c>
      <c r="P12" s="1" t="s">
        <v>16</v>
      </c>
      <c r="Q12" s="7" t="str">
        <f t="shared" ref="Q12:T17" si="14">IF(MOD($B12,5)=0, "스핀들유격: ","-" )</f>
        <v>-</v>
      </c>
      <c r="R12" s="7" t="str">
        <f t="shared" si="14"/>
        <v>-</v>
      </c>
      <c r="S12" s="7" t="str">
        <f t="shared" si="14"/>
        <v>-</v>
      </c>
      <c r="T12" s="7" t="str">
        <f t="shared" si="14"/>
        <v>-</v>
      </c>
      <c r="U12" s="7" t="str">
        <f t="shared" ref="U12:X17" si="15">IF(MOD($B12,5)=0, "000-000","-" )</f>
        <v>-</v>
      </c>
      <c r="V12" s="7" t="str">
        <f t="shared" si="15"/>
        <v>-</v>
      </c>
      <c r="W12" s="7" t="str">
        <f t="shared" si="15"/>
        <v>-</v>
      </c>
      <c r="X12" s="7" t="str">
        <f t="shared" si="15"/>
        <v>-</v>
      </c>
      <c r="Y12" s="7" t="str">
        <f t="shared" si="13"/>
        <v>-</v>
      </c>
      <c r="Z12" s="7" t="str">
        <f t="shared" si="13"/>
        <v>-</v>
      </c>
      <c r="AA12" s="7" t="str">
        <f t="shared" si="13"/>
        <v>-</v>
      </c>
      <c r="AB12" s="7" t="str">
        <f t="shared" si="13"/>
        <v>-</v>
      </c>
      <c r="AC12" s="7" t="str">
        <f t="shared" ref="AC12:AC17" si="16">IF(MOD($B12,5)=0, "스핀들소음 :","-" )</f>
        <v>-</v>
      </c>
      <c r="AD12" s="7" t="str">
        <f t="shared" si="4"/>
        <v>-</v>
      </c>
      <c r="AE12" s="7" t="str">
        <f>IF($B12="","",
  IF(MOD(B12,160)=0,
    "TENSION (XL : / ZL : / XR : / ZR : / Y : )" &amp; CHAR(10) &amp;
    "필터교체",
    "-"
  )
)</f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6">
        <v>0</v>
      </c>
      <c r="G13" s="90" t="str">
        <f t="shared" si="9"/>
        <v>-</v>
      </c>
      <c r="H13" s="90" t="str">
        <f t="shared" si="10"/>
        <v>-</v>
      </c>
      <c r="I13" s="6">
        <v>0</v>
      </c>
      <c r="J13" s="1"/>
      <c r="K13" s="91" t="str">
        <f t="shared" si="5"/>
        <v>VITA</v>
      </c>
      <c r="L13" s="91" t="str">
        <f t="shared" si="6"/>
        <v>MARK II</v>
      </c>
      <c r="M13" s="91">
        <f t="shared" si="11"/>
        <v>160</v>
      </c>
      <c r="N13" s="91" t="str">
        <f t="shared" si="12"/>
        <v>-</v>
      </c>
      <c r="O13" s="24">
        <f>IF(LEN(A13)&gt;0, 종합!$C$27, "")</f>
        <v>2.2599999999999998</v>
      </c>
      <c r="P13" s="1" t="s">
        <v>16</v>
      </c>
      <c r="Q13" s="7" t="str">
        <f t="shared" si="14"/>
        <v>-</v>
      </c>
      <c r="R13" s="7" t="str">
        <f t="shared" si="14"/>
        <v>-</v>
      </c>
      <c r="S13" s="7" t="str">
        <f t="shared" si="14"/>
        <v>-</v>
      </c>
      <c r="T13" s="7" t="str">
        <f t="shared" si="14"/>
        <v>-</v>
      </c>
      <c r="U13" s="7" t="str">
        <f t="shared" si="15"/>
        <v>-</v>
      </c>
      <c r="V13" s="7" t="str">
        <f t="shared" si="15"/>
        <v>-</v>
      </c>
      <c r="W13" s="7" t="str">
        <f t="shared" si="15"/>
        <v>-</v>
      </c>
      <c r="X13" s="7" t="str">
        <f t="shared" si="15"/>
        <v>-</v>
      </c>
      <c r="Y13" s="7" t="str">
        <f t="shared" si="13"/>
        <v>-</v>
      </c>
      <c r="Z13" s="7" t="str">
        <f t="shared" si="13"/>
        <v>-</v>
      </c>
      <c r="AA13" s="7" t="str">
        <f t="shared" si="13"/>
        <v>-</v>
      </c>
      <c r="AB13" s="7" t="str">
        <f t="shared" si="13"/>
        <v>-</v>
      </c>
      <c r="AC13" s="7" t="str">
        <f t="shared" si="16"/>
        <v>-</v>
      </c>
      <c r="AD13" s="7" t="str">
        <f t="shared" si="4"/>
        <v>-</v>
      </c>
      <c r="AE13" s="7" t="str">
        <f>IF($B13="","",
  IF(MOD(B13,160)=0,
    "TENSION (XL : / ZL : / XR : / ZR : / Y : )" &amp; CHAR(10) &amp;
    "필터교체",
    "-"
  )
)</f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6">
        <f>IF(NOT(LEN($A14)=0),IF(F13+1&gt;15,"버교체요망",F13+1),"")</f>
        <v>1</v>
      </c>
      <c r="G14" s="90" t="str">
        <f t="shared" si="9"/>
        <v>-</v>
      </c>
      <c r="H14" s="90" t="str">
        <f t="shared" si="10"/>
        <v>-</v>
      </c>
      <c r="I14" s="6">
        <f>IF(NOT(LEN($A14)=0),IF(I13+1&gt;15,"버교체요망",I13+1),"")</f>
        <v>1</v>
      </c>
      <c r="J14" s="1"/>
      <c r="K14" s="91" t="str">
        <f t="shared" si="5"/>
        <v>VITA</v>
      </c>
      <c r="L14" s="91" t="str">
        <f t="shared" si="6"/>
        <v>MARK II</v>
      </c>
      <c r="M14" s="91">
        <f t="shared" si="11"/>
        <v>160</v>
      </c>
      <c r="N14" s="91" t="str">
        <f t="shared" si="12"/>
        <v>-</v>
      </c>
      <c r="O14" s="24">
        <f>IF(LEN(A14)&gt;0, 종합!$C$27, "")</f>
        <v>2.2599999999999998</v>
      </c>
      <c r="P14" s="1" t="s">
        <v>16</v>
      </c>
      <c r="Q14" s="7" t="str">
        <f t="shared" si="14"/>
        <v>-</v>
      </c>
      <c r="R14" s="7" t="str">
        <f t="shared" si="14"/>
        <v>-</v>
      </c>
      <c r="S14" s="7" t="str">
        <f t="shared" si="14"/>
        <v>-</v>
      </c>
      <c r="T14" s="7" t="str">
        <f t="shared" si="14"/>
        <v>-</v>
      </c>
      <c r="U14" s="7" t="str">
        <f t="shared" si="15"/>
        <v>-</v>
      </c>
      <c r="V14" s="7" t="str">
        <f t="shared" si="15"/>
        <v>-</v>
      </c>
      <c r="W14" s="7" t="str">
        <f t="shared" si="15"/>
        <v>-</v>
      </c>
      <c r="X14" s="7" t="str">
        <f t="shared" si="15"/>
        <v>-</v>
      </c>
      <c r="Y14" s="7" t="str">
        <f t="shared" si="13"/>
        <v>-</v>
      </c>
      <c r="Z14" s="7" t="str">
        <f t="shared" si="13"/>
        <v>-</v>
      </c>
      <c r="AA14" s="7" t="str">
        <f t="shared" si="13"/>
        <v>-</v>
      </c>
      <c r="AB14" s="7" t="str">
        <f t="shared" si="13"/>
        <v>-</v>
      </c>
      <c r="AC14" s="7" t="str">
        <f t="shared" si="16"/>
        <v>-</v>
      </c>
      <c r="AD14" s="7" t="str">
        <f t="shared" si="4"/>
        <v>-</v>
      </c>
      <c r="AE14" s="7" t="str">
        <f>IF($B14="","",
  IF(MOD(B14,160)=0,
    "TENSION (XL : / ZL : / XR : / ZR : / Y : )" &amp; CHAR(10) &amp;
    "필터교체",
    "-"
  )
)</f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6">
        <f t="shared" ref="F15:F22" si="17">IF(NOT(LEN($A15)=0),IF(F14+1&gt;15,"버교체요망",F14+1),"")</f>
        <v>2</v>
      </c>
      <c r="G15" s="90" t="str">
        <f t="shared" si="9"/>
        <v>-</v>
      </c>
      <c r="H15" s="90" t="str">
        <f t="shared" si="10"/>
        <v>-</v>
      </c>
      <c r="I15" s="6">
        <f t="shared" ref="I15:I22" si="18">IF(NOT(LEN($A15)=0),IF(I14+1&gt;15,"버교체요망",I14+1),"")</f>
        <v>2</v>
      </c>
      <c r="J15" s="1"/>
      <c r="K15" s="91" t="str">
        <f t="shared" si="5"/>
        <v>VITA</v>
      </c>
      <c r="L15" s="91" t="str">
        <f t="shared" si="6"/>
        <v>MARK II</v>
      </c>
      <c r="M15" s="91">
        <f t="shared" si="11"/>
        <v>160</v>
      </c>
      <c r="N15" s="91" t="str">
        <f t="shared" si="12"/>
        <v>-</v>
      </c>
      <c r="O15" s="24">
        <f>IF(LEN(A15)&gt;0, 종합!$C$27, "")</f>
        <v>2.2599999999999998</v>
      </c>
      <c r="P15" s="1" t="s">
        <v>16</v>
      </c>
      <c r="Q15" s="7" t="str">
        <f t="shared" si="14"/>
        <v>-</v>
      </c>
      <c r="R15" s="7" t="str">
        <f t="shared" si="14"/>
        <v>-</v>
      </c>
      <c r="S15" s="7" t="str">
        <f t="shared" si="14"/>
        <v>-</v>
      </c>
      <c r="T15" s="7" t="str">
        <f t="shared" si="14"/>
        <v>-</v>
      </c>
      <c r="U15" s="7" t="str">
        <f t="shared" si="15"/>
        <v>-</v>
      </c>
      <c r="V15" s="7" t="str">
        <f t="shared" si="15"/>
        <v>-</v>
      </c>
      <c r="W15" s="7" t="str">
        <f t="shared" si="15"/>
        <v>-</v>
      </c>
      <c r="X15" s="7" t="str">
        <f t="shared" si="15"/>
        <v>-</v>
      </c>
      <c r="Y15" s="7" t="str">
        <f t="shared" si="13"/>
        <v>-</v>
      </c>
      <c r="Z15" s="7" t="str">
        <f t="shared" si="13"/>
        <v>-</v>
      </c>
      <c r="AA15" s="7" t="str">
        <f t="shared" si="13"/>
        <v>-</v>
      </c>
      <c r="AB15" s="7" t="str">
        <f t="shared" si="13"/>
        <v>-</v>
      </c>
      <c r="AC15" s="7" t="str">
        <f t="shared" si="16"/>
        <v>-</v>
      </c>
      <c r="AD15" s="7" t="str">
        <f t="shared" si="4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6">
        <f t="shared" si="17"/>
        <v>3</v>
      </c>
      <c r="G16" s="90" t="str">
        <f t="shared" si="9"/>
        <v>-</v>
      </c>
      <c r="H16" s="90" t="str">
        <f t="shared" si="10"/>
        <v>-</v>
      </c>
      <c r="I16" s="6">
        <f t="shared" si="18"/>
        <v>3</v>
      </c>
      <c r="J16" s="1"/>
      <c r="K16" s="91" t="str">
        <f t="shared" si="5"/>
        <v>VITA</v>
      </c>
      <c r="L16" s="91" t="str">
        <f t="shared" si="6"/>
        <v>MARK II</v>
      </c>
      <c r="M16" s="91">
        <f t="shared" si="11"/>
        <v>160</v>
      </c>
      <c r="N16" s="91" t="str">
        <f t="shared" si="12"/>
        <v>-</v>
      </c>
      <c r="O16" s="24">
        <f>IF(LEN(A16)&gt;0, 종합!$C$27, "")</f>
        <v>2.2599999999999998</v>
      </c>
      <c r="P16" s="1" t="s">
        <v>16</v>
      </c>
      <c r="Q16" s="7" t="str">
        <f t="shared" si="14"/>
        <v xml:space="preserve">스핀들유격: </v>
      </c>
      <c r="R16" s="7" t="str">
        <f t="shared" si="14"/>
        <v xml:space="preserve">스핀들유격: </v>
      </c>
      <c r="S16" s="7" t="str">
        <f t="shared" si="14"/>
        <v xml:space="preserve">스핀들유격: </v>
      </c>
      <c r="T16" s="7" t="str">
        <f t="shared" si="14"/>
        <v xml:space="preserve">스핀들유격: </v>
      </c>
      <c r="U16" s="7" t="str">
        <f t="shared" si="15"/>
        <v>000-000</v>
      </c>
      <c r="V16" s="7" t="str">
        <f t="shared" si="15"/>
        <v>000-000</v>
      </c>
      <c r="W16" s="7" t="str">
        <f t="shared" si="15"/>
        <v>000-000</v>
      </c>
      <c r="X16" s="7" t="str">
        <f t="shared" si="15"/>
        <v>000-000</v>
      </c>
      <c r="Y16" s="7" t="str">
        <f t="shared" si="13"/>
        <v>000-000</v>
      </c>
      <c r="Z16" s="7" t="str">
        <f t="shared" si="13"/>
        <v>000-000</v>
      </c>
      <c r="AA16" s="7" t="str">
        <f t="shared" si="13"/>
        <v>000-000</v>
      </c>
      <c r="AB16" s="7" t="str">
        <f t="shared" si="13"/>
        <v>000-000</v>
      </c>
      <c r="AC16" s="7" t="str">
        <f t="shared" si="16"/>
        <v>스핀들소음 :</v>
      </c>
      <c r="AD16" s="7" t="str">
        <f t="shared" si="4"/>
        <v>-</v>
      </c>
      <c r="AE16" s="7" t="str">
        <f>IF($B16="","",
  IF(MOD(B16,160)=0,
    "TENSION (XL : / ZL : / XR : / ZR : / Y : )" &amp; CHAR(10) &amp;
    "필터교체",
    "-"
  )
)</f>
        <v>-</v>
      </c>
      <c r="AF16" s="1" t="s">
        <v>16</v>
      </c>
      <c r="AG16" s="2"/>
    </row>
    <row r="17" spans="1:33" x14ac:dyDescent="0.45">
      <c r="A17" s="3">
        <v>45973</v>
      </c>
      <c r="B17" s="24">
        <f t="shared" si="8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6">
        <f t="shared" si="17"/>
        <v>4</v>
      </c>
      <c r="G17" s="90" t="str">
        <f t="shared" si="9"/>
        <v>-</v>
      </c>
      <c r="H17" s="90" t="str">
        <f t="shared" si="10"/>
        <v>-</v>
      </c>
      <c r="I17" s="6">
        <f t="shared" si="18"/>
        <v>4</v>
      </c>
      <c r="J17" s="1"/>
      <c r="K17" s="91" t="str">
        <f t="shared" si="5"/>
        <v>VITA</v>
      </c>
      <c r="L17" s="91" t="str">
        <f t="shared" si="6"/>
        <v>MARK II</v>
      </c>
      <c r="M17" s="91">
        <f t="shared" si="11"/>
        <v>160</v>
      </c>
      <c r="N17" s="91" t="str">
        <f t="shared" si="12"/>
        <v>-</v>
      </c>
      <c r="O17" s="24">
        <f>IF(LEN(A17)&gt;0, 종합!$C$27, "")</f>
        <v>2.2599999999999998</v>
      </c>
      <c r="P17" s="1" t="s">
        <v>16</v>
      </c>
      <c r="Q17" s="7" t="str">
        <f t="shared" si="14"/>
        <v>-</v>
      </c>
      <c r="R17" s="7" t="str">
        <f t="shared" si="14"/>
        <v>-</v>
      </c>
      <c r="S17" s="7" t="str">
        <f t="shared" si="14"/>
        <v>-</v>
      </c>
      <c r="T17" s="7" t="str">
        <f t="shared" si="14"/>
        <v>-</v>
      </c>
      <c r="U17" s="7" t="str">
        <f t="shared" si="15"/>
        <v>-</v>
      </c>
      <c r="V17" s="7" t="str">
        <f t="shared" si="15"/>
        <v>-</v>
      </c>
      <c r="W17" s="7" t="str">
        <f t="shared" si="15"/>
        <v>-</v>
      </c>
      <c r="X17" s="7" t="str">
        <f t="shared" si="15"/>
        <v>-</v>
      </c>
      <c r="Y17" s="7" t="str">
        <f t="shared" si="13"/>
        <v>-</v>
      </c>
      <c r="Z17" s="7" t="str">
        <f t="shared" si="13"/>
        <v>-</v>
      </c>
      <c r="AA17" s="7" t="str">
        <f t="shared" si="13"/>
        <v>-</v>
      </c>
      <c r="AB17" s="7" t="str">
        <f t="shared" si="13"/>
        <v>-</v>
      </c>
      <c r="AC17" s="7" t="str">
        <f t="shared" si="16"/>
        <v>-</v>
      </c>
      <c r="AD17" s="7" t="str">
        <f t="shared" si="4"/>
        <v>-</v>
      </c>
      <c r="AE17" s="7" t="str">
        <f>IF($B17="","",
  IF(MOD(B17,160)=0,
    "TENSION (XL : / ZL : / XR : / ZR : / Y : )" &amp; CHAR(10) &amp;
    "필터교체",
    "-"
  )
)</f>
        <v>-</v>
      </c>
      <c r="AF17" s="1" t="s">
        <v>16</v>
      </c>
      <c r="AG17" s="2"/>
    </row>
    <row r="18" spans="1:33" x14ac:dyDescent="0.45">
      <c r="A18" s="3">
        <v>45973</v>
      </c>
      <c r="B18" s="24">
        <f t="shared" si="8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6">
        <f t="shared" si="17"/>
        <v>5</v>
      </c>
      <c r="G18" s="90" t="str">
        <f t="shared" si="9"/>
        <v>-</v>
      </c>
      <c r="H18" s="90" t="str">
        <f t="shared" si="10"/>
        <v>-</v>
      </c>
      <c r="I18" s="6">
        <f t="shared" si="18"/>
        <v>5</v>
      </c>
      <c r="J18" s="1"/>
      <c r="K18" s="91" t="str">
        <f>IF(NOT(LEN($I18)=0),K17,"")</f>
        <v>VITA</v>
      </c>
      <c r="L18" s="91" t="str">
        <f>IF(NOT(LEN($I18)=0),L17,"")</f>
        <v>MARK II</v>
      </c>
      <c r="M18" s="91">
        <f t="shared" si="11"/>
        <v>160</v>
      </c>
      <c r="N18" s="91" t="str">
        <f t="shared" si="12"/>
        <v>-</v>
      </c>
      <c r="O18" s="24">
        <f>IF(LEN(A18)&gt;0, 종합!$C$27, "")</f>
        <v>2.2599999999999998</v>
      </c>
      <c r="P18" s="1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1"/>
      <c r="AG18" s="2"/>
    </row>
    <row r="19" spans="1:33" x14ac:dyDescent="0.45">
      <c r="A19" s="3">
        <v>45973</v>
      </c>
      <c r="B19" s="24">
        <f t="shared" si="8"/>
        <v>13</v>
      </c>
      <c r="C19" s="7" t="str">
        <f t="shared" si="0"/>
        <v>Dimensions: L W H</v>
      </c>
      <c r="D19" s="6" t="str">
        <f t="shared" ref="D19:D22" si="19">IF(NOT(LEN(B19)=0),"진행중","")</f>
        <v>진행중</v>
      </c>
      <c r="E19" s="90">
        <v>21</v>
      </c>
      <c r="F19" s="87">
        <f t="shared" si="17"/>
        <v>6</v>
      </c>
      <c r="G19" s="91" t="str">
        <f t="shared" si="9"/>
        <v>-</v>
      </c>
      <c r="H19" s="91" t="str">
        <f t="shared" si="10"/>
        <v>-</v>
      </c>
      <c r="I19" s="87">
        <f t="shared" si="18"/>
        <v>6</v>
      </c>
      <c r="J19" s="1"/>
      <c r="K19" s="91" t="str">
        <f t="shared" ref="K19:K22" si="20">IF(NOT(LEN($I19)=0),K18,"")</f>
        <v>VITA</v>
      </c>
      <c r="L19" s="91" t="str">
        <f t="shared" ref="L19:L22" si="21">IF(NOT(LEN($I19)=0),L18,"")</f>
        <v>MARK II</v>
      </c>
      <c r="M19" s="91">
        <f t="shared" ref="M19:M22" si="22">IF(NOT(LEN($I19)=0),M18,"")</f>
        <v>160</v>
      </c>
      <c r="N19" s="91" t="str">
        <f t="shared" ref="N19:N22" si="23">IF(NOT(LEN($I19)=0),N18,"")</f>
        <v>-</v>
      </c>
      <c r="O19" s="24">
        <f>IF(LEN(A19)&gt;0, 종합!$C$27, "")</f>
        <v>2.2599999999999998</v>
      </c>
      <c r="P19" s="1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1"/>
      <c r="AG19" s="2"/>
    </row>
    <row r="20" spans="1:33" x14ac:dyDescent="0.45">
      <c r="A20" s="23"/>
      <c r="B20" s="24" t="str">
        <f t="shared" si="8"/>
        <v/>
      </c>
      <c r="C20" s="7" t="str">
        <f t="shared" si="0"/>
        <v/>
      </c>
      <c r="D20" s="6" t="str">
        <f t="shared" si="19"/>
        <v/>
      </c>
      <c r="E20" s="89" t="str">
        <f t="shared" ref="E20:E22" si="24">IF(NOT(LEN(C20)=0),"누락","")</f>
        <v/>
      </c>
      <c r="F20" s="87" t="str">
        <f t="shared" si="17"/>
        <v/>
      </c>
      <c r="G20" s="1"/>
      <c r="H20" s="1"/>
      <c r="I20" s="87" t="str">
        <f t="shared" si="18"/>
        <v/>
      </c>
      <c r="J20" s="1"/>
      <c r="K20" s="91" t="str">
        <f t="shared" si="20"/>
        <v/>
      </c>
      <c r="L20" s="91" t="str">
        <f t="shared" si="21"/>
        <v/>
      </c>
      <c r="M20" s="91" t="str">
        <f t="shared" si="22"/>
        <v/>
      </c>
      <c r="N20" s="91" t="str">
        <f t="shared" si="23"/>
        <v/>
      </c>
      <c r="O20" s="24" t="str">
        <f>IF(LEN(A20)&gt;0, 종합!$C$27, "")</f>
        <v/>
      </c>
      <c r="P20" s="1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1"/>
      <c r="AG20" s="2"/>
    </row>
    <row r="21" spans="1:33" x14ac:dyDescent="0.45">
      <c r="B21" s="24" t="str">
        <f t="shared" si="8"/>
        <v/>
      </c>
      <c r="C21" s="7" t="str">
        <f t="shared" si="0"/>
        <v/>
      </c>
      <c r="D21" s="6" t="str">
        <f t="shared" si="19"/>
        <v/>
      </c>
      <c r="E21" s="89" t="str">
        <f t="shared" si="24"/>
        <v/>
      </c>
      <c r="F21" s="87" t="str">
        <f t="shared" si="17"/>
        <v/>
      </c>
      <c r="I21" s="87" t="str">
        <f t="shared" si="18"/>
        <v/>
      </c>
      <c r="K21" s="91" t="str">
        <f t="shared" si="20"/>
        <v/>
      </c>
      <c r="L21" s="91" t="str">
        <f t="shared" si="21"/>
        <v/>
      </c>
      <c r="M21" s="91" t="str">
        <f t="shared" si="22"/>
        <v/>
      </c>
      <c r="N21" s="91" t="str">
        <f t="shared" si="23"/>
        <v/>
      </c>
      <c r="O21" s="24" t="str">
        <f>IF(LEN(A21)&gt;0, 종합!$C$27, "")</f>
        <v/>
      </c>
    </row>
    <row r="22" spans="1:33" x14ac:dyDescent="0.45">
      <c r="B22" s="24" t="str">
        <f t="shared" si="8"/>
        <v/>
      </c>
      <c r="C22" s="7" t="str">
        <f t="shared" si="0"/>
        <v/>
      </c>
      <c r="D22" s="6" t="str">
        <f t="shared" si="19"/>
        <v/>
      </c>
      <c r="E22" s="89" t="str">
        <f t="shared" si="24"/>
        <v/>
      </c>
      <c r="F22" s="87" t="str">
        <f t="shared" si="17"/>
        <v/>
      </c>
      <c r="I22" s="87" t="str">
        <f t="shared" si="18"/>
        <v/>
      </c>
      <c r="K22" s="91" t="str">
        <f t="shared" si="20"/>
        <v/>
      </c>
      <c r="L22" s="91" t="str">
        <f t="shared" si="21"/>
        <v/>
      </c>
      <c r="M22" s="91" t="str">
        <f t="shared" si="22"/>
        <v/>
      </c>
      <c r="N22" s="91" t="str">
        <f t="shared" si="23"/>
        <v/>
      </c>
      <c r="O22" s="24" t="str">
        <f>IF(LEN(A22)&gt;0, 종합!$C$27, "")</f>
        <v/>
      </c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 H20">
    <cfRule type="containsText" dxfId="461" priority="196" operator="containsText" text="신품">
      <formula>NOT(ISERROR(SEARCH("신품",F7)))</formula>
    </cfRule>
    <cfRule type="containsText" dxfId="460" priority="197" operator="containsText" text="중고">
      <formula>NOT(ISERROR(SEARCH("중고",F7)))</formula>
    </cfRule>
  </conditionalFormatting>
  <conditionalFormatting sqref="I7:I9">
    <cfRule type="containsText" dxfId="459" priority="194" operator="containsText" text="신품">
      <formula>NOT(ISERROR(SEARCH("신품",I7)))</formula>
    </cfRule>
    <cfRule type="containsText" dxfId="458" priority="195" operator="containsText" text="중고">
      <formula>NOT(ISERROR(SEARCH("중고",I7)))</formula>
    </cfRule>
  </conditionalFormatting>
  <conditionalFormatting sqref="F10">
    <cfRule type="containsText" dxfId="457" priority="190" operator="containsText" text="신품">
      <formula>NOT(ISERROR(SEARCH("신품",F10)))</formula>
    </cfRule>
    <cfRule type="containsText" dxfId="456" priority="191" operator="containsText" text="중고">
      <formula>NOT(ISERROR(SEARCH("중고",F10)))</formula>
    </cfRule>
  </conditionalFormatting>
  <conditionalFormatting sqref="I10">
    <cfRule type="containsText" dxfId="455" priority="188" operator="containsText" text="신품">
      <formula>NOT(ISERROR(SEARCH("신품",I10)))</formula>
    </cfRule>
    <cfRule type="containsText" dxfId="454" priority="189" operator="containsText" text="중고">
      <formula>NOT(ISERROR(SEARCH("중고",I10)))</formula>
    </cfRule>
  </conditionalFormatting>
  <conditionalFormatting sqref="F11">
    <cfRule type="containsText" dxfId="453" priority="184" operator="containsText" text="신품">
      <formula>NOT(ISERROR(SEARCH("신품",F11)))</formula>
    </cfRule>
    <cfRule type="containsText" dxfId="452" priority="185" operator="containsText" text="중고">
      <formula>NOT(ISERROR(SEARCH("중고",F11)))</formula>
    </cfRule>
  </conditionalFormatting>
  <conditionalFormatting sqref="I11">
    <cfRule type="containsText" dxfId="451" priority="182" operator="containsText" text="신품">
      <formula>NOT(ISERROR(SEARCH("신품",I11)))</formula>
    </cfRule>
    <cfRule type="containsText" dxfId="450" priority="183" operator="containsText" text="중고">
      <formula>NOT(ISERROR(SEARCH("중고",I11)))</formula>
    </cfRule>
  </conditionalFormatting>
  <conditionalFormatting sqref="H20 F12">
    <cfRule type="containsText" dxfId="449" priority="178" operator="containsText" text="신품">
      <formula>NOT(ISERROR(SEARCH("신품",F12)))</formula>
    </cfRule>
    <cfRule type="containsText" dxfId="448" priority="179" operator="containsText" text="중고">
      <formula>NOT(ISERROR(SEARCH("중고",F12)))</formula>
    </cfRule>
  </conditionalFormatting>
  <conditionalFormatting sqref="I12">
    <cfRule type="containsText" dxfId="447" priority="176" operator="containsText" text="신품">
      <formula>NOT(ISERROR(SEARCH("신품",I12)))</formula>
    </cfRule>
    <cfRule type="containsText" dxfId="446" priority="177" operator="containsText" text="중고">
      <formula>NOT(ISERROR(SEARCH("중고",I12)))</formula>
    </cfRule>
  </conditionalFormatting>
  <conditionalFormatting sqref="D7:D22">
    <cfRule type="containsText" dxfId="441" priority="168" operator="containsText" text="완료">
      <formula>NOT(ISERROR(SEARCH("완료",D7)))</formula>
    </cfRule>
    <cfRule type="containsText" dxfId="440" priority="169" operator="containsText" text="중단">
      <formula>NOT(ISERROR(SEARCH("중단",D7)))</formula>
    </cfRule>
  </conditionalFormatting>
  <conditionalFormatting sqref="D11">
    <cfRule type="containsText" dxfId="439" priority="166" operator="containsText" text="완료">
      <formula>NOT(ISERROR(SEARCH("완료",D11)))</formula>
    </cfRule>
    <cfRule type="containsText" dxfId="438" priority="167" operator="containsText" text="중단">
      <formula>NOT(ISERROR(SEARCH("중단",D11)))</formula>
    </cfRule>
  </conditionalFormatting>
  <conditionalFormatting sqref="D8:D22">
    <cfRule type="containsText" dxfId="437" priority="164" operator="containsText" text="완료">
      <formula>NOT(ISERROR(SEARCH("완료",D8)))</formula>
    </cfRule>
    <cfRule type="containsText" dxfId="436" priority="165" operator="containsText" text="중단">
      <formula>NOT(ISERROR(SEARCH("중단",D8)))</formula>
    </cfRule>
  </conditionalFormatting>
  <conditionalFormatting sqref="D13:D18">
    <cfRule type="containsText" dxfId="435" priority="162" operator="containsText" text="완료">
      <formula>NOT(ISERROR(SEARCH("완료",D13)))</formula>
    </cfRule>
    <cfRule type="containsText" dxfId="434" priority="163" operator="containsText" text="중단">
      <formula>NOT(ISERROR(SEARCH("중단",D13)))</formula>
    </cfRule>
  </conditionalFormatting>
  <conditionalFormatting sqref="D7:D23">
    <cfRule type="containsText" dxfId="433" priority="161" operator="containsText" text="진행중">
      <formula>NOT(ISERROR(SEARCH("진행중",D7)))</formula>
    </cfRule>
  </conditionalFormatting>
  <conditionalFormatting sqref="N8:N22">
    <cfRule type="containsText" dxfId="432" priority="64" operator="containsText" text="완료">
      <formula>NOT(ISERROR(SEARCH("완료",N8)))</formula>
    </cfRule>
    <cfRule type="containsText" dxfId="431" priority="65" operator="containsText" text="중단">
      <formula>NOT(ISERROR(SEARCH("중단",N8)))</formula>
    </cfRule>
  </conditionalFormatting>
  <conditionalFormatting sqref="N8:N22">
    <cfRule type="containsText" dxfId="430" priority="62" operator="containsText" text="완료">
      <formula>NOT(ISERROR(SEARCH("완료",N8)))</formula>
    </cfRule>
    <cfRule type="containsText" dxfId="429" priority="63" operator="containsText" text="중단">
      <formula>NOT(ISERROR(SEARCH("중단",N8)))</formula>
    </cfRule>
  </conditionalFormatting>
  <conditionalFormatting sqref="N8:N22">
    <cfRule type="containsText" dxfId="428" priority="61" operator="containsText" text="진행중">
      <formula>NOT(ISERROR(SEARCH("진행중",N8)))</formula>
    </cfRule>
  </conditionalFormatting>
  <conditionalFormatting sqref="F14:F22">
    <cfRule type="containsText" dxfId="427" priority="154" operator="containsText" text="완료">
      <formula>NOT(ISERROR(SEARCH("완료",F14)))</formula>
    </cfRule>
    <cfRule type="containsText" dxfId="426" priority="155" operator="containsText" text="중단">
      <formula>NOT(ISERROR(SEARCH("중단",F14)))</formula>
    </cfRule>
  </conditionalFormatting>
  <conditionalFormatting sqref="F14:F22">
    <cfRule type="containsText" dxfId="425" priority="152" operator="containsText" text="완료">
      <formula>NOT(ISERROR(SEARCH("완료",F14)))</formula>
    </cfRule>
    <cfRule type="containsText" dxfId="424" priority="153" operator="containsText" text="중단">
      <formula>NOT(ISERROR(SEARCH("중단",F14)))</formula>
    </cfRule>
  </conditionalFormatting>
  <conditionalFormatting sqref="F14:F22">
    <cfRule type="containsText" dxfId="423" priority="151" operator="containsText" text="진행중">
      <formula>NOT(ISERROR(SEARCH("진행중",F14)))</formula>
    </cfRule>
  </conditionalFormatting>
  <conditionalFormatting sqref="K8:K17">
    <cfRule type="containsText" dxfId="412" priority="44" operator="containsText" text="완료">
      <formula>NOT(ISERROR(SEARCH("완료",K8)))</formula>
    </cfRule>
    <cfRule type="containsText" dxfId="411" priority="45" operator="containsText" text="중단">
      <formula>NOT(ISERROR(SEARCH("중단",K8)))</formula>
    </cfRule>
  </conditionalFormatting>
  <conditionalFormatting sqref="K8:K17">
    <cfRule type="containsText" dxfId="410" priority="42" operator="containsText" text="완료">
      <formula>NOT(ISERROR(SEARCH("완료",K8)))</formula>
    </cfRule>
    <cfRule type="containsText" dxfId="409" priority="43" operator="containsText" text="중단">
      <formula>NOT(ISERROR(SEARCH("중단",K8)))</formula>
    </cfRule>
  </conditionalFormatting>
  <conditionalFormatting sqref="K8:K17">
    <cfRule type="containsText" dxfId="408" priority="41" operator="containsText" text="진행중">
      <formula>NOT(ISERROR(SEARCH("진행중",K8)))</formula>
    </cfRule>
  </conditionalFormatting>
  <conditionalFormatting sqref="L8:L17">
    <cfRule type="containsText" dxfId="407" priority="39" operator="containsText" text="완료">
      <formula>NOT(ISERROR(SEARCH("완료",L8)))</formula>
    </cfRule>
    <cfRule type="containsText" dxfId="406" priority="40" operator="containsText" text="중단">
      <formula>NOT(ISERROR(SEARCH("중단",L8)))</formula>
    </cfRule>
  </conditionalFormatting>
  <conditionalFormatting sqref="L8:L17">
    <cfRule type="containsText" dxfId="405" priority="37" operator="containsText" text="완료">
      <formula>NOT(ISERROR(SEARCH("완료",L8)))</formula>
    </cfRule>
    <cfRule type="containsText" dxfId="404" priority="38" operator="containsText" text="중단">
      <formula>NOT(ISERROR(SEARCH("중단",L8)))</formula>
    </cfRule>
  </conditionalFormatting>
  <conditionalFormatting sqref="L8:L17">
    <cfRule type="containsText" dxfId="403" priority="36" operator="containsText" text="진행중">
      <formula>NOT(ISERROR(SEARCH("진행중",L8)))</formula>
    </cfRule>
  </conditionalFormatting>
  <conditionalFormatting sqref="M8:M22">
    <cfRule type="containsText" dxfId="397" priority="34" operator="containsText" text="완료">
      <formula>NOT(ISERROR(SEARCH("완료",M8)))</formula>
    </cfRule>
    <cfRule type="containsText" dxfId="396" priority="35" operator="containsText" text="중단">
      <formula>NOT(ISERROR(SEARCH("중단",M8)))</formula>
    </cfRule>
  </conditionalFormatting>
  <conditionalFormatting sqref="M8:M22">
    <cfRule type="containsText" dxfId="395" priority="32" operator="containsText" text="완료">
      <formula>NOT(ISERROR(SEARCH("완료",M8)))</formula>
    </cfRule>
    <cfRule type="containsText" dxfId="394" priority="33" operator="containsText" text="중단">
      <formula>NOT(ISERROR(SEARCH("중단",M8)))</formula>
    </cfRule>
  </conditionalFormatting>
  <conditionalFormatting sqref="M8:M22">
    <cfRule type="containsText" dxfId="393" priority="31" operator="containsText" text="진행중">
      <formula>NOT(ISERROR(SEARCH("진행중",M8)))</formula>
    </cfRule>
  </conditionalFormatting>
  <conditionalFormatting sqref="I14:I22">
    <cfRule type="containsText" dxfId="382" priority="109" operator="containsText" text="완료">
      <formula>NOT(ISERROR(SEARCH("완료",I14)))</formula>
    </cfRule>
    <cfRule type="containsText" dxfId="381" priority="110" operator="containsText" text="중단">
      <formula>NOT(ISERROR(SEARCH("중단",I14)))</formula>
    </cfRule>
  </conditionalFormatting>
  <conditionalFormatting sqref="I14:I22">
    <cfRule type="containsText" dxfId="380" priority="107" operator="containsText" text="완료">
      <formula>NOT(ISERROR(SEARCH("완료",I14)))</formula>
    </cfRule>
    <cfRule type="containsText" dxfId="379" priority="108" operator="containsText" text="중단">
      <formula>NOT(ISERROR(SEARCH("중단",I14)))</formula>
    </cfRule>
  </conditionalFormatting>
  <conditionalFormatting sqref="I14:I22">
    <cfRule type="containsText" dxfId="378" priority="106" operator="containsText" text="진행중">
      <formula>NOT(ISERROR(SEARCH("진행중",I14)))</formula>
    </cfRule>
  </conditionalFormatting>
  <conditionalFormatting sqref="F13">
    <cfRule type="containsText" dxfId="377" priority="104" operator="containsText" text="완료">
      <formula>NOT(ISERROR(SEARCH("완료",F13)))</formula>
    </cfRule>
    <cfRule type="containsText" dxfId="376" priority="105" operator="containsText" text="중단">
      <formula>NOT(ISERROR(SEARCH("중단",F13)))</formula>
    </cfRule>
  </conditionalFormatting>
  <conditionalFormatting sqref="F13">
    <cfRule type="containsText" dxfId="375" priority="102" operator="containsText" text="완료">
      <formula>NOT(ISERROR(SEARCH("완료",F13)))</formula>
    </cfRule>
    <cfRule type="containsText" dxfId="374" priority="103" operator="containsText" text="중단">
      <formula>NOT(ISERROR(SEARCH("중단",F13)))</formula>
    </cfRule>
  </conditionalFormatting>
  <conditionalFormatting sqref="F13">
    <cfRule type="containsText" dxfId="373" priority="101" operator="containsText" text="진행중">
      <formula>NOT(ISERROR(SEARCH("진행중",F13)))</formula>
    </cfRule>
  </conditionalFormatting>
  <conditionalFormatting sqref="I13">
    <cfRule type="containsText" dxfId="372" priority="99" operator="containsText" text="완료">
      <formula>NOT(ISERROR(SEARCH("완료",I13)))</formula>
    </cfRule>
    <cfRule type="containsText" dxfId="371" priority="100" operator="containsText" text="중단">
      <formula>NOT(ISERROR(SEARCH("중단",I13)))</formula>
    </cfRule>
  </conditionalFormatting>
  <conditionalFormatting sqref="I13">
    <cfRule type="containsText" dxfId="370" priority="97" operator="containsText" text="완료">
      <formula>NOT(ISERROR(SEARCH("완료",I13)))</formula>
    </cfRule>
    <cfRule type="containsText" dxfId="369" priority="98" operator="containsText" text="중단">
      <formula>NOT(ISERROR(SEARCH("중단",I13)))</formula>
    </cfRule>
  </conditionalFormatting>
  <conditionalFormatting sqref="I13">
    <cfRule type="containsText" dxfId="368" priority="96" operator="containsText" text="진행중">
      <formula>NOT(ISERROR(SEARCH("진행중",I13)))</formula>
    </cfRule>
  </conditionalFormatting>
  <conditionalFormatting sqref="E20:E22">
    <cfRule type="containsText" dxfId="367" priority="19" operator="containsText" text="완료">
      <formula>NOT(ISERROR(SEARCH("완료",E20)))</formula>
    </cfRule>
    <cfRule type="containsText" dxfId="366" priority="20" operator="containsText" text="중단">
      <formula>NOT(ISERROR(SEARCH("중단",E20)))</formula>
    </cfRule>
  </conditionalFormatting>
  <conditionalFormatting sqref="E20:E22">
    <cfRule type="containsText" dxfId="365" priority="17" operator="containsText" text="완료">
      <formula>NOT(ISERROR(SEARCH("완료",E20)))</formula>
    </cfRule>
    <cfRule type="containsText" dxfId="364" priority="18" operator="containsText" text="중단">
      <formula>NOT(ISERROR(SEARCH("중단",E20)))</formula>
    </cfRule>
  </conditionalFormatting>
  <conditionalFormatting sqref="E20:E22">
    <cfRule type="containsText" dxfId="363" priority="16" operator="containsText" text="진행중">
      <formula>NOT(ISERROR(SEARCH("진행중",E20)))</formula>
    </cfRule>
  </conditionalFormatting>
  <conditionalFormatting sqref="K18:K22">
    <cfRule type="containsText" dxfId="362" priority="89" operator="containsText" text="완료">
      <formula>NOT(ISERROR(SEARCH("완료",K18)))</formula>
    </cfRule>
    <cfRule type="containsText" dxfId="361" priority="90" operator="containsText" text="중단">
      <formula>NOT(ISERROR(SEARCH("중단",K18)))</formula>
    </cfRule>
  </conditionalFormatting>
  <conditionalFormatting sqref="K18:K22">
    <cfRule type="containsText" dxfId="360" priority="87" operator="containsText" text="완료">
      <formula>NOT(ISERROR(SEARCH("완료",K18)))</formula>
    </cfRule>
    <cfRule type="containsText" dxfId="359" priority="88" operator="containsText" text="중단">
      <formula>NOT(ISERROR(SEARCH("중단",K18)))</formula>
    </cfRule>
  </conditionalFormatting>
  <conditionalFormatting sqref="K18:K22">
    <cfRule type="containsText" dxfId="358" priority="86" operator="containsText" text="진행중">
      <formula>NOT(ISERROR(SEARCH("진행중",K18)))</formula>
    </cfRule>
  </conditionalFormatting>
  <conditionalFormatting sqref="L18:L22">
    <cfRule type="containsText" dxfId="352" priority="79" operator="containsText" text="완료">
      <formula>NOT(ISERROR(SEARCH("완료",L18)))</formula>
    </cfRule>
    <cfRule type="containsText" dxfId="351" priority="80" operator="containsText" text="중단">
      <formula>NOT(ISERROR(SEARCH("중단",L18)))</formula>
    </cfRule>
  </conditionalFormatting>
  <conditionalFormatting sqref="L18:L22">
    <cfRule type="containsText" dxfId="350" priority="77" operator="containsText" text="완료">
      <formula>NOT(ISERROR(SEARCH("완료",L18)))</formula>
    </cfRule>
    <cfRule type="containsText" dxfId="349" priority="78" operator="containsText" text="중단">
      <formula>NOT(ISERROR(SEARCH("중단",L18)))</formula>
    </cfRule>
  </conditionalFormatting>
  <conditionalFormatting sqref="L18:L22">
    <cfRule type="containsText" dxfId="348" priority="76" operator="containsText" text="진행중">
      <formula>NOT(ISERROR(SEARCH("진행중",L18)))</formula>
    </cfRule>
  </conditionalFormatting>
  <conditionalFormatting sqref="E19">
    <cfRule type="containsText" dxfId="113" priority="14" operator="containsText" text="완료">
      <formula>NOT(ISERROR(SEARCH("완료",E19)))</formula>
    </cfRule>
    <cfRule type="containsText" dxfId="112" priority="15" operator="containsText" text="중단">
      <formula>NOT(ISERROR(SEARCH("중단",E19)))</formula>
    </cfRule>
  </conditionalFormatting>
  <conditionalFormatting sqref="E19">
    <cfRule type="containsText" dxfId="111" priority="12" operator="containsText" text="완료">
      <formula>NOT(ISERROR(SEARCH("완료",E19)))</formula>
    </cfRule>
    <cfRule type="containsText" dxfId="110" priority="13" operator="containsText" text="중단">
      <formula>NOT(ISERROR(SEARCH("중단",E19)))</formula>
    </cfRule>
  </conditionalFormatting>
  <conditionalFormatting sqref="E19">
    <cfRule type="containsText" dxfId="109" priority="11" operator="containsText" text="진행중">
      <formula>NOT(ISERROR(SEARCH("진행중",E19)))</formula>
    </cfRule>
  </conditionalFormatting>
  <conditionalFormatting sqref="G8:G19">
    <cfRule type="containsText" dxfId="93" priority="9" operator="containsText" text="완료">
      <formula>NOT(ISERROR(SEARCH("완료",G8)))</formula>
    </cfRule>
    <cfRule type="containsText" dxfId="92" priority="10" operator="containsText" text="중단">
      <formula>NOT(ISERROR(SEARCH("중단",G8)))</formula>
    </cfRule>
  </conditionalFormatting>
  <conditionalFormatting sqref="G8:G19">
    <cfRule type="containsText" dxfId="91" priority="7" operator="containsText" text="완료">
      <formula>NOT(ISERROR(SEARCH("완료",G8)))</formula>
    </cfRule>
    <cfRule type="containsText" dxfId="90" priority="8" operator="containsText" text="중단">
      <formula>NOT(ISERROR(SEARCH("중단",G8)))</formula>
    </cfRule>
  </conditionalFormatting>
  <conditionalFormatting sqref="G8:G19">
    <cfRule type="containsText" dxfId="89" priority="6" operator="containsText" text="진행중">
      <formula>NOT(ISERROR(SEARCH("진행중",G8)))</formula>
    </cfRule>
  </conditionalFormatting>
  <conditionalFormatting sqref="H8:H19">
    <cfRule type="containsText" dxfId="71" priority="4" operator="containsText" text="완료">
      <formula>NOT(ISERROR(SEARCH("완료",H8)))</formula>
    </cfRule>
    <cfRule type="containsText" dxfId="70" priority="5" operator="containsText" text="중단">
      <formula>NOT(ISERROR(SEARCH("중단",H8)))</formula>
    </cfRule>
  </conditionalFormatting>
  <conditionalFormatting sqref="H8:H19">
    <cfRule type="containsText" dxfId="69" priority="2" operator="containsText" text="완료">
      <formula>NOT(ISERROR(SEARCH("완료",H8)))</formula>
    </cfRule>
    <cfRule type="containsText" dxfId="68" priority="3" operator="containsText" text="중단">
      <formula>NOT(ISERROR(SEARCH("중단",H8)))</formula>
    </cfRule>
  </conditionalFormatting>
  <conditionalFormatting sqref="H8:H19">
    <cfRule type="containsText" dxfId="67" priority="1" operator="containsText" text="진행중">
      <formula>NOT(ISERROR(SEARCH("진행중",H8)))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sheetPr>
    <tabColor theme="0" tint="-0.499984740745262"/>
  </sheetPr>
  <dimension ref="A1:AP23"/>
  <sheetViews>
    <sheetView zoomScale="55" zoomScaleNormal="55" workbookViewId="0">
      <selection activeCell="R19" sqref="R18:R19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65" t="s">
        <v>18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</row>
    <row r="2" spans="1:42" x14ac:dyDescent="0.45">
      <c r="A2" s="53" t="s">
        <v>10</v>
      </c>
      <c r="B2" s="54" t="s">
        <v>92</v>
      </c>
      <c r="C2" s="55"/>
      <c r="D2" s="55"/>
      <c r="E2" s="55"/>
      <c r="F2" s="53" t="s">
        <v>111</v>
      </c>
      <c r="G2" s="53"/>
      <c r="H2" s="53"/>
      <c r="I2" s="53"/>
      <c r="J2" s="53"/>
      <c r="K2" s="53"/>
      <c r="L2" s="53"/>
      <c r="M2" s="53"/>
      <c r="N2" s="53"/>
      <c r="O2" s="53"/>
      <c r="P2" s="54" t="s">
        <v>26</v>
      </c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/>
      <c r="AF2" s="54" t="s">
        <v>9</v>
      </c>
      <c r="AG2" s="56"/>
    </row>
    <row r="3" spans="1:42" x14ac:dyDescent="0.45">
      <c r="A3" s="53"/>
      <c r="B3" s="60"/>
      <c r="C3" s="63"/>
      <c r="D3" s="63"/>
      <c r="E3" s="63"/>
      <c r="F3" s="53"/>
      <c r="G3" s="53"/>
      <c r="H3" s="53"/>
      <c r="I3" s="53"/>
      <c r="J3" s="53"/>
      <c r="K3" s="53"/>
      <c r="L3" s="53"/>
      <c r="M3" s="53"/>
      <c r="N3" s="53"/>
      <c r="O3" s="53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9"/>
      <c r="AF3" s="60"/>
      <c r="AG3" s="61"/>
    </row>
    <row r="4" spans="1:42" x14ac:dyDescent="0.45">
      <c r="A4" s="53"/>
      <c r="B4" s="60"/>
      <c r="C4" s="63"/>
      <c r="D4" s="63"/>
      <c r="E4" s="63"/>
      <c r="F4" s="53"/>
      <c r="G4" s="53"/>
      <c r="H4" s="53"/>
      <c r="I4" s="53"/>
      <c r="J4" s="53"/>
      <c r="K4" s="53"/>
      <c r="L4" s="53"/>
      <c r="M4" s="53"/>
      <c r="N4" s="53"/>
      <c r="O4" s="53"/>
      <c r="P4" s="18"/>
      <c r="Q4" s="51" t="s">
        <v>33</v>
      </c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2"/>
      <c r="AD4" s="11" t="s">
        <v>34</v>
      </c>
      <c r="AE4" s="11" t="s">
        <v>35</v>
      </c>
      <c r="AF4" s="60"/>
      <c r="AG4" s="61"/>
    </row>
    <row r="5" spans="1:42" x14ac:dyDescent="0.45">
      <c r="A5" s="53"/>
      <c r="B5" s="57"/>
      <c r="C5" s="58"/>
      <c r="D5" s="58"/>
      <c r="E5" s="58"/>
      <c r="F5" s="62" t="s">
        <v>36</v>
      </c>
      <c r="G5" s="62"/>
      <c r="H5" s="62"/>
      <c r="I5" s="62"/>
      <c r="J5" s="41"/>
      <c r="K5" s="57" t="s">
        <v>94</v>
      </c>
      <c r="L5" s="58"/>
      <c r="M5" s="58"/>
      <c r="N5" s="59"/>
      <c r="O5" s="42" t="s">
        <v>93</v>
      </c>
      <c r="P5" s="17" t="s">
        <v>30</v>
      </c>
      <c r="Q5" s="50" t="s">
        <v>44</v>
      </c>
      <c r="R5" s="51"/>
      <c r="S5" s="51"/>
      <c r="T5" s="52"/>
      <c r="U5" s="50" t="s">
        <v>19</v>
      </c>
      <c r="V5" s="51"/>
      <c r="W5" s="51"/>
      <c r="X5" s="52"/>
      <c r="Y5" s="64" t="s">
        <v>123</v>
      </c>
      <c r="Z5" s="53"/>
      <c r="AA5" s="53"/>
      <c r="AB5" s="53"/>
      <c r="AC5" s="53"/>
      <c r="AD5" s="13"/>
      <c r="AE5" s="11"/>
      <c r="AF5" s="60"/>
      <c r="AG5" s="61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124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57"/>
      <c r="AG6" s="59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2" si="0">IF(B7="","",
  IF(MOD($B7,1)=0,
    "Dimensions: L W H",
    "-"
  )
)</f>
        <v>Dimensions: L W H</v>
      </c>
      <c r="D7" s="6" t="str">
        <f t="shared" ref="D7:D18" si="1">IF(E7="","",
  IF(MOD($B7,1)=0,
    "완료",
    "-"
  )
)</f>
        <v>완료</v>
      </c>
      <c r="E7" s="24">
        <v>19</v>
      </c>
      <c r="F7" s="89" t="s">
        <v>40</v>
      </c>
      <c r="G7" s="24" t="s">
        <v>16</v>
      </c>
      <c r="H7" s="24" t="s">
        <v>16</v>
      </c>
      <c r="I7" s="8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2">IF(MOD($B7,5)=0, "스핀들유격: ","-" 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ref="U7:AB10" si="3">IF(MOD($B7,5)=0, "000-000","-" )</f>
        <v>-</v>
      </c>
      <c r="V7" s="7" t="str">
        <f t="shared" si="3"/>
        <v>-</v>
      </c>
      <c r="W7" s="7" t="str">
        <f t="shared" si="3"/>
        <v>-</v>
      </c>
      <c r="X7" s="7" t="str">
        <f t="shared" si="3"/>
        <v>-</v>
      </c>
      <c r="Y7" s="7" t="str">
        <f t="shared" si="3"/>
        <v>-</v>
      </c>
      <c r="Z7" s="7" t="str">
        <f t="shared" si="3"/>
        <v>-</v>
      </c>
      <c r="AA7" s="7" t="str">
        <f t="shared" si="3"/>
        <v>-</v>
      </c>
      <c r="AB7" s="7" t="str">
        <f t="shared" si="3"/>
        <v>-</v>
      </c>
      <c r="AC7" s="7" t="str">
        <f>IF(MOD($B7,5)=0, "스핀들소음 :","-" )</f>
        <v>-</v>
      </c>
      <c r="AD7" s="7" t="str">
        <f t="shared" ref="AD7:AD17" si="4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89" t="s">
        <v>40</v>
      </c>
      <c r="G8" s="91" t="str">
        <f>IF(NOT(LEN($I8)=0),G7,"")</f>
        <v>-</v>
      </c>
      <c r="H8" s="91" t="str">
        <f>IF(NOT(LEN($I8)=0),H7,"")</f>
        <v>-</v>
      </c>
      <c r="I8" s="89" t="s">
        <v>40</v>
      </c>
      <c r="J8" s="1"/>
      <c r="K8" s="91" t="str">
        <f t="shared" ref="K8:K17" si="5">IF(NOT(LEN($I8)=0),K7,"")</f>
        <v>VITA</v>
      </c>
      <c r="L8" s="91" t="str">
        <f t="shared" ref="L8:L17" si="6">IF(NOT(LEN($I8)=0),L7,"")</f>
        <v>MARK II</v>
      </c>
      <c r="M8" s="91">
        <f t="shared" ref="M8:M17" si="7">IF(NOT(LEN($I8)=0),M7,"")</f>
        <v>160</v>
      </c>
      <c r="N8" s="91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3"/>
        <v>-</v>
      </c>
      <c r="V8" s="7" t="str">
        <f t="shared" si="3"/>
        <v>-</v>
      </c>
      <c r="W8" s="7" t="str">
        <f t="shared" si="3"/>
        <v>-</v>
      </c>
      <c r="X8" s="7" t="str">
        <f t="shared" si="3"/>
        <v>-</v>
      </c>
      <c r="Y8" s="7" t="str">
        <f t="shared" si="3"/>
        <v>-</v>
      </c>
      <c r="Z8" s="7" t="str">
        <f t="shared" si="3"/>
        <v>-</v>
      </c>
      <c r="AA8" s="7" t="str">
        <f t="shared" si="3"/>
        <v>-</v>
      </c>
      <c r="AB8" s="7" t="str">
        <f t="shared" si="3"/>
        <v>-</v>
      </c>
      <c r="AC8" s="7" t="str">
        <f>IF(MOD($B8,5)=0, "스핀들소음 :","-" )</f>
        <v>-</v>
      </c>
      <c r="AD8" s="7" t="str">
        <f t="shared" si="4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2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89" t="s">
        <v>40</v>
      </c>
      <c r="G9" s="91" t="str">
        <f t="shared" ref="G9:G19" si="9">IF(NOT(LEN($I9)=0),G8,"")</f>
        <v>-</v>
      </c>
      <c r="H9" s="91" t="str">
        <f t="shared" ref="H9:H19" si="10">IF(NOT(LEN($I9)=0),H8,"")</f>
        <v>-</v>
      </c>
      <c r="I9" s="89" t="s">
        <v>40</v>
      </c>
      <c r="J9" s="1"/>
      <c r="K9" s="91" t="str">
        <f t="shared" si="5"/>
        <v>VITA</v>
      </c>
      <c r="L9" s="91" t="str">
        <f t="shared" si="6"/>
        <v>MARK II</v>
      </c>
      <c r="M9" s="91">
        <f t="shared" ref="M9:M18" si="11">IF(NOT(LEN($I9)=0),M8,"")</f>
        <v>160</v>
      </c>
      <c r="N9" s="91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3"/>
        <v>-</v>
      </c>
      <c r="V9" s="7" t="str">
        <f t="shared" si="3"/>
        <v>-</v>
      </c>
      <c r="W9" s="7" t="str">
        <f t="shared" si="3"/>
        <v>-</v>
      </c>
      <c r="X9" s="7" t="str">
        <f t="shared" si="3"/>
        <v>-</v>
      </c>
      <c r="Y9" s="7" t="str">
        <f t="shared" si="3"/>
        <v>-</v>
      </c>
      <c r="Z9" s="7" t="str">
        <f t="shared" si="3"/>
        <v>-</v>
      </c>
      <c r="AA9" s="7" t="str">
        <f t="shared" si="3"/>
        <v>-</v>
      </c>
      <c r="AB9" s="7" t="str">
        <f t="shared" si="3"/>
        <v>-</v>
      </c>
      <c r="AC9" s="7" t="str">
        <f>IF(MOD($B9,5)=0, "스핀들소음 :","-" )</f>
        <v>-</v>
      </c>
      <c r="AD9" s="7" t="str">
        <f t="shared" si="4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89" t="s">
        <v>40</v>
      </c>
      <c r="G10" s="91" t="str">
        <f t="shared" si="9"/>
        <v>-</v>
      </c>
      <c r="H10" s="91" t="str">
        <f t="shared" si="10"/>
        <v>-</v>
      </c>
      <c r="I10" s="89" t="s">
        <v>40</v>
      </c>
      <c r="J10" s="1"/>
      <c r="K10" s="91" t="str">
        <f t="shared" si="5"/>
        <v>VITA</v>
      </c>
      <c r="L10" s="91" t="str">
        <f t="shared" si="6"/>
        <v>MARK II</v>
      </c>
      <c r="M10" s="91">
        <f t="shared" si="11"/>
        <v>160</v>
      </c>
      <c r="N10" s="91" t="str">
        <f t="shared" si="12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3"/>
        <v>-</v>
      </c>
      <c r="V10" s="7" t="str">
        <f t="shared" si="3"/>
        <v>-</v>
      </c>
      <c r="W10" s="7" t="str">
        <f t="shared" si="3"/>
        <v>-</v>
      </c>
      <c r="X10" s="7" t="str">
        <f t="shared" si="3"/>
        <v>-</v>
      </c>
      <c r="Y10" s="7" t="str">
        <f t="shared" si="3"/>
        <v>-</v>
      </c>
      <c r="Z10" s="7" t="str">
        <f t="shared" si="3"/>
        <v>-</v>
      </c>
      <c r="AA10" s="7" t="str">
        <f t="shared" si="3"/>
        <v>-</v>
      </c>
      <c r="AB10" s="7" t="str">
        <f t="shared" si="3"/>
        <v>-</v>
      </c>
      <c r="AC10" s="7" t="str">
        <f>IF(MOD($B10,5)=0, "스핀들소음 :","-" )</f>
        <v>-</v>
      </c>
      <c r="AD10" s="7" t="str">
        <f t="shared" si="4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89" t="s">
        <v>40</v>
      </c>
      <c r="G11" s="91" t="str">
        <f t="shared" si="9"/>
        <v>-</v>
      </c>
      <c r="H11" s="91" t="str">
        <f t="shared" si="10"/>
        <v>-</v>
      </c>
      <c r="I11" s="89" t="s">
        <v>40</v>
      </c>
      <c r="J11" s="1"/>
      <c r="K11" s="91" t="str">
        <f t="shared" si="5"/>
        <v>VITA</v>
      </c>
      <c r="L11" s="91" t="str">
        <f t="shared" si="6"/>
        <v>MARK II</v>
      </c>
      <c r="M11" s="91">
        <f t="shared" si="11"/>
        <v>160</v>
      </c>
      <c r="N11" s="91" t="str">
        <f t="shared" si="12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46</v>
      </c>
      <c r="V11" s="7" t="s">
        <v>47</v>
      </c>
      <c r="W11" s="7" t="s">
        <v>48</v>
      </c>
      <c r="X11" s="7" t="s">
        <v>49</v>
      </c>
      <c r="Y11" s="7" t="str">
        <f t="shared" ref="Y11:AB17" si="13">IF(MOD($B11,5)=0, "000-000","-" )</f>
        <v>000-000</v>
      </c>
      <c r="Z11" s="7" t="str">
        <f t="shared" si="13"/>
        <v>000-000</v>
      </c>
      <c r="AA11" s="7" t="str">
        <f t="shared" si="13"/>
        <v>000-000</v>
      </c>
      <c r="AB11" s="7" t="str">
        <f t="shared" si="13"/>
        <v>000-000</v>
      </c>
      <c r="AC11" s="7" t="s">
        <v>67</v>
      </c>
      <c r="AD11" s="7" t="str">
        <f t="shared" si="4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89" t="s">
        <v>40</v>
      </c>
      <c r="G12" s="91" t="str">
        <f t="shared" si="9"/>
        <v>-</v>
      </c>
      <c r="H12" s="91" t="str">
        <f t="shared" si="10"/>
        <v>-</v>
      </c>
      <c r="I12" s="89" t="s">
        <v>40</v>
      </c>
      <c r="J12" s="1"/>
      <c r="K12" s="91" t="str">
        <f t="shared" si="5"/>
        <v>VITA</v>
      </c>
      <c r="L12" s="91" t="str">
        <f t="shared" si="6"/>
        <v>MARK II</v>
      </c>
      <c r="M12" s="91">
        <f t="shared" si="11"/>
        <v>160</v>
      </c>
      <c r="N12" s="91" t="str">
        <f t="shared" si="12"/>
        <v>-</v>
      </c>
      <c r="O12" s="24">
        <f>IF(LEN(A12)&gt;0, 종합!$C$27, "")</f>
        <v>2.2599999999999998</v>
      </c>
      <c r="P12" s="1" t="s">
        <v>16</v>
      </c>
      <c r="Q12" s="7" t="str">
        <f t="shared" ref="Q12:T17" si="14">IF(MOD($B12,5)=0, "스핀들유격: ","-" )</f>
        <v>-</v>
      </c>
      <c r="R12" s="7" t="str">
        <f t="shared" si="14"/>
        <v>-</v>
      </c>
      <c r="S12" s="7" t="str">
        <f t="shared" si="14"/>
        <v>-</v>
      </c>
      <c r="T12" s="7" t="str">
        <f t="shared" si="14"/>
        <v>-</v>
      </c>
      <c r="U12" s="7" t="str">
        <f t="shared" ref="U12:X17" si="15">IF(MOD($B12,5)=0, "000-000","-" )</f>
        <v>-</v>
      </c>
      <c r="V12" s="7" t="str">
        <f t="shared" si="15"/>
        <v>-</v>
      </c>
      <c r="W12" s="7" t="str">
        <f t="shared" si="15"/>
        <v>-</v>
      </c>
      <c r="X12" s="7" t="str">
        <f t="shared" si="15"/>
        <v>-</v>
      </c>
      <c r="Y12" s="7" t="str">
        <f t="shared" si="13"/>
        <v>-</v>
      </c>
      <c r="Z12" s="7" t="str">
        <f t="shared" si="13"/>
        <v>-</v>
      </c>
      <c r="AA12" s="7" t="str">
        <f t="shared" si="13"/>
        <v>-</v>
      </c>
      <c r="AB12" s="7" t="str">
        <f t="shared" si="13"/>
        <v>-</v>
      </c>
      <c r="AC12" s="7" t="str">
        <f t="shared" ref="AC12:AC17" si="16">IF(MOD($B12,5)=0, "스핀들소음 :","-" )</f>
        <v>-</v>
      </c>
      <c r="AD12" s="7" t="str">
        <f t="shared" si="4"/>
        <v>-</v>
      </c>
      <c r="AE12" s="7" t="str">
        <f>IF($B12="","",
  IF(MOD(B12,160)=0,
    "TENSION (XL : / ZL : / XR : / ZR : / Y : )" &amp; CHAR(10) &amp;
    "필터교체",
    "-"
  )
)</f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6">
        <v>0</v>
      </c>
      <c r="G13" s="90" t="str">
        <f t="shared" si="9"/>
        <v>-</v>
      </c>
      <c r="H13" s="90" t="str">
        <f t="shared" si="10"/>
        <v>-</v>
      </c>
      <c r="I13" s="6">
        <v>0</v>
      </c>
      <c r="J13" s="1"/>
      <c r="K13" s="91" t="str">
        <f t="shared" si="5"/>
        <v>VITA</v>
      </c>
      <c r="L13" s="91" t="str">
        <f t="shared" si="6"/>
        <v>MARK II</v>
      </c>
      <c r="M13" s="91">
        <f t="shared" si="11"/>
        <v>160</v>
      </c>
      <c r="N13" s="91" t="str">
        <f t="shared" si="12"/>
        <v>-</v>
      </c>
      <c r="O13" s="24">
        <f>IF(LEN(A13)&gt;0, 종합!$C$27, "")</f>
        <v>2.2599999999999998</v>
      </c>
      <c r="P13" s="1" t="s">
        <v>16</v>
      </c>
      <c r="Q13" s="7" t="str">
        <f t="shared" si="14"/>
        <v>-</v>
      </c>
      <c r="R13" s="7" t="str">
        <f t="shared" si="14"/>
        <v>-</v>
      </c>
      <c r="S13" s="7" t="str">
        <f t="shared" si="14"/>
        <v>-</v>
      </c>
      <c r="T13" s="7" t="str">
        <f t="shared" si="14"/>
        <v>-</v>
      </c>
      <c r="U13" s="7" t="str">
        <f t="shared" si="15"/>
        <v>-</v>
      </c>
      <c r="V13" s="7" t="str">
        <f t="shared" si="15"/>
        <v>-</v>
      </c>
      <c r="W13" s="7" t="str">
        <f t="shared" si="15"/>
        <v>-</v>
      </c>
      <c r="X13" s="7" t="str">
        <f t="shared" si="15"/>
        <v>-</v>
      </c>
      <c r="Y13" s="7" t="str">
        <f t="shared" si="13"/>
        <v>-</v>
      </c>
      <c r="Z13" s="7" t="str">
        <f t="shared" si="13"/>
        <v>-</v>
      </c>
      <c r="AA13" s="7" t="str">
        <f t="shared" si="13"/>
        <v>-</v>
      </c>
      <c r="AB13" s="7" t="str">
        <f t="shared" si="13"/>
        <v>-</v>
      </c>
      <c r="AC13" s="7" t="str">
        <f t="shared" si="16"/>
        <v>-</v>
      </c>
      <c r="AD13" s="7" t="str">
        <f t="shared" si="4"/>
        <v>-</v>
      </c>
      <c r="AE13" s="7" t="str">
        <f>IF($B13="","",
  IF(MOD(B13,160)=0,
    "TENSION (XL : / ZL : / XR : / ZR : / Y : )" &amp; CHAR(10) &amp;
    "필터교체",
    "-"
  )
)</f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6">
        <f>IF(NOT(LEN($A14)=0),IF(F13+1&gt;15,"버교체요망",F13+1),"")</f>
        <v>1</v>
      </c>
      <c r="G14" s="90" t="str">
        <f t="shared" si="9"/>
        <v>-</v>
      </c>
      <c r="H14" s="90" t="str">
        <f t="shared" si="10"/>
        <v>-</v>
      </c>
      <c r="I14" s="6">
        <f>IF(NOT(LEN($A14)=0),IF(I13+1&gt;15,"버교체요망",I13+1),"")</f>
        <v>1</v>
      </c>
      <c r="J14" s="1"/>
      <c r="K14" s="91" t="str">
        <f t="shared" si="5"/>
        <v>VITA</v>
      </c>
      <c r="L14" s="91" t="str">
        <f t="shared" si="6"/>
        <v>MARK II</v>
      </c>
      <c r="M14" s="91">
        <f t="shared" si="11"/>
        <v>160</v>
      </c>
      <c r="N14" s="91" t="str">
        <f t="shared" si="12"/>
        <v>-</v>
      </c>
      <c r="O14" s="24">
        <f>IF(LEN(A14)&gt;0, 종합!$C$27, "")</f>
        <v>2.2599999999999998</v>
      </c>
      <c r="P14" s="1" t="s">
        <v>16</v>
      </c>
      <c r="Q14" s="7" t="str">
        <f t="shared" si="14"/>
        <v>-</v>
      </c>
      <c r="R14" s="7" t="str">
        <f t="shared" si="14"/>
        <v>-</v>
      </c>
      <c r="S14" s="7" t="str">
        <f t="shared" si="14"/>
        <v>-</v>
      </c>
      <c r="T14" s="7" t="str">
        <f t="shared" si="14"/>
        <v>-</v>
      </c>
      <c r="U14" s="7" t="str">
        <f t="shared" si="15"/>
        <v>-</v>
      </c>
      <c r="V14" s="7" t="str">
        <f t="shared" si="15"/>
        <v>-</v>
      </c>
      <c r="W14" s="7" t="str">
        <f t="shared" si="15"/>
        <v>-</v>
      </c>
      <c r="X14" s="7" t="str">
        <f t="shared" si="15"/>
        <v>-</v>
      </c>
      <c r="Y14" s="7" t="str">
        <f t="shared" si="13"/>
        <v>-</v>
      </c>
      <c r="Z14" s="7" t="str">
        <f t="shared" si="13"/>
        <v>-</v>
      </c>
      <c r="AA14" s="7" t="str">
        <f t="shared" si="13"/>
        <v>-</v>
      </c>
      <c r="AB14" s="7" t="str">
        <f t="shared" si="13"/>
        <v>-</v>
      </c>
      <c r="AC14" s="7" t="str">
        <f t="shared" si="16"/>
        <v>-</v>
      </c>
      <c r="AD14" s="7" t="str">
        <f t="shared" si="4"/>
        <v>-</v>
      </c>
      <c r="AE14" s="7" t="str">
        <f>IF($B14="","",
  IF(MOD(B14,160)=0,
    "TENSION (XL : / ZL : / XR : / ZR : / Y : )" &amp; CHAR(10) &amp;
    "필터교체",
    "-"
  )
)</f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6">
        <f t="shared" ref="F15:F22" si="17">IF(NOT(LEN($A15)=0),IF(F14+1&gt;15,"버교체요망",F14+1),"")</f>
        <v>2</v>
      </c>
      <c r="G15" s="90" t="str">
        <f t="shared" si="9"/>
        <v>-</v>
      </c>
      <c r="H15" s="90" t="str">
        <f t="shared" si="10"/>
        <v>-</v>
      </c>
      <c r="I15" s="6">
        <f t="shared" ref="I15:I22" si="18">IF(NOT(LEN($A15)=0),IF(I14+1&gt;15,"버교체요망",I14+1),"")</f>
        <v>2</v>
      </c>
      <c r="J15" s="1"/>
      <c r="K15" s="91" t="str">
        <f t="shared" si="5"/>
        <v>VITA</v>
      </c>
      <c r="L15" s="91" t="str">
        <f t="shared" si="6"/>
        <v>MARK II</v>
      </c>
      <c r="M15" s="91">
        <f t="shared" si="11"/>
        <v>160</v>
      </c>
      <c r="N15" s="91" t="str">
        <f t="shared" si="12"/>
        <v>-</v>
      </c>
      <c r="O15" s="24">
        <f>IF(LEN(A15)&gt;0, 종합!$C$27, "")</f>
        <v>2.2599999999999998</v>
      </c>
      <c r="P15" s="1" t="s">
        <v>16</v>
      </c>
      <c r="Q15" s="7" t="str">
        <f t="shared" si="14"/>
        <v>-</v>
      </c>
      <c r="R15" s="7" t="str">
        <f t="shared" si="14"/>
        <v>-</v>
      </c>
      <c r="S15" s="7" t="str">
        <f t="shared" si="14"/>
        <v>-</v>
      </c>
      <c r="T15" s="7" t="str">
        <f t="shared" si="14"/>
        <v>-</v>
      </c>
      <c r="U15" s="7" t="str">
        <f t="shared" si="15"/>
        <v>-</v>
      </c>
      <c r="V15" s="7" t="str">
        <f t="shared" si="15"/>
        <v>-</v>
      </c>
      <c r="W15" s="7" t="str">
        <f t="shared" si="15"/>
        <v>-</v>
      </c>
      <c r="X15" s="7" t="str">
        <f t="shared" si="15"/>
        <v>-</v>
      </c>
      <c r="Y15" s="7" t="str">
        <f t="shared" si="13"/>
        <v>-</v>
      </c>
      <c r="Z15" s="7" t="str">
        <f t="shared" si="13"/>
        <v>-</v>
      </c>
      <c r="AA15" s="7" t="str">
        <f t="shared" si="13"/>
        <v>-</v>
      </c>
      <c r="AB15" s="7" t="str">
        <f t="shared" si="13"/>
        <v>-</v>
      </c>
      <c r="AC15" s="7" t="str">
        <f t="shared" si="16"/>
        <v>-</v>
      </c>
      <c r="AD15" s="7" t="str">
        <f t="shared" si="4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6">
        <f t="shared" si="17"/>
        <v>3</v>
      </c>
      <c r="G16" s="90" t="str">
        <f t="shared" si="9"/>
        <v>-</v>
      </c>
      <c r="H16" s="90" t="str">
        <f t="shared" si="10"/>
        <v>-</v>
      </c>
      <c r="I16" s="6">
        <f t="shared" si="18"/>
        <v>3</v>
      </c>
      <c r="J16" s="1"/>
      <c r="K16" s="91" t="str">
        <f t="shared" si="5"/>
        <v>VITA</v>
      </c>
      <c r="L16" s="91" t="str">
        <f t="shared" si="6"/>
        <v>MARK II</v>
      </c>
      <c r="M16" s="91">
        <f t="shared" si="11"/>
        <v>160</v>
      </c>
      <c r="N16" s="91" t="str">
        <f t="shared" si="12"/>
        <v>-</v>
      </c>
      <c r="O16" s="24">
        <f>IF(LEN(A16)&gt;0, 종합!$C$27, "")</f>
        <v>2.2599999999999998</v>
      </c>
      <c r="P16" s="1" t="s">
        <v>16</v>
      </c>
      <c r="Q16" s="7" t="str">
        <f t="shared" si="14"/>
        <v xml:space="preserve">스핀들유격: </v>
      </c>
      <c r="R16" s="7" t="str">
        <f t="shared" si="14"/>
        <v xml:space="preserve">스핀들유격: </v>
      </c>
      <c r="S16" s="7" t="str">
        <f t="shared" si="14"/>
        <v xml:space="preserve">스핀들유격: </v>
      </c>
      <c r="T16" s="7" t="str">
        <f t="shared" si="14"/>
        <v xml:space="preserve">스핀들유격: </v>
      </c>
      <c r="U16" s="7" t="str">
        <f t="shared" si="15"/>
        <v>000-000</v>
      </c>
      <c r="V16" s="7" t="str">
        <f t="shared" si="15"/>
        <v>000-000</v>
      </c>
      <c r="W16" s="7" t="str">
        <f t="shared" si="15"/>
        <v>000-000</v>
      </c>
      <c r="X16" s="7" t="str">
        <f t="shared" si="15"/>
        <v>000-000</v>
      </c>
      <c r="Y16" s="7" t="str">
        <f t="shared" si="13"/>
        <v>000-000</v>
      </c>
      <c r="Z16" s="7" t="str">
        <f t="shared" si="13"/>
        <v>000-000</v>
      </c>
      <c r="AA16" s="7" t="str">
        <f t="shared" si="13"/>
        <v>000-000</v>
      </c>
      <c r="AB16" s="7" t="str">
        <f t="shared" si="13"/>
        <v>000-000</v>
      </c>
      <c r="AC16" s="7" t="str">
        <f t="shared" si="16"/>
        <v>스핀들소음 :</v>
      </c>
      <c r="AD16" s="7" t="str">
        <f t="shared" si="4"/>
        <v>-</v>
      </c>
      <c r="AE16" s="7" t="str">
        <f>IF($B16="","",
  IF(MOD(B16,160)=0,
    "TENSION (XL : / ZL : / XR : / ZR : / Y : )" &amp; CHAR(10) &amp;
    "필터교체",
    "-"
  )
)</f>
        <v>-</v>
      </c>
      <c r="AF16" s="1" t="s">
        <v>16</v>
      </c>
      <c r="AG16" s="2"/>
    </row>
    <row r="17" spans="1:33" x14ac:dyDescent="0.45">
      <c r="A17" s="3">
        <v>45973</v>
      </c>
      <c r="B17" s="24">
        <f t="shared" si="8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6">
        <f t="shared" si="17"/>
        <v>4</v>
      </c>
      <c r="G17" s="90" t="str">
        <f t="shared" si="9"/>
        <v>-</v>
      </c>
      <c r="H17" s="90" t="str">
        <f t="shared" si="10"/>
        <v>-</v>
      </c>
      <c r="I17" s="6">
        <f t="shared" si="18"/>
        <v>4</v>
      </c>
      <c r="J17" s="1"/>
      <c r="K17" s="91" t="str">
        <f t="shared" si="5"/>
        <v>VITA</v>
      </c>
      <c r="L17" s="91" t="str">
        <f t="shared" si="6"/>
        <v>MARK II</v>
      </c>
      <c r="M17" s="91">
        <f t="shared" si="11"/>
        <v>160</v>
      </c>
      <c r="N17" s="91" t="str">
        <f t="shared" si="12"/>
        <v>-</v>
      </c>
      <c r="O17" s="24">
        <f>IF(LEN(A17)&gt;0, 종합!$C$27, "")</f>
        <v>2.2599999999999998</v>
      </c>
      <c r="P17" s="1" t="s">
        <v>16</v>
      </c>
      <c r="Q17" s="7" t="str">
        <f t="shared" si="14"/>
        <v>-</v>
      </c>
      <c r="R17" s="7" t="str">
        <f t="shared" si="14"/>
        <v>-</v>
      </c>
      <c r="S17" s="7" t="str">
        <f t="shared" si="14"/>
        <v>-</v>
      </c>
      <c r="T17" s="7" t="str">
        <f t="shared" si="14"/>
        <v>-</v>
      </c>
      <c r="U17" s="7" t="str">
        <f t="shared" si="15"/>
        <v>-</v>
      </c>
      <c r="V17" s="7" t="str">
        <f t="shared" si="15"/>
        <v>-</v>
      </c>
      <c r="W17" s="7" t="str">
        <f t="shared" si="15"/>
        <v>-</v>
      </c>
      <c r="X17" s="7" t="str">
        <f t="shared" si="15"/>
        <v>-</v>
      </c>
      <c r="Y17" s="7" t="str">
        <f t="shared" si="13"/>
        <v>-</v>
      </c>
      <c r="Z17" s="7" t="str">
        <f t="shared" si="13"/>
        <v>-</v>
      </c>
      <c r="AA17" s="7" t="str">
        <f t="shared" si="13"/>
        <v>-</v>
      </c>
      <c r="AB17" s="7" t="str">
        <f t="shared" si="13"/>
        <v>-</v>
      </c>
      <c r="AC17" s="7" t="str">
        <f t="shared" si="16"/>
        <v>-</v>
      </c>
      <c r="AD17" s="7" t="str">
        <f t="shared" si="4"/>
        <v>-</v>
      </c>
      <c r="AE17" s="7" t="str">
        <f>IF($B17="","",
  IF(MOD(B17,160)=0,
    "TENSION (XL : / ZL : / XR : / ZR : / Y : )" &amp; CHAR(10) &amp;
    "필터교체",
    "-"
  )
)</f>
        <v>-</v>
      </c>
      <c r="AF17" s="1" t="s">
        <v>16</v>
      </c>
      <c r="AG17" s="2"/>
    </row>
    <row r="18" spans="1:33" x14ac:dyDescent="0.45">
      <c r="A18" s="3">
        <v>45973</v>
      </c>
      <c r="B18" s="24">
        <f t="shared" si="8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6">
        <f t="shared" si="17"/>
        <v>5</v>
      </c>
      <c r="G18" s="90" t="str">
        <f t="shared" si="9"/>
        <v>-</v>
      </c>
      <c r="H18" s="90" t="str">
        <f t="shared" si="10"/>
        <v>-</v>
      </c>
      <c r="I18" s="6">
        <f t="shared" si="18"/>
        <v>5</v>
      </c>
      <c r="J18" s="1"/>
      <c r="K18" s="91" t="str">
        <f>IF(NOT(LEN($I18)=0),K17,"")</f>
        <v>VITA</v>
      </c>
      <c r="L18" s="91" t="str">
        <f>IF(NOT(LEN($I18)=0),L17,"")</f>
        <v>MARK II</v>
      </c>
      <c r="M18" s="91">
        <f t="shared" si="11"/>
        <v>160</v>
      </c>
      <c r="N18" s="91" t="str">
        <f t="shared" si="12"/>
        <v>-</v>
      </c>
      <c r="O18" s="24">
        <f>IF(LEN(A18)&gt;0, 종합!$C$27, "")</f>
        <v>2.2599999999999998</v>
      </c>
      <c r="P18" s="1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1"/>
      <c r="AG18" s="2"/>
    </row>
    <row r="19" spans="1:33" x14ac:dyDescent="0.45">
      <c r="A19" s="3">
        <v>45973</v>
      </c>
      <c r="B19" s="24">
        <f t="shared" si="8"/>
        <v>13</v>
      </c>
      <c r="C19" s="7" t="str">
        <f t="shared" si="0"/>
        <v>Dimensions: L W H</v>
      </c>
      <c r="D19" s="6" t="str">
        <f t="shared" ref="D19:D22" si="19">IF(NOT(LEN(B19)=0),"진행중","")</f>
        <v>진행중</v>
      </c>
      <c r="E19" s="90">
        <v>21</v>
      </c>
      <c r="F19" s="87">
        <f t="shared" si="17"/>
        <v>6</v>
      </c>
      <c r="G19" s="91" t="str">
        <f t="shared" si="9"/>
        <v>-</v>
      </c>
      <c r="H19" s="91" t="str">
        <f t="shared" si="10"/>
        <v>-</v>
      </c>
      <c r="I19" s="87">
        <f t="shared" si="18"/>
        <v>6</v>
      </c>
      <c r="J19" s="1"/>
      <c r="K19" s="91" t="str">
        <f t="shared" ref="K19:K22" si="20">IF(NOT(LEN($I19)=0),K18,"")</f>
        <v>VITA</v>
      </c>
      <c r="L19" s="91" t="str">
        <f t="shared" ref="L19:L22" si="21">IF(NOT(LEN($I19)=0),L18,"")</f>
        <v>MARK II</v>
      </c>
      <c r="M19" s="91">
        <f t="shared" ref="M19:M22" si="22">IF(NOT(LEN($I19)=0),M18,"")</f>
        <v>160</v>
      </c>
      <c r="N19" s="91" t="str">
        <f t="shared" ref="N19:N22" si="23">IF(NOT(LEN($I19)=0),N18,"")</f>
        <v>-</v>
      </c>
      <c r="O19" s="24">
        <f>IF(LEN(A19)&gt;0, 종합!$C$27, "")</f>
        <v>2.2599999999999998</v>
      </c>
      <c r="P19" s="1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1"/>
      <c r="AG19" s="2"/>
    </row>
    <row r="20" spans="1:33" x14ac:dyDescent="0.45">
      <c r="A20" s="23"/>
      <c r="B20" s="24" t="str">
        <f t="shared" si="8"/>
        <v/>
      </c>
      <c r="C20" s="7" t="str">
        <f t="shared" si="0"/>
        <v/>
      </c>
      <c r="D20" s="6" t="str">
        <f t="shared" si="19"/>
        <v/>
      </c>
      <c r="E20" s="89" t="str">
        <f t="shared" ref="E20:E22" si="24">IF(NOT(LEN(C20)=0),"누락","")</f>
        <v/>
      </c>
      <c r="F20" s="87" t="str">
        <f t="shared" si="17"/>
        <v/>
      </c>
      <c r="G20" s="1"/>
      <c r="H20" s="1"/>
      <c r="I20" s="87" t="str">
        <f t="shared" si="18"/>
        <v/>
      </c>
      <c r="J20" s="1"/>
      <c r="K20" s="91" t="str">
        <f t="shared" si="20"/>
        <v/>
      </c>
      <c r="L20" s="91" t="str">
        <f t="shared" si="21"/>
        <v/>
      </c>
      <c r="M20" s="91" t="str">
        <f t="shared" si="22"/>
        <v/>
      </c>
      <c r="N20" s="91" t="str">
        <f t="shared" si="23"/>
        <v/>
      </c>
      <c r="O20" s="24" t="str">
        <f>IF(LEN(A20)&gt;0, 종합!$C$27, "")</f>
        <v/>
      </c>
      <c r="P20" s="1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1"/>
      <c r="AG20" s="2"/>
    </row>
    <row r="21" spans="1:33" x14ac:dyDescent="0.45">
      <c r="B21" s="24" t="str">
        <f t="shared" si="8"/>
        <v/>
      </c>
      <c r="C21" s="7" t="str">
        <f t="shared" si="0"/>
        <v/>
      </c>
      <c r="D21" s="6" t="str">
        <f t="shared" si="19"/>
        <v/>
      </c>
      <c r="E21" s="89" t="str">
        <f t="shared" si="24"/>
        <v/>
      </c>
      <c r="F21" s="87" t="str">
        <f t="shared" si="17"/>
        <v/>
      </c>
      <c r="I21" s="87" t="str">
        <f t="shared" si="18"/>
        <v/>
      </c>
      <c r="K21" s="91" t="str">
        <f t="shared" si="20"/>
        <v/>
      </c>
      <c r="L21" s="91" t="str">
        <f t="shared" si="21"/>
        <v/>
      </c>
      <c r="M21" s="91" t="str">
        <f t="shared" si="22"/>
        <v/>
      </c>
      <c r="N21" s="91" t="str">
        <f t="shared" si="23"/>
        <v/>
      </c>
      <c r="O21" s="24" t="str">
        <f>IF(LEN(A21)&gt;0, 종합!$C$27, "")</f>
        <v/>
      </c>
    </row>
    <row r="22" spans="1:33" x14ac:dyDescent="0.45">
      <c r="B22" s="24" t="str">
        <f t="shared" si="8"/>
        <v/>
      </c>
      <c r="C22" s="7" t="str">
        <f t="shared" si="0"/>
        <v/>
      </c>
      <c r="D22" s="6" t="str">
        <f t="shared" si="19"/>
        <v/>
      </c>
      <c r="E22" s="89" t="str">
        <f t="shared" si="24"/>
        <v/>
      </c>
      <c r="F22" s="87" t="str">
        <f t="shared" si="17"/>
        <v/>
      </c>
      <c r="I22" s="87" t="str">
        <f t="shared" si="18"/>
        <v/>
      </c>
      <c r="K22" s="91" t="str">
        <f t="shared" si="20"/>
        <v/>
      </c>
      <c r="L22" s="91" t="str">
        <f t="shared" si="21"/>
        <v/>
      </c>
      <c r="M22" s="91" t="str">
        <f t="shared" si="22"/>
        <v/>
      </c>
      <c r="N22" s="91" t="str">
        <f t="shared" si="23"/>
        <v/>
      </c>
      <c r="O22" s="24" t="str">
        <f>IF(LEN(A22)&gt;0, 종합!$C$27, "")</f>
        <v/>
      </c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 H20">
    <cfRule type="containsText" dxfId="287" priority="196" operator="containsText" text="신품">
      <formula>NOT(ISERROR(SEARCH("신품",F7)))</formula>
    </cfRule>
    <cfRule type="containsText" dxfId="286" priority="197" operator="containsText" text="중고">
      <formula>NOT(ISERROR(SEARCH("중고",F7)))</formula>
    </cfRule>
  </conditionalFormatting>
  <conditionalFormatting sqref="I7:I9">
    <cfRule type="containsText" dxfId="285" priority="194" operator="containsText" text="신품">
      <formula>NOT(ISERROR(SEARCH("신품",I7)))</formula>
    </cfRule>
    <cfRule type="containsText" dxfId="284" priority="195" operator="containsText" text="중고">
      <formula>NOT(ISERROR(SEARCH("중고",I7)))</formula>
    </cfRule>
  </conditionalFormatting>
  <conditionalFormatting sqref="F10">
    <cfRule type="containsText" dxfId="283" priority="190" operator="containsText" text="신품">
      <formula>NOT(ISERROR(SEARCH("신품",F10)))</formula>
    </cfRule>
    <cfRule type="containsText" dxfId="282" priority="191" operator="containsText" text="중고">
      <formula>NOT(ISERROR(SEARCH("중고",F10)))</formula>
    </cfRule>
  </conditionalFormatting>
  <conditionalFormatting sqref="I10">
    <cfRule type="containsText" dxfId="281" priority="188" operator="containsText" text="신품">
      <formula>NOT(ISERROR(SEARCH("신품",I10)))</formula>
    </cfRule>
    <cfRule type="containsText" dxfId="280" priority="189" operator="containsText" text="중고">
      <formula>NOT(ISERROR(SEARCH("중고",I10)))</formula>
    </cfRule>
  </conditionalFormatting>
  <conditionalFormatting sqref="F11">
    <cfRule type="containsText" dxfId="279" priority="184" operator="containsText" text="신품">
      <formula>NOT(ISERROR(SEARCH("신품",F11)))</formula>
    </cfRule>
    <cfRule type="containsText" dxfId="278" priority="185" operator="containsText" text="중고">
      <formula>NOT(ISERROR(SEARCH("중고",F11)))</formula>
    </cfRule>
  </conditionalFormatting>
  <conditionalFormatting sqref="I11">
    <cfRule type="containsText" dxfId="277" priority="182" operator="containsText" text="신품">
      <formula>NOT(ISERROR(SEARCH("신품",I11)))</formula>
    </cfRule>
    <cfRule type="containsText" dxfId="276" priority="183" operator="containsText" text="중고">
      <formula>NOT(ISERROR(SEARCH("중고",I11)))</formula>
    </cfRule>
  </conditionalFormatting>
  <conditionalFormatting sqref="H20 F12">
    <cfRule type="containsText" dxfId="275" priority="178" operator="containsText" text="신품">
      <formula>NOT(ISERROR(SEARCH("신품",F12)))</formula>
    </cfRule>
    <cfRule type="containsText" dxfId="274" priority="179" operator="containsText" text="중고">
      <formula>NOT(ISERROR(SEARCH("중고",F12)))</formula>
    </cfRule>
  </conditionalFormatting>
  <conditionalFormatting sqref="I12">
    <cfRule type="containsText" dxfId="273" priority="176" operator="containsText" text="신품">
      <formula>NOT(ISERROR(SEARCH("신품",I12)))</formula>
    </cfRule>
    <cfRule type="containsText" dxfId="272" priority="177" operator="containsText" text="중고">
      <formula>NOT(ISERROR(SEARCH("중고",I12)))</formula>
    </cfRule>
  </conditionalFormatting>
  <conditionalFormatting sqref="D7:D22">
    <cfRule type="containsText" dxfId="267" priority="168" operator="containsText" text="완료">
      <formula>NOT(ISERROR(SEARCH("완료",D7)))</formula>
    </cfRule>
    <cfRule type="containsText" dxfId="266" priority="169" operator="containsText" text="중단">
      <formula>NOT(ISERROR(SEARCH("중단",D7)))</formula>
    </cfRule>
  </conditionalFormatting>
  <conditionalFormatting sqref="D11">
    <cfRule type="containsText" dxfId="265" priority="166" operator="containsText" text="완료">
      <formula>NOT(ISERROR(SEARCH("완료",D11)))</formula>
    </cfRule>
    <cfRule type="containsText" dxfId="264" priority="167" operator="containsText" text="중단">
      <formula>NOT(ISERROR(SEARCH("중단",D11)))</formula>
    </cfRule>
  </conditionalFormatting>
  <conditionalFormatting sqref="D8:D22">
    <cfRule type="containsText" dxfId="263" priority="164" operator="containsText" text="완료">
      <formula>NOT(ISERROR(SEARCH("완료",D8)))</formula>
    </cfRule>
    <cfRule type="containsText" dxfId="262" priority="165" operator="containsText" text="중단">
      <formula>NOT(ISERROR(SEARCH("중단",D8)))</formula>
    </cfRule>
  </conditionalFormatting>
  <conditionalFormatting sqref="D13:D18">
    <cfRule type="containsText" dxfId="261" priority="162" operator="containsText" text="완료">
      <formula>NOT(ISERROR(SEARCH("완료",D13)))</formula>
    </cfRule>
    <cfRule type="containsText" dxfId="260" priority="163" operator="containsText" text="중단">
      <formula>NOT(ISERROR(SEARCH("중단",D13)))</formula>
    </cfRule>
  </conditionalFormatting>
  <conditionalFormatting sqref="D7:D23">
    <cfRule type="containsText" dxfId="259" priority="161" operator="containsText" text="진행중">
      <formula>NOT(ISERROR(SEARCH("진행중",D7)))</formula>
    </cfRule>
  </conditionalFormatting>
  <conditionalFormatting sqref="N8:N22">
    <cfRule type="containsText" dxfId="258" priority="64" operator="containsText" text="완료">
      <formula>NOT(ISERROR(SEARCH("완료",N8)))</formula>
    </cfRule>
    <cfRule type="containsText" dxfId="257" priority="65" operator="containsText" text="중단">
      <formula>NOT(ISERROR(SEARCH("중단",N8)))</formula>
    </cfRule>
  </conditionalFormatting>
  <conditionalFormatting sqref="N8:N22">
    <cfRule type="containsText" dxfId="256" priority="62" operator="containsText" text="완료">
      <formula>NOT(ISERROR(SEARCH("완료",N8)))</formula>
    </cfRule>
    <cfRule type="containsText" dxfId="255" priority="63" operator="containsText" text="중단">
      <formula>NOT(ISERROR(SEARCH("중단",N8)))</formula>
    </cfRule>
  </conditionalFormatting>
  <conditionalFormatting sqref="N8:N22">
    <cfRule type="containsText" dxfId="254" priority="61" operator="containsText" text="진행중">
      <formula>NOT(ISERROR(SEARCH("진행중",N8)))</formula>
    </cfRule>
  </conditionalFormatting>
  <conditionalFormatting sqref="F14:F22">
    <cfRule type="containsText" dxfId="253" priority="154" operator="containsText" text="완료">
      <formula>NOT(ISERROR(SEARCH("완료",F14)))</formula>
    </cfRule>
    <cfRule type="containsText" dxfId="252" priority="155" operator="containsText" text="중단">
      <formula>NOT(ISERROR(SEARCH("중단",F14)))</formula>
    </cfRule>
  </conditionalFormatting>
  <conditionalFormatting sqref="F14:F22">
    <cfRule type="containsText" dxfId="251" priority="152" operator="containsText" text="완료">
      <formula>NOT(ISERROR(SEARCH("완료",F14)))</formula>
    </cfRule>
    <cfRule type="containsText" dxfId="250" priority="153" operator="containsText" text="중단">
      <formula>NOT(ISERROR(SEARCH("중단",F14)))</formula>
    </cfRule>
  </conditionalFormatting>
  <conditionalFormatting sqref="F14:F22">
    <cfRule type="containsText" dxfId="249" priority="151" operator="containsText" text="진행중">
      <formula>NOT(ISERROR(SEARCH("진행중",F14)))</formula>
    </cfRule>
  </conditionalFormatting>
  <conditionalFormatting sqref="K8:K17">
    <cfRule type="containsText" dxfId="238" priority="44" operator="containsText" text="완료">
      <formula>NOT(ISERROR(SEARCH("완료",K8)))</formula>
    </cfRule>
    <cfRule type="containsText" dxfId="237" priority="45" operator="containsText" text="중단">
      <formula>NOT(ISERROR(SEARCH("중단",K8)))</formula>
    </cfRule>
  </conditionalFormatting>
  <conditionalFormatting sqref="K8:K17">
    <cfRule type="containsText" dxfId="236" priority="42" operator="containsText" text="완료">
      <formula>NOT(ISERROR(SEARCH("완료",K8)))</formula>
    </cfRule>
    <cfRule type="containsText" dxfId="235" priority="43" operator="containsText" text="중단">
      <formula>NOT(ISERROR(SEARCH("중단",K8)))</formula>
    </cfRule>
  </conditionalFormatting>
  <conditionalFormatting sqref="K8:K17">
    <cfRule type="containsText" dxfId="234" priority="41" operator="containsText" text="진행중">
      <formula>NOT(ISERROR(SEARCH("진행중",K8)))</formula>
    </cfRule>
  </conditionalFormatting>
  <conditionalFormatting sqref="L8:L17">
    <cfRule type="containsText" dxfId="233" priority="39" operator="containsText" text="완료">
      <formula>NOT(ISERROR(SEARCH("완료",L8)))</formula>
    </cfRule>
    <cfRule type="containsText" dxfId="232" priority="40" operator="containsText" text="중단">
      <formula>NOT(ISERROR(SEARCH("중단",L8)))</formula>
    </cfRule>
  </conditionalFormatting>
  <conditionalFormatting sqref="L8:L17">
    <cfRule type="containsText" dxfId="231" priority="37" operator="containsText" text="완료">
      <formula>NOT(ISERROR(SEARCH("완료",L8)))</formula>
    </cfRule>
    <cfRule type="containsText" dxfId="230" priority="38" operator="containsText" text="중단">
      <formula>NOT(ISERROR(SEARCH("중단",L8)))</formula>
    </cfRule>
  </conditionalFormatting>
  <conditionalFormatting sqref="L8:L17">
    <cfRule type="containsText" dxfId="229" priority="36" operator="containsText" text="진행중">
      <formula>NOT(ISERROR(SEARCH("진행중",L8)))</formula>
    </cfRule>
  </conditionalFormatting>
  <conditionalFormatting sqref="M8:M22">
    <cfRule type="containsText" dxfId="223" priority="34" operator="containsText" text="완료">
      <formula>NOT(ISERROR(SEARCH("완료",M8)))</formula>
    </cfRule>
    <cfRule type="containsText" dxfId="222" priority="35" operator="containsText" text="중단">
      <formula>NOT(ISERROR(SEARCH("중단",M8)))</formula>
    </cfRule>
  </conditionalFormatting>
  <conditionalFormatting sqref="M8:M22">
    <cfRule type="containsText" dxfId="221" priority="32" operator="containsText" text="완료">
      <formula>NOT(ISERROR(SEARCH("완료",M8)))</formula>
    </cfRule>
    <cfRule type="containsText" dxfId="220" priority="33" operator="containsText" text="중단">
      <formula>NOT(ISERROR(SEARCH("중단",M8)))</formula>
    </cfRule>
  </conditionalFormatting>
  <conditionalFormatting sqref="M8:M22">
    <cfRule type="containsText" dxfId="219" priority="31" operator="containsText" text="진행중">
      <formula>NOT(ISERROR(SEARCH("진행중",M8)))</formula>
    </cfRule>
  </conditionalFormatting>
  <conditionalFormatting sqref="I14:I22">
    <cfRule type="containsText" dxfId="208" priority="109" operator="containsText" text="완료">
      <formula>NOT(ISERROR(SEARCH("완료",I14)))</formula>
    </cfRule>
    <cfRule type="containsText" dxfId="207" priority="110" operator="containsText" text="중단">
      <formula>NOT(ISERROR(SEARCH("중단",I14)))</formula>
    </cfRule>
  </conditionalFormatting>
  <conditionalFormatting sqref="I14:I22">
    <cfRule type="containsText" dxfId="206" priority="107" operator="containsText" text="완료">
      <formula>NOT(ISERROR(SEARCH("완료",I14)))</formula>
    </cfRule>
    <cfRule type="containsText" dxfId="205" priority="108" operator="containsText" text="중단">
      <formula>NOT(ISERROR(SEARCH("중단",I14)))</formula>
    </cfRule>
  </conditionalFormatting>
  <conditionalFormatting sqref="I14:I22">
    <cfRule type="containsText" dxfId="204" priority="106" operator="containsText" text="진행중">
      <formula>NOT(ISERROR(SEARCH("진행중",I14)))</formula>
    </cfRule>
  </conditionalFormatting>
  <conditionalFormatting sqref="F13">
    <cfRule type="containsText" dxfId="203" priority="104" operator="containsText" text="완료">
      <formula>NOT(ISERROR(SEARCH("완료",F13)))</formula>
    </cfRule>
    <cfRule type="containsText" dxfId="202" priority="105" operator="containsText" text="중단">
      <formula>NOT(ISERROR(SEARCH("중단",F13)))</formula>
    </cfRule>
  </conditionalFormatting>
  <conditionalFormatting sqref="F13">
    <cfRule type="containsText" dxfId="201" priority="102" operator="containsText" text="완료">
      <formula>NOT(ISERROR(SEARCH("완료",F13)))</formula>
    </cfRule>
    <cfRule type="containsText" dxfId="200" priority="103" operator="containsText" text="중단">
      <formula>NOT(ISERROR(SEARCH("중단",F13)))</formula>
    </cfRule>
  </conditionalFormatting>
  <conditionalFormatting sqref="F13">
    <cfRule type="containsText" dxfId="199" priority="101" operator="containsText" text="진행중">
      <formula>NOT(ISERROR(SEARCH("진행중",F13)))</formula>
    </cfRule>
  </conditionalFormatting>
  <conditionalFormatting sqref="I13">
    <cfRule type="containsText" dxfId="198" priority="99" operator="containsText" text="완료">
      <formula>NOT(ISERROR(SEARCH("완료",I13)))</formula>
    </cfRule>
    <cfRule type="containsText" dxfId="197" priority="100" operator="containsText" text="중단">
      <formula>NOT(ISERROR(SEARCH("중단",I13)))</formula>
    </cfRule>
  </conditionalFormatting>
  <conditionalFormatting sqref="I13">
    <cfRule type="containsText" dxfId="196" priority="97" operator="containsText" text="완료">
      <formula>NOT(ISERROR(SEARCH("완료",I13)))</formula>
    </cfRule>
    <cfRule type="containsText" dxfId="195" priority="98" operator="containsText" text="중단">
      <formula>NOT(ISERROR(SEARCH("중단",I13)))</formula>
    </cfRule>
  </conditionalFormatting>
  <conditionalFormatting sqref="I13">
    <cfRule type="containsText" dxfId="194" priority="96" operator="containsText" text="진행중">
      <formula>NOT(ISERROR(SEARCH("진행중",I13)))</formula>
    </cfRule>
  </conditionalFormatting>
  <conditionalFormatting sqref="E20:E22">
    <cfRule type="containsText" dxfId="193" priority="19" operator="containsText" text="완료">
      <formula>NOT(ISERROR(SEARCH("완료",E20)))</formula>
    </cfRule>
    <cfRule type="containsText" dxfId="192" priority="20" operator="containsText" text="중단">
      <formula>NOT(ISERROR(SEARCH("중단",E20)))</formula>
    </cfRule>
  </conditionalFormatting>
  <conditionalFormatting sqref="E20:E22">
    <cfRule type="containsText" dxfId="191" priority="17" operator="containsText" text="완료">
      <formula>NOT(ISERROR(SEARCH("완료",E20)))</formula>
    </cfRule>
    <cfRule type="containsText" dxfId="190" priority="18" operator="containsText" text="중단">
      <formula>NOT(ISERROR(SEARCH("중단",E20)))</formula>
    </cfRule>
  </conditionalFormatting>
  <conditionalFormatting sqref="E20:E22">
    <cfRule type="containsText" dxfId="189" priority="16" operator="containsText" text="진행중">
      <formula>NOT(ISERROR(SEARCH("진행중",E20)))</formula>
    </cfRule>
  </conditionalFormatting>
  <conditionalFormatting sqref="K18:K22">
    <cfRule type="containsText" dxfId="188" priority="89" operator="containsText" text="완료">
      <formula>NOT(ISERROR(SEARCH("완료",K18)))</formula>
    </cfRule>
    <cfRule type="containsText" dxfId="187" priority="90" operator="containsText" text="중단">
      <formula>NOT(ISERROR(SEARCH("중단",K18)))</formula>
    </cfRule>
  </conditionalFormatting>
  <conditionalFormatting sqref="K18:K22">
    <cfRule type="containsText" dxfId="186" priority="87" operator="containsText" text="완료">
      <formula>NOT(ISERROR(SEARCH("완료",K18)))</formula>
    </cfRule>
    <cfRule type="containsText" dxfId="185" priority="88" operator="containsText" text="중단">
      <formula>NOT(ISERROR(SEARCH("중단",K18)))</formula>
    </cfRule>
  </conditionalFormatting>
  <conditionalFormatting sqref="K18:K22">
    <cfRule type="containsText" dxfId="184" priority="86" operator="containsText" text="진행중">
      <formula>NOT(ISERROR(SEARCH("진행중",K18)))</formula>
    </cfRule>
  </conditionalFormatting>
  <conditionalFormatting sqref="L18:L22">
    <cfRule type="containsText" dxfId="178" priority="79" operator="containsText" text="완료">
      <formula>NOT(ISERROR(SEARCH("완료",L18)))</formula>
    </cfRule>
    <cfRule type="containsText" dxfId="177" priority="80" operator="containsText" text="중단">
      <formula>NOT(ISERROR(SEARCH("중단",L18)))</formula>
    </cfRule>
  </conditionalFormatting>
  <conditionalFormatting sqref="L18:L22">
    <cfRule type="containsText" dxfId="176" priority="77" operator="containsText" text="완료">
      <formula>NOT(ISERROR(SEARCH("완료",L18)))</formula>
    </cfRule>
    <cfRule type="containsText" dxfId="175" priority="78" operator="containsText" text="중단">
      <formula>NOT(ISERROR(SEARCH("중단",L18)))</formula>
    </cfRule>
  </conditionalFormatting>
  <conditionalFormatting sqref="L18:L22">
    <cfRule type="containsText" dxfId="174" priority="76" operator="containsText" text="진행중">
      <formula>NOT(ISERROR(SEARCH("진행중",L18)))</formula>
    </cfRule>
  </conditionalFormatting>
  <conditionalFormatting sqref="E19">
    <cfRule type="containsText" dxfId="108" priority="14" operator="containsText" text="완료">
      <formula>NOT(ISERROR(SEARCH("완료",E19)))</formula>
    </cfRule>
    <cfRule type="containsText" dxfId="107" priority="15" operator="containsText" text="중단">
      <formula>NOT(ISERROR(SEARCH("중단",E19)))</formula>
    </cfRule>
  </conditionalFormatting>
  <conditionalFormatting sqref="E19">
    <cfRule type="containsText" dxfId="106" priority="12" operator="containsText" text="완료">
      <formula>NOT(ISERROR(SEARCH("완료",E19)))</formula>
    </cfRule>
    <cfRule type="containsText" dxfId="105" priority="13" operator="containsText" text="중단">
      <formula>NOT(ISERROR(SEARCH("중단",E19)))</formula>
    </cfRule>
  </conditionalFormatting>
  <conditionalFormatting sqref="E19">
    <cfRule type="containsText" dxfId="104" priority="11" operator="containsText" text="진행중">
      <formula>NOT(ISERROR(SEARCH("진행중",E19)))</formula>
    </cfRule>
  </conditionalFormatting>
  <conditionalFormatting sqref="G8:G19">
    <cfRule type="containsText" dxfId="98" priority="9" operator="containsText" text="완료">
      <formula>NOT(ISERROR(SEARCH("완료",G8)))</formula>
    </cfRule>
    <cfRule type="containsText" dxfId="97" priority="10" operator="containsText" text="중단">
      <formula>NOT(ISERROR(SEARCH("중단",G8)))</formula>
    </cfRule>
  </conditionalFormatting>
  <conditionalFormatting sqref="G8:G19">
    <cfRule type="containsText" dxfId="96" priority="7" operator="containsText" text="완료">
      <formula>NOT(ISERROR(SEARCH("완료",G8)))</formula>
    </cfRule>
    <cfRule type="containsText" dxfId="95" priority="8" operator="containsText" text="중단">
      <formula>NOT(ISERROR(SEARCH("중단",G8)))</formula>
    </cfRule>
  </conditionalFormatting>
  <conditionalFormatting sqref="G8:G19">
    <cfRule type="containsText" dxfId="94" priority="6" operator="containsText" text="진행중">
      <formula>NOT(ISERROR(SEARCH("진행중",G8)))</formula>
    </cfRule>
  </conditionalFormatting>
  <conditionalFormatting sqref="H8:H19">
    <cfRule type="containsText" dxfId="76" priority="4" operator="containsText" text="완료">
      <formula>NOT(ISERROR(SEARCH("완료",H8)))</formula>
    </cfRule>
    <cfRule type="containsText" dxfId="75" priority="5" operator="containsText" text="중단">
      <formula>NOT(ISERROR(SEARCH("중단",H8)))</formula>
    </cfRule>
  </conditionalFormatting>
  <conditionalFormatting sqref="H8:H19">
    <cfRule type="containsText" dxfId="74" priority="2" operator="containsText" text="완료">
      <formula>NOT(ISERROR(SEARCH("완료",H8)))</formula>
    </cfRule>
    <cfRule type="containsText" dxfId="73" priority="3" operator="containsText" text="중단">
      <formula>NOT(ISERROR(SEARCH("중단",H8)))</formula>
    </cfRule>
  </conditionalFormatting>
  <conditionalFormatting sqref="H8:H19">
    <cfRule type="containsText" dxfId="72" priority="1" operator="containsText" text="진행중">
      <formula>NOT(ISERROR(SEARCH("진행중",H8)))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sheetPr>
    <tabColor theme="0" tint="-0.14999847407452621"/>
  </sheetPr>
  <dimension ref="A1:P41"/>
  <sheetViews>
    <sheetView zoomScale="85" zoomScaleNormal="85" workbookViewId="0">
      <selection activeCell="J26" sqref="J26"/>
    </sheetView>
  </sheetViews>
  <sheetFormatPr defaultRowHeight="17" x14ac:dyDescent="0.45"/>
  <cols>
    <col min="1" max="1" width="37.4140625" customWidth="1"/>
    <col min="2" max="2" width="13.33203125" customWidth="1"/>
    <col min="3" max="4" width="6.25" bestFit="1" customWidth="1"/>
    <col min="5" max="8" width="6.4140625" bestFit="1" customWidth="1"/>
    <col min="9" max="9" width="6.33203125" bestFit="1" customWidth="1"/>
    <col min="10" max="10" width="36.9140625" bestFit="1" customWidth="1"/>
    <col min="11" max="16" width="2.4140625" bestFit="1" customWidth="1"/>
  </cols>
  <sheetData>
    <row r="1" spans="1:16" ht="25.5" x14ac:dyDescent="0.45">
      <c r="A1" s="70" t="s">
        <v>43</v>
      </c>
      <c r="B1" s="71"/>
      <c r="C1" s="71"/>
      <c r="D1" s="71"/>
      <c r="E1" s="71"/>
      <c r="F1" s="71"/>
      <c r="G1" s="71"/>
      <c r="H1" s="72"/>
    </row>
    <row r="3" spans="1:16" x14ac:dyDescent="0.45">
      <c r="A3" s="50" t="s">
        <v>57</v>
      </c>
      <c r="B3" s="51"/>
      <c r="C3" s="51"/>
      <c r="D3" s="51"/>
      <c r="E3" s="51"/>
      <c r="F3" s="51"/>
      <c r="G3" s="51"/>
      <c r="H3" s="52"/>
    </row>
    <row r="4" spans="1:16" x14ac:dyDescent="0.45">
      <c r="A4" s="21"/>
      <c r="B4" s="27" t="s">
        <v>104</v>
      </c>
      <c r="C4" s="27" t="s">
        <v>50</v>
      </c>
      <c r="D4" s="27" t="s">
        <v>51</v>
      </c>
      <c r="E4" s="27" t="s">
        <v>52</v>
      </c>
      <c r="F4" s="27" t="s">
        <v>53</v>
      </c>
      <c r="G4" s="27" t="s">
        <v>54</v>
      </c>
      <c r="H4" s="27" t="s">
        <v>55</v>
      </c>
    </row>
    <row r="5" spans="1:16" x14ac:dyDescent="0.45">
      <c r="A5" s="29" t="s">
        <v>108</v>
      </c>
      <c r="B5" s="16">
        <f>SUM(C5:H5)</f>
        <v>32</v>
      </c>
      <c r="C5" s="30">
        <f>COUNTIF('ES#8'!$A$7:$A$23,LEFT(A5,10))</f>
        <v>4</v>
      </c>
      <c r="D5" s="30">
        <f>COUNTIF('ES#9'!$A$7:$A$23,LEFT(A5,10))</f>
        <v>4</v>
      </c>
      <c r="E5" s="30">
        <f>COUNTIF('PP#2'!$A$7:$A$15,LEFT(A5,10))</f>
        <v>6</v>
      </c>
      <c r="F5" s="30">
        <f>COUNTIF('PP#3'!$A$7:$A$15,LEFT(A5,10))</f>
        <v>6</v>
      </c>
      <c r="G5" s="30">
        <f>COUNTIF('PP#4'!$A$7:$A$15,LEFT(A5,10))</f>
        <v>6</v>
      </c>
      <c r="H5" s="30">
        <f>COUNTIF('PP#5'!$A$7:$A$15,LEFT(A5,10))</f>
        <v>6</v>
      </c>
    </row>
    <row r="6" spans="1:16" x14ac:dyDescent="0.45">
      <c r="A6" s="29" t="s">
        <v>109</v>
      </c>
      <c r="B6" s="16">
        <f>SUM(C6:H6)</f>
        <v>18</v>
      </c>
      <c r="C6" s="30">
        <f>COUNTIF('ES#8'!$A$7:$A$23,LEFT(A6,10))</f>
        <v>3</v>
      </c>
      <c r="D6" s="30">
        <f>COUNTIF('ES#9'!$A$7:$A$23,LEFT(A6,10))</f>
        <v>3</v>
      </c>
      <c r="E6" s="30">
        <f>COUNTIF('PP#2'!$A$7:$A$15,LEFT(A6,10))</f>
        <v>3</v>
      </c>
      <c r="F6" s="30">
        <f>COUNTIF('PP#3'!$A$7:$A$15,LEFT(A6,10))</f>
        <v>3</v>
      </c>
      <c r="G6" s="30">
        <f>COUNTIF('PP#4'!$A$7:$A$15,LEFT(A6,10))</f>
        <v>3</v>
      </c>
      <c r="H6" s="30">
        <f>COUNTIF('PP#5'!$A$7:$A$15,LEFT(A6,10))</f>
        <v>3</v>
      </c>
    </row>
    <row r="7" spans="1:16" x14ac:dyDescent="0.45">
      <c r="A7" s="29" t="s">
        <v>121</v>
      </c>
      <c r="B7" s="16"/>
      <c r="C7" s="30"/>
      <c r="D7" s="30"/>
      <c r="E7" s="30"/>
      <c r="F7" s="30"/>
      <c r="G7" s="30"/>
      <c r="H7" s="30"/>
    </row>
    <row r="8" spans="1:16" x14ac:dyDescent="0.45">
      <c r="A8" s="46"/>
      <c r="B8" s="16"/>
      <c r="C8" s="47"/>
      <c r="D8" s="47"/>
      <c r="E8" s="47"/>
      <c r="F8" s="47"/>
      <c r="G8" s="47"/>
      <c r="H8" s="47"/>
    </row>
    <row r="10" spans="1:16" x14ac:dyDescent="0.45">
      <c r="A10" s="50" t="s">
        <v>56</v>
      </c>
      <c r="B10" s="51"/>
      <c r="C10" s="51"/>
      <c r="D10" s="51"/>
      <c r="E10" s="51"/>
      <c r="F10" s="51"/>
      <c r="G10" s="51"/>
      <c r="H10" s="52"/>
    </row>
    <row r="11" spans="1:16" x14ac:dyDescent="0.45">
      <c r="A11" s="21"/>
      <c r="B11" s="27" t="s">
        <v>104</v>
      </c>
      <c r="C11" s="27" t="s">
        <v>50</v>
      </c>
      <c r="D11" s="27" t="s">
        <v>51</v>
      </c>
      <c r="E11" s="27" t="s">
        <v>52</v>
      </c>
      <c r="F11" s="27" t="s">
        <v>53</v>
      </c>
      <c r="G11" s="27" t="s">
        <v>54</v>
      </c>
      <c r="H11" s="27" t="s">
        <v>55</v>
      </c>
    </row>
    <row r="12" spans="1:16" x14ac:dyDescent="0.45">
      <c r="A12" s="38" t="s">
        <v>105</v>
      </c>
      <c r="B12" s="16">
        <f>SUM(C12:H12)</f>
        <v>56</v>
      </c>
      <c r="C12" s="32">
        <f>_xlfn.LET(
  _xlpm.ym, LEFT($A12,7),
  _xlpm.d0, DATEVALUE(_xlpm.ym &amp; "-01"),
  COUNTIFS('ES#8'!$A$7:$A$23, "&gt;=" &amp; _xlpm.d0,
           'ES#8'!$A$7:$A$23, "&lt;"  &amp; EOMONTH(_xlpm.d0,0)+1)
)</f>
        <v>10</v>
      </c>
      <c r="D12" s="32">
        <f>_xlfn.LET(
  _xlpm.ym, LEFT($A12,7),
  _xlpm.d0, DATEVALUE(_xlpm.ym &amp; "-01"),
  COUNTIFS('ES#9'!$A$7:$A$23, "&gt;=" &amp; _xlpm.d0,
           'ES#9'!$A$7:$A$23, "&lt;"  &amp; EOMONTH(_xlpm.d0,0)+1)
)</f>
        <v>10</v>
      </c>
      <c r="E12" s="32">
        <f>_xlfn.LET(
  _xlpm.ym, LEFT($A12,7),
  _xlpm.d0, DATEVALUE(_xlpm.ym &amp; "-01"),
  COUNTIFS('PP#2'!$A$7:$A$15, "&gt;=" &amp; _xlpm.d0,
           'PP#2'!$A$7:$A$15, "&lt;"  &amp; EOMONTH(_xlpm.d0,0)+1)
)</f>
        <v>9</v>
      </c>
      <c r="F12" s="32">
        <f>_xlfn.LET(
  _xlpm.ym, LEFT($A12,7),
  _xlpm.d0, DATEVALUE(_xlpm.ym &amp; "-01"),
  COUNTIFS('PP#3'!$A$7:$A$15, "&gt;=" &amp; _xlpm.d0,
           'PP#3'!$A$7:$A$15, "&lt;"  &amp; EOMONTH(_xlpm.d0,0)+1)
)</f>
        <v>9</v>
      </c>
      <c r="G12" s="32">
        <f>_xlfn.LET(
  _xlpm.ym, LEFT($A12,7),
  _xlpm.d0, DATEVALUE(_xlpm.ym &amp; "-01"),
  COUNTIFS('PP#4'!$A$7:$A$15, "&gt;=" &amp; _xlpm.d0,
           'PP#4'!$A$7:$A$15, "&lt;"  &amp; EOMONTH(_xlpm.d0,0)+1)
)</f>
        <v>9</v>
      </c>
      <c r="H12" s="32">
        <f>_xlfn.LET(
  _xlpm.ym, LEFT($A12,7),
  _xlpm.d0, DATEVALUE(_xlpm.ym &amp; "-01"),
  COUNTIFS('PP#5'!$A$7:$A$15, "&gt;=" &amp; _xlpm.d0,
           'PP#5'!$A$7:$A$15, "&lt;"  &amp; EOMONTH(_xlpm.d0,0)+1)
)</f>
        <v>9</v>
      </c>
      <c r="J12" s="38" t="s">
        <v>115</v>
      </c>
      <c r="K12" s="32">
        <f t="shared" ref="K12:P12" si="0">SUM(C5:C6)</f>
        <v>7</v>
      </c>
      <c r="L12" s="32">
        <f t="shared" si="0"/>
        <v>7</v>
      </c>
      <c r="M12" s="32">
        <f t="shared" si="0"/>
        <v>9</v>
      </c>
      <c r="N12" s="32">
        <f t="shared" si="0"/>
        <v>9</v>
      </c>
      <c r="O12" s="32">
        <f t="shared" si="0"/>
        <v>9</v>
      </c>
      <c r="P12" s="32">
        <f t="shared" si="0"/>
        <v>9</v>
      </c>
    </row>
    <row r="13" spans="1:16" x14ac:dyDescent="0.45">
      <c r="A13" s="38" t="s">
        <v>110</v>
      </c>
      <c r="B13" s="16"/>
      <c r="C13" s="32"/>
      <c r="D13" s="32"/>
      <c r="E13" s="32"/>
      <c r="F13" s="32"/>
      <c r="G13" s="32"/>
      <c r="H13" s="32"/>
    </row>
    <row r="16" spans="1:16" x14ac:dyDescent="0.45">
      <c r="A16" s="58" t="s">
        <v>120</v>
      </c>
      <c r="B16" s="58"/>
      <c r="C16" s="58"/>
      <c r="D16" s="58"/>
      <c r="E16" s="58"/>
      <c r="F16" s="58"/>
      <c r="G16" s="58"/>
      <c r="H16" s="59"/>
    </row>
    <row r="17" spans="1:8" x14ac:dyDescent="0.45">
      <c r="A17" s="29" t="s">
        <v>114</v>
      </c>
      <c r="B17" s="29" t="s">
        <v>102</v>
      </c>
      <c r="C17" s="67" t="s">
        <v>103</v>
      </c>
      <c r="D17" s="68"/>
      <c r="E17" s="68"/>
      <c r="F17" s="68"/>
      <c r="G17" s="68"/>
      <c r="H17" s="69"/>
    </row>
    <row r="18" spans="1:8" x14ac:dyDescent="0.45">
      <c r="A18" s="31" t="s">
        <v>42</v>
      </c>
      <c r="B18" s="16">
        <f>SUM(B5:B6)</f>
        <v>50</v>
      </c>
      <c r="C18" s="84"/>
      <c r="D18" s="79"/>
      <c r="E18" s="79"/>
      <c r="F18" s="79"/>
      <c r="G18" s="79"/>
      <c r="H18" s="80"/>
    </row>
    <row r="19" spans="1:8" x14ac:dyDescent="0.45">
      <c r="A19" s="40" t="s">
        <v>58</v>
      </c>
      <c r="B19" s="16">
        <f>COUNT(B5:B6)</f>
        <v>2</v>
      </c>
      <c r="C19" s="84"/>
      <c r="D19" s="79"/>
      <c r="E19" s="79"/>
      <c r="F19" s="79"/>
      <c r="G19" s="79"/>
      <c r="H19" s="80"/>
    </row>
    <row r="20" spans="1:8" x14ac:dyDescent="0.45">
      <c r="A20" s="40" t="s">
        <v>106</v>
      </c>
      <c r="B20" s="16">
        <f>COUNT(B12:B13)</f>
        <v>1</v>
      </c>
      <c r="C20" s="84"/>
      <c r="D20" s="79"/>
      <c r="E20" s="79"/>
      <c r="F20" s="79"/>
      <c r="G20" s="79"/>
      <c r="H20" s="80"/>
    </row>
    <row r="21" spans="1:8" x14ac:dyDescent="0.45">
      <c r="A21" s="43" t="s">
        <v>95</v>
      </c>
      <c r="B21" s="16">
        <f>ROUNDDOWN(B18/B19,1)</f>
        <v>25</v>
      </c>
      <c r="C21" s="81" t="s">
        <v>107</v>
      </c>
      <c r="D21" s="82"/>
      <c r="E21" s="82"/>
      <c r="F21" s="82"/>
      <c r="G21" s="82"/>
      <c r="H21" s="83"/>
    </row>
    <row r="22" spans="1:8" x14ac:dyDescent="0.45">
      <c r="A22" s="40" t="s">
        <v>100</v>
      </c>
      <c r="B22" s="16"/>
      <c r="C22" s="78" t="s">
        <v>101</v>
      </c>
      <c r="D22" s="79"/>
      <c r="E22" s="79"/>
      <c r="F22" s="79"/>
      <c r="G22" s="79"/>
      <c r="H22" s="80"/>
    </row>
    <row r="25" spans="1:8" ht="17" customHeight="1" x14ac:dyDescent="0.45">
      <c r="A25" s="70" t="s">
        <v>112</v>
      </c>
      <c r="B25" s="71"/>
      <c r="C25" s="71"/>
      <c r="D25" s="71"/>
      <c r="E25" s="71"/>
      <c r="F25" s="71"/>
      <c r="G25" s="71"/>
      <c r="H25" s="72"/>
    </row>
    <row r="26" spans="1:8" ht="17" customHeight="1" x14ac:dyDescent="0.45">
      <c r="A26" s="75"/>
      <c r="B26" s="76"/>
      <c r="C26" s="76"/>
      <c r="D26" s="76"/>
      <c r="E26" s="76"/>
      <c r="F26" s="76"/>
      <c r="G26" s="76"/>
      <c r="H26" s="77"/>
    </row>
    <row r="27" spans="1:8" x14ac:dyDescent="0.45">
      <c r="A27" s="73" t="s">
        <v>113</v>
      </c>
      <c r="B27" s="36" t="s">
        <v>29</v>
      </c>
      <c r="C27" s="16">
        <v>2.2599999999999998</v>
      </c>
      <c r="D27" s="37"/>
      <c r="E27" s="37"/>
      <c r="F27" s="33"/>
      <c r="G27" s="33"/>
      <c r="H27" s="28"/>
    </row>
    <row r="28" spans="1:8" x14ac:dyDescent="0.45">
      <c r="A28" s="74"/>
      <c r="B28" s="38" t="s">
        <v>41</v>
      </c>
      <c r="C28" s="16"/>
      <c r="D28" s="39"/>
      <c r="E28" s="39"/>
      <c r="F28" s="33"/>
      <c r="G28" s="33"/>
      <c r="H28" s="28"/>
    </row>
    <row r="29" spans="1:8" x14ac:dyDescent="0.45">
      <c r="A29" s="74"/>
      <c r="B29" s="39"/>
      <c r="C29" s="16"/>
      <c r="D29" s="39"/>
      <c r="E29" s="39"/>
      <c r="F29" s="33"/>
      <c r="G29" s="33"/>
      <c r="H29" s="28"/>
    </row>
    <row r="30" spans="1:8" x14ac:dyDescent="0.45">
      <c r="A30" s="74"/>
      <c r="B30" s="39"/>
      <c r="C30" s="16"/>
      <c r="D30" s="39"/>
      <c r="E30" s="39"/>
      <c r="F30" s="33"/>
      <c r="G30" s="33"/>
      <c r="H30" s="28"/>
    </row>
    <row r="31" spans="1:8" x14ac:dyDescent="0.45">
      <c r="A31" s="74"/>
      <c r="B31" s="39"/>
      <c r="C31" s="16"/>
      <c r="D31" s="39"/>
      <c r="E31" s="39"/>
      <c r="F31" s="33"/>
      <c r="G31" s="33"/>
      <c r="H31" s="28"/>
    </row>
    <row r="34" spans="1:8" x14ac:dyDescent="0.45">
      <c r="A34" s="70" t="s">
        <v>127</v>
      </c>
      <c r="B34" s="71"/>
      <c r="C34" s="71"/>
      <c r="D34" s="71"/>
      <c r="E34" s="71"/>
      <c r="F34" s="71"/>
      <c r="G34" s="71"/>
      <c r="H34" s="72"/>
    </row>
    <row r="35" spans="1:8" x14ac:dyDescent="0.45">
      <c r="A35" s="75"/>
      <c r="B35" s="76"/>
      <c r="C35" s="76"/>
      <c r="D35" s="76"/>
      <c r="E35" s="76"/>
      <c r="F35" s="76"/>
      <c r="G35" s="76"/>
      <c r="H35" s="77"/>
    </row>
    <row r="36" spans="1:8" x14ac:dyDescent="0.45">
      <c r="A36" s="74" t="s">
        <v>126</v>
      </c>
      <c r="B36" s="29" t="s">
        <v>32</v>
      </c>
      <c r="C36" s="16"/>
      <c r="D36" s="39"/>
      <c r="E36" s="39"/>
      <c r="F36" s="33"/>
      <c r="G36" s="33"/>
      <c r="H36" s="28"/>
    </row>
    <row r="37" spans="1:8" x14ac:dyDescent="0.45">
      <c r="A37" s="74"/>
      <c r="B37" s="39"/>
      <c r="C37" s="16"/>
      <c r="D37" s="39"/>
      <c r="E37" s="39"/>
      <c r="F37" s="33"/>
      <c r="G37" s="33"/>
      <c r="H37" s="28"/>
    </row>
    <row r="38" spans="1:8" x14ac:dyDescent="0.45">
      <c r="A38" s="74"/>
      <c r="B38" s="39"/>
      <c r="C38" s="16"/>
      <c r="D38" s="39"/>
      <c r="E38" s="39"/>
      <c r="F38" s="33"/>
      <c r="G38" s="33"/>
      <c r="H38" s="28"/>
    </row>
    <row r="39" spans="1:8" x14ac:dyDescent="0.45">
      <c r="A39" s="74"/>
      <c r="B39" s="39"/>
      <c r="C39" s="16"/>
      <c r="D39" s="39"/>
      <c r="E39" s="39"/>
      <c r="F39" s="33"/>
      <c r="G39" s="33"/>
      <c r="H39" s="28"/>
    </row>
    <row r="40" spans="1:8" x14ac:dyDescent="0.45">
      <c r="A40" s="74"/>
      <c r="B40" s="39"/>
      <c r="C40" s="16"/>
      <c r="D40" s="39"/>
      <c r="E40" s="39"/>
      <c r="F40" s="33"/>
      <c r="G40" s="33"/>
      <c r="H40" s="28"/>
    </row>
    <row r="41" spans="1:8" x14ac:dyDescent="0.45">
      <c r="A41" s="74"/>
      <c r="B41" s="39"/>
      <c r="C41" s="16"/>
      <c r="D41" s="39"/>
      <c r="E41" s="39"/>
      <c r="F41" s="34"/>
      <c r="G41" s="34"/>
      <c r="H41" s="35"/>
    </row>
  </sheetData>
  <mergeCells count="14">
    <mergeCell ref="C17:H17"/>
    <mergeCell ref="A1:H1"/>
    <mergeCell ref="A16:H16"/>
    <mergeCell ref="A27:A31"/>
    <mergeCell ref="A36:A41"/>
    <mergeCell ref="A25:H26"/>
    <mergeCell ref="A3:H3"/>
    <mergeCell ref="A10:H10"/>
    <mergeCell ref="A34:H35"/>
    <mergeCell ref="C22:H22"/>
    <mergeCell ref="C21:H21"/>
    <mergeCell ref="C20:H20"/>
    <mergeCell ref="C19:H19"/>
    <mergeCell ref="C18:H1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sheetPr>
    <tabColor theme="0" tint="-0.14999847407452621"/>
  </sheetPr>
  <dimension ref="B4:D6"/>
  <sheetViews>
    <sheetView workbookViewId="0">
      <selection activeCell="D6" sqref="D6"/>
    </sheetView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5" t="s">
        <v>97</v>
      </c>
      <c r="C4" s="26" t="s">
        <v>98</v>
      </c>
      <c r="D4" s="15" t="s">
        <v>118</v>
      </c>
    </row>
    <row r="5" spans="2:4" ht="170" x14ac:dyDescent="0.45">
      <c r="B5" s="15" t="s">
        <v>99</v>
      </c>
      <c r="C5" s="26" t="s">
        <v>96</v>
      </c>
      <c r="D5" s="15" t="s">
        <v>119</v>
      </c>
    </row>
    <row r="6" spans="2:4" ht="170" x14ac:dyDescent="0.45">
      <c r="B6" s="15" t="s">
        <v>116</v>
      </c>
      <c r="C6" s="26" t="s">
        <v>117</v>
      </c>
      <c r="D6" s="15" t="s">
        <v>119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2025-11-12T03:56:08Z</dcterms:modified>
</cp:coreProperties>
</file>