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박정훈\"/>
    </mc:Choice>
  </mc:AlternateContent>
  <xr:revisionPtr revIDLastSave="0" documentId="13_ncr:1_{DA2329AB-A7BB-46EB-B794-CD5BD985FD9F}" xr6:coauthVersionLast="47" xr6:coauthVersionMax="47" xr10:uidLastSave="{00000000-0000-0000-0000-000000000000}"/>
  <bookViews>
    <workbookView xWindow="-110" yWindow="-110" windowWidth="25820" windowHeight="15500" firstSheet="1" activeTab="3" xr2:uid="{CED9E63A-2141-4F6D-B852-EE2848ECBF25}"/>
  </bookViews>
  <sheets>
    <sheet name="시험" sheetId="3" state="hidden" r:id="rId1"/>
    <sheet name="ES#8" sheetId="18" r:id="rId2"/>
    <sheet name="ES#9" sheetId="19" r:id="rId3"/>
    <sheet name="PP#2" sheetId="2" r:id="rId4"/>
    <sheet name="PP#3" sheetId="15" r:id="rId5"/>
    <sheet name="PP#4" sheetId="16" r:id="rId6"/>
    <sheet name="PP#5" sheetId="17" r:id="rId7"/>
    <sheet name="종합" sheetId="10" r:id="rId8"/>
    <sheet name="특이사항 상세(raw)" sheetId="20" r:id="rId9"/>
  </sheets>
  <definedNames>
    <definedName name="_xlnm._FilterDatabase" localSheetId="1" hidden="1">'ES#8'!$A$2:$AQ$6</definedName>
    <definedName name="_xlnm._FilterDatabase" localSheetId="2" hidden="1">'ES#9'!$A$2:$AQ$6</definedName>
    <definedName name="_xlnm._FilterDatabase" localSheetId="3" hidden="1">'PP#2'!$A$2:$AQ$6</definedName>
    <definedName name="_xlnm._FilterDatabase" localSheetId="4" hidden="1">'PP#3'!$A$2:$AQ$6</definedName>
    <definedName name="_xlnm._FilterDatabase" localSheetId="5" hidden="1">'PP#4'!$A$2:$AQ$6</definedName>
    <definedName name="_xlnm._FilterDatabase" localSheetId="6" hidden="1">'PP#5'!$A$2:$AQ$6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9" i="15" l="1"/>
  <c r="P10" i="15"/>
  <c r="P11" i="15"/>
  <c r="P12" i="15"/>
  <c r="P13" i="15"/>
  <c r="P14" i="15"/>
  <c r="P15" i="15"/>
  <c r="P16" i="15"/>
  <c r="P17" i="15"/>
  <c r="P18" i="15"/>
  <c r="P9" i="16"/>
  <c r="P10" i="16"/>
  <c r="P11" i="16"/>
  <c r="P12" i="16"/>
  <c r="P13" i="16"/>
  <c r="P14" i="16"/>
  <c r="P15" i="16"/>
  <c r="P16" i="16"/>
  <c r="P17" i="16"/>
  <c r="P18" i="16"/>
  <c r="P9" i="17"/>
  <c r="P10" i="17"/>
  <c r="P11" i="17"/>
  <c r="P12" i="17"/>
  <c r="P13" i="17"/>
  <c r="P14" i="17"/>
  <c r="P15" i="17"/>
  <c r="P16" i="17"/>
  <c r="P17" i="17"/>
  <c r="P18" i="17"/>
  <c r="P9" i="2"/>
  <c r="P10" i="2"/>
  <c r="P11" i="2"/>
  <c r="P12" i="2"/>
  <c r="P13" i="2"/>
  <c r="P14" i="2"/>
  <c r="P15" i="2"/>
  <c r="P16" i="2"/>
  <c r="P17" i="2"/>
  <c r="P18" i="2"/>
  <c r="P8" i="15"/>
  <c r="P7" i="15"/>
  <c r="P8" i="16"/>
  <c r="P7" i="16"/>
  <c r="P8" i="17"/>
  <c r="P7" i="17"/>
  <c r="P8" i="2"/>
  <c r="P7" i="2"/>
  <c r="P10" i="19"/>
  <c r="P10" i="18"/>
  <c r="P9" i="19"/>
  <c r="P9" i="18"/>
  <c r="P8" i="19"/>
  <c r="P8" i="18"/>
  <c r="P7" i="19"/>
  <c r="P7" i="18"/>
  <c r="P11" i="19"/>
  <c r="P12" i="19"/>
  <c r="P13" i="19"/>
  <c r="P14" i="19"/>
  <c r="P15" i="19"/>
  <c r="P16" i="19"/>
  <c r="P11" i="18"/>
  <c r="P12" i="18"/>
  <c r="P13" i="18"/>
  <c r="P14" i="18"/>
  <c r="P15" i="18"/>
  <c r="P16" i="18"/>
  <c r="N10" i="19"/>
  <c r="O10" i="19"/>
  <c r="N12" i="19"/>
  <c r="O12" i="19"/>
  <c r="N14" i="19"/>
  <c r="O14" i="19"/>
  <c r="N16" i="19"/>
  <c r="O16" i="19"/>
  <c r="N10" i="18"/>
  <c r="O10" i="18"/>
  <c r="N12" i="18"/>
  <c r="O12" i="18"/>
  <c r="N14" i="18"/>
  <c r="O14" i="18"/>
  <c r="N16" i="18"/>
  <c r="O16" i="18"/>
  <c r="O8" i="19"/>
  <c r="N8" i="19"/>
  <c r="O8" i="18"/>
  <c r="N8" i="18"/>
  <c r="N9" i="15"/>
  <c r="N10" i="15" s="1"/>
  <c r="N11" i="15" s="1"/>
  <c r="N12" i="15" s="1"/>
  <c r="N13" i="15" s="1"/>
  <c r="N14" i="15" s="1"/>
  <c r="N15" i="15" s="1"/>
  <c r="N16" i="15" s="1"/>
  <c r="N17" i="15" s="1"/>
  <c r="N18" i="15" s="1"/>
  <c r="O9" i="15"/>
  <c r="O10" i="15" s="1"/>
  <c r="O11" i="15" s="1"/>
  <c r="O12" i="15" s="1"/>
  <c r="O13" i="15" s="1"/>
  <c r="O14" i="15" s="1"/>
  <c r="O15" i="15" s="1"/>
  <c r="O16" i="15" s="1"/>
  <c r="O17" i="15" s="1"/>
  <c r="O18" i="15" s="1"/>
  <c r="N9" i="16"/>
  <c r="N10" i="16" s="1"/>
  <c r="N11" i="16" s="1"/>
  <c r="N12" i="16" s="1"/>
  <c r="N13" i="16" s="1"/>
  <c r="N14" i="16" s="1"/>
  <c r="N15" i="16" s="1"/>
  <c r="N16" i="16" s="1"/>
  <c r="N17" i="16" s="1"/>
  <c r="N18" i="16" s="1"/>
  <c r="O9" i="16"/>
  <c r="O10" i="16" s="1"/>
  <c r="O11" i="16" s="1"/>
  <c r="O12" i="16" s="1"/>
  <c r="O13" i="16" s="1"/>
  <c r="O14" i="16" s="1"/>
  <c r="O15" i="16" s="1"/>
  <c r="O16" i="16" s="1"/>
  <c r="O17" i="16" s="1"/>
  <c r="O18" i="16" s="1"/>
  <c r="N9" i="17"/>
  <c r="O9" i="17"/>
  <c r="N10" i="17"/>
  <c r="N11" i="17" s="1"/>
  <c r="N12" i="17" s="1"/>
  <c r="N13" i="17" s="1"/>
  <c r="N14" i="17" s="1"/>
  <c r="N15" i="17" s="1"/>
  <c r="N16" i="17" s="1"/>
  <c r="N17" i="17" s="1"/>
  <c r="N18" i="17" s="1"/>
  <c r="O10" i="17"/>
  <c r="O11" i="17" s="1"/>
  <c r="O12" i="17" s="1"/>
  <c r="O13" i="17" s="1"/>
  <c r="O14" i="17" s="1"/>
  <c r="O15" i="17" s="1"/>
  <c r="O16" i="17" s="1"/>
  <c r="O17" i="17" s="1"/>
  <c r="O18" i="17" s="1"/>
  <c r="N9" i="2"/>
  <c r="O9" i="2"/>
  <c r="N10" i="2"/>
  <c r="O10" i="2"/>
  <c r="O11" i="2" s="1"/>
  <c r="O12" i="2" s="1"/>
  <c r="O13" i="2" s="1"/>
  <c r="O14" i="2" s="1"/>
  <c r="O15" i="2" s="1"/>
  <c r="O16" i="2" s="1"/>
  <c r="O17" i="2" s="1"/>
  <c r="O18" i="2" s="1"/>
  <c r="N11" i="2"/>
  <c r="N12" i="2" s="1"/>
  <c r="N13" i="2" s="1"/>
  <c r="N14" i="2" s="1"/>
  <c r="N15" i="2" s="1"/>
  <c r="N16" i="2" s="1"/>
  <c r="N17" i="2" s="1"/>
  <c r="N18" i="2" s="1"/>
  <c r="O8" i="2"/>
  <c r="N8" i="2"/>
  <c r="J12" i="18"/>
  <c r="J13" i="18" s="1"/>
  <c r="J14" i="18" s="1"/>
  <c r="G12" i="18"/>
  <c r="G13" i="18" s="1"/>
  <c r="G14" i="18" s="1"/>
  <c r="G15" i="18" s="1"/>
  <c r="G16" i="18" s="1"/>
  <c r="L10" i="19"/>
  <c r="M10" i="19"/>
  <c r="L12" i="19"/>
  <c r="M12" i="19"/>
  <c r="L14" i="19"/>
  <c r="M14" i="19"/>
  <c r="L10" i="18"/>
  <c r="M10" i="18"/>
  <c r="M12" i="18"/>
  <c r="M8" i="19"/>
  <c r="L8" i="19"/>
  <c r="M8" i="18"/>
  <c r="L8" i="18"/>
  <c r="N8" i="15"/>
  <c r="M8" i="15"/>
  <c r="M9" i="15" s="1"/>
  <c r="M10" i="15" s="1"/>
  <c r="M11" i="15" s="1"/>
  <c r="M12" i="15" s="1"/>
  <c r="M13" i="15" s="1"/>
  <c r="M14" i="15" s="1"/>
  <c r="M15" i="15" s="1"/>
  <c r="M16" i="15" s="1"/>
  <c r="M17" i="15" s="1"/>
  <c r="M18" i="15" s="1"/>
  <c r="L8" i="15"/>
  <c r="L9" i="15" s="1"/>
  <c r="L10" i="15" s="1"/>
  <c r="L11" i="15" s="1"/>
  <c r="L12" i="15" s="1"/>
  <c r="L13" i="15" s="1"/>
  <c r="L14" i="15" s="1"/>
  <c r="L15" i="15" s="1"/>
  <c r="L16" i="15" s="1"/>
  <c r="L17" i="15" s="1"/>
  <c r="L18" i="15" s="1"/>
  <c r="N8" i="16"/>
  <c r="M8" i="16"/>
  <c r="M9" i="16" s="1"/>
  <c r="M10" i="16" s="1"/>
  <c r="M11" i="16" s="1"/>
  <c r="M12" i="16" s="1"/>
  <c r="M13" i="16" s="1"/>
  <c r="M14" i="16" s="1"/>
  <c r="M15" i="16" s="1"/>
  <c r="M16" i="16" s="1"/>
  <c r="M17" i="16" s="1"/>
  <c r="M18" i="16" s="1"/>
  <c r="L8" i="16"/>
  <c r="L9" i="16" s="1"/>
  <c r="L10" i="16" s="1"/>
  <c r="L11" i="16" s="1"/>
  <c r="L12" i="16" s="1"/>
  <c r="L13" i="16" s="1"/>
  <c r="L14" i="16" s="1"/>
  <c r="L15" i="16" s="1"/>
  <c r="L16" i="16" s="1"/>
  <c r="L17" i="16" s="1"/>
  <c r="L18" i="16" s="1"/>
  <c r="L9" i="17"/>
  <c r="L10" i="17" s="1"/>
  <c r="L11" i="17" s="1"/>
  <c r="L12" i="17" s="1"/>
  <c r="L13" i="17" s="1"/>
  <c r="L14" i="17" s="1"/>
  <c r="L15" i="17" s="1"/>
  <c r="L16" i="17" s="1"/>
  <c r="L17" i="17" s="1"/>
  <c r="L18" i="17" s="1"/>
  <c r="N8" i="17"/>
  <c r="M8" i="17"/>
  <c r="M9" i="17" s="1"/>
  <c r="M10" i="17" s="1"/>
  <c r="M11" i="17" s="1"/>
  <c r="M12" i="17" s="1"/>
  <c r="M13" i="17" s="1"/>
  <c r="M14" i="17" s="1"/>
  <c r="M15" i="17" s="1"/>
  <c r="M16" i="17" s="1"/>
  <c r="M17" i="17" s="1"/>
  <c r="M18" i="17" s="1"/>
  <c r="L8" i="17"/>
  <c r="L9" i="2"/>
  <c r="L10" i="2" s="1"/>
  <c r="L11" i="2" s="1"/>
  <c r="L12" i="2" s="1"/>
  <c r="L13" i="2" s="1"/>
  <c r="L14" i="2" s="1"/>
  <c r="L15" i="2" s="1"/>
  <c r="L16" i="2" s="1"/>
  <c r="L17" i="2" s="1"/>
  <c r="L18" i="2" s="1"/>
  <c r="M8" i="2"/>
  <c r="M9" i="2" s="1"/>
  <c r="M10" i="2" s="1"/>
  <c r="M11" i="2" s="1"/>
  <c r="M12" i="2" s="1"/>
  <c r="M13" i="2" s="1"/>
  <c r="M14" i="2" s="1"/>
  <c r="M15" i="2" s="1"/>
  <c r="M16" i="2" s="1"/>
  <c r="M17" i="2" s="1"/>
  <c r="M18" i="2" s="1"/>
  <c r="L8" i="2"/>
  <c r="O8" i="15"/>
  <c r="O8" i="16"/>
  <c r="O8" i="17"/>
  <c r="J19" i="15"/>
  <c r="J20" i="15"/>
  <c r="J21" i="15"/>
  <c r="J22" i="15"/>
  <c r="J19" i="16"/>
  <c r="J20" i="16"/>
  <c r="J21" i="16"/>
  <c r="J22" i="16"/>
  <c r="J19" i="17"/>
  <c r="J20" i="17"/>
  <c r="J21" i="17"/>
  <c r="J22" i="17"/>
  <c r="J19" i="2"/>
  <c r="J20" i="2"/>
  <c r="J21" i="2"/>
  <c r="J22" i="2"/>
  <c r="J14" i="15"/>
  <c r="J15" i="15" s="1"/>
  <c r="J16" i="15" s="1"/>
  <c r="J17" i="15" s="1"/>
  <c r="J18" i="15" s="1"/>
  <c r="J14" i="16"/>
  <c r="J15" i="16" s="1"/>
  <c r="J16" i="16" s="1"/>
  <c r="J17" i="16" s="1"/>
  <c r="J18" i="16" s="1"/>
  <c r="J14" i="17"/>
  <c r="J15" i="17" s="1"/>
  <c r="J16" i="17" s="1"/>
  <c r="J17" i="17" s="1"/>
  <c r="J18" i="17" s="1"/>
  <c r="J14" i="2"/>
  <c r="J15" i="2" s="1"/>
  <c r="J16" i="2" s="1"/>
  <c r="J17" i="2" s="1"/>
  <c r="J18" i="2" s="1"/>
  <c r="G19" i="15"/>
  <c r="G20" i="15"/>
  <c r="G21" i="15"/>
  <c r="G22" i="15"/>
  <c r="G19" i="16"/>
  <c r="G20" i="16"/>
  <c r="G21" i="16"/>
  <c r="G22" i="16"/>
  <c r="G19" i="17"/>
  <c r="G20" i="17"/>
  <c r="G21" i="17"/>
  <c r="G22" i="17"/>
  <c r="G19" i="2"/>
  <c r="G20" i="2"/>
  <c r="G21" i="2"/>
  <c r="G22" i="2"/>
  <c r="G14" i="15"/>
  <c r="G15" i="15" s="1"/>
  <c r="G16" i="15" s="1"/>
  <c r="G17" i="15" s="1"/>
  <c r="G18" i="15" s="1"/>
  <c r="G14" i="16"/>
  <c r="G15" i="16" s="1"/>
  <c r="G16" i="16" s="1"/>
  <c r="G17" i="16" s="1"/>
  <c r="G18" i="16" s="1"/>
  <c r="G14" i="17"/>
  <c r="G15" i="17" s="1"/>
  <c r="G16" i="17" s="1"/>
  <c r="G17" i="17" s="1"/>
  <c r="G18" i="17" s="1"/>
  <c r="G14" i="2"/>
  <c r="G15" i="2" s="1"/>
  <c r="G16" i="2" s="1"/>
  <c r="G17" i="2" s="1"/>
  <c r="G18" i="2" s="1"/>
  <c r="D17" i="19"/>
  <c r="D18" i="19"/>
  <c r="D19" i="19"/>
  <c r="D20" i="19"/>
  <c r="D21" i="19"/>
  <c r="D22" i="19"/>
  <c r="D17" i="18"/>
  <c r="D18" i="18"/>
  <c r="D19" i="18"/>
  <c r="D20" i="18"/>
  <c r="D21" i="18"/>
  <c r="D22" i="18"/>
  <c r="D16" i="19"/>
  <c r="D16" i="18"/>
  <c r="D19" i="15"/>
  <c r="D20" i="15"/>
  <c r="D21" i="15"/>
  <c r="D22" i="15"/>
  <c r="D19" i="16"/>
  <c r="D20" i="16"/>
  <c r="D21" i="16"/>
  <c r="D22" i="16"/>
  <c r="D19" i="17"/>
  <c r="D20" i="17"/>
  <c r="D21" i="17"/>
  <c r="D22" i="17"/>
  <c r="D19" i="2"/>
  <c r="D20" i="2"/>
  <c r="D21" i="2"/>
  <c r="D22" i="2"/>
  <c r="C19" i="15"/>
  <c r="C20" i="15"/>
  <c r="C21" i="15"/>
  <c r="C22" i="15"/>
  <c r="C19" i="16"/>
  <c r="C20" i="16"/>
  <c r="C21" i="16"/>
  <c r="C22" i="16"/>
  <c r="C19" i="17"/>
  <c r="C20" i="17"/>
  <c r="C21" i="17"/>
  <c r="C22" i="17"/>
  <c r="C19" i="2"/>
  <c r="C20" i="2"/>
  <c r="C21" i="2"/>
  <c r="C22" i="2"/>
  <c r="C17" i="18"/>
  <c r="C18" i="18"/>
  <c r="C19" i="18"/>
  <c r="C20" i="18"/>
  <c r="C21" i="18"/>
  <c r="C22" i="18"/>
  <c r="C17" i="19"/>
  <c r="C18" i="19"/>
  <c r="C19" i="19"/>
  <c r="C20" i="19"/>
  <c r="C21" i="19"/>
  <c r="C22" i="19"/>
  <c r="C16" i="18"/>
  <c r="C16" i="19"/>
  <c r="D8" i="15"/>
  <c r="D9" i="15"/>
  <c r="D10" i="15"/>
  <c r="D11" i="15"/>
  <c r="D12" i="15"/>
  <c r="D13" i="15"/>
  <c r="D14" i="15"/>
  <c r="D15" i="15"/>
  <c r="D16" i="15"/>
  <c r="D17" i="15"/>
  <c r="D8" i="16"/>
  <c r="D9" i="16"/>
  <c r="D10" i="16"/>
  <c r="D11" i="16"/>
  <c r="D12" i="16"/>
  <c r="D13" i="16"/>
  <c r="D14" i="16"/>
  <c r="D15" i="16"/>
  <c r="D16" i="16"/>
  <c r="D17" i="16"/>
  <c r="D8" i="17"/>
  <c r="D9" i="17"/>
  <c r="D10" i="17"/>
  <c r="D11" i="17"/>
  <c r="D12" i="17"/>
  <c r="D13" i="17"/>
  <c r="D14" i="17"/>
  <c r="D15" i="17"/>
  <c r="D16" i="17"/>
  <c r="D17" i="17"/>
  <c r="D8" i="2"/>
  <c r="D9" i="2"/>
  <c r="D10" i="2"/>
  <c r="D11" i="2"/>
  <c r="D12" i="2"/>
  <c r="D13" i="2"/>
  <c r="D14" i="2"/>
  <c r="D15" i="2"/>
  <c r="D16" i="2"/>
  <c r="D17" i="2"/>
  <c r="D18" i="15"/>
  <c r="D18" i="16"/>
  <c r="D18" i="17"/>
  <c r="D18" i="2"/>
  <c r="C18" i="15"/>
  <c r="C18" i="16"/>
  <c r="C18" i="17"/>
  <c r="C18" i="2"/>
  <c r="B22" i="16"/>
  <c r="B21" i="16"/>
  <c r="B20" i="16"/>
  <c r="B19" i="16"/>
  <c r="B8" i="16"/>
  <c r="B9" i="16" s="1"/>
  <c r="B22" i="17"/>
  <c r="B21" i="17"/>
  <c r="B20" i="17"/>
  <c r="B19" i="17"/>
  <c r="B9" i="17"/>
  <c r="B10" i="17" s="1"/>
  <c r="B8" i="17"/>
  <c r="B22" i="15"/>
  <c r="B21" i="15"/>
  <c r="B20" i="15"/>
  <c r="B19" i="15"/>
  <c r="B8" i="15"/>
  <c r="B9" i="15" s="1"/>
  <c r="B9" i="2"/>
  <c r="B10" i="2"/>
  <c r="B11" i="2" s="1"/>
  <c r="B19" i="2"/>
  <c r="B20" i="2"/>
  <c r="B21" i="2"/>
  <c r="B22" i="2"/>
  <c r="B8" i="2"/>
  <c r="X8" i="2" s="1"/>
  <c r="B20" i="19"/>
  <c r="B21" i="19"/>
  <c r="B22" i="19"/>
  <c r="B20" i="18"/>
  <c r="B21" i="18"/>
  <c r="B22" i="18"/>
  <c r="B11" i="19"/>
  <c r="B12" i="19"/>
  <c r="B13" i="19" s="1"/>
  <c r="B16" i="19"/>
  <c r="B17" i="19"/>
  <c r="B18" i="19"/>
  <c r="B19" i="19"/>
  <c r="B11" i="18"/>
  <c r="B12" i="18" s="1"/>
  <c r="B16" i="18"/>
  <c r="B17" i="18"/>
  <c r="B18" i="18"/>
  <c r="B19" i="18"/>
  <c r="B10" i="19"/>
  <c r="AC10" i="19" s="1"/>
  <c r="B10" i="18"/>
  <c r="AC10" i="18" s="1"/>
  <c r="B9" i="19"/>
  <c r="B9" i="18"/>
  <c r="B8" i="19"/>
  <c r="B8" i="18"/>
  <c r="H6" i="10"/>
  <c r="G6" i="10"/>
  <c r="F6" i="10"/>
  <c r="E6" i="10"/>
  <c r="D6" i="10"/>
  <c r="C6" i="10"/>
  <c r="D7" i="16"/>
  <c r="D7" i="17"/>
  <c r="D7" i="15"/>
  <c r="AC9" i="17"/>
  <c r="AB9" i="17"/>
  <c r="AA9" i="17"/>
  <c r="Z9" i="17"/>
  <c r="Y9" i="17"/>
  <c r="X9" i="17"/>
  <c r="W9" i="17"/>
  <c r="V9" i="17"/>
  <c r="AC8" i="17"/>
  <c r="AB8" i="17"/>
  <c r="AA8" i="17"/>
  <c r="Z8" i="17"/>
  <c r="Y8" i="17"/>
  <c r="X8" i="17"/>
  <c r="W8" i="17"/>
  <c r="V8" i="17"/>
  <c r="AC7" i="17"/>
  <c r="AB7" i="17"/>
  <c r="AA7" i="17"/>
  <c r="Z7" i="17"/>
  <c r="Y7" i="17"/>
  <c r="X7" i="17"/>
  <c r="W7" i="17"/>
  <c r="V7" i="17"/>
  <c r="AC8" i="16"/>
  <c r="AB8" i="16"/>
  <c r="AA8" i="16"/>
  <c r="Z8" i="16"/>
  <c r="Y8" i="16"/>
  <c r="X8" i="16"/>
  <c r="W8" i="16"/>
  <c r="V8" i="16"/>
  <c r="AC7" i="16"/>
  <c r="AB7" i="16"/>
  <c r="AA7" i="16"/>
  <c r="Z7" i="16"/>
  <c r="Y7" i="16"/>
  <c r="X7" i="16"/>
  <c r="W7" i="16"/>
  <c r="V7" i="16"/>
  <c r="AC8" i="15"/>
  <c r="AB8" i="15"/>
  <c r="AA8" i="15"/>
  <c r="Z8" i="15"/>
  <c r="Y8" i="15"/>
  <c r="X8" i="15"/>
  <c r="W8" i="15"/>
  <c r="V8" i="15"/>
  <c r="AC7" i="15"/>
  <c r="AB7" i="15"/>
  <c r="AA7" i="15"/>
  <c r="Z7" i="15"/>
  <c r="Y7" i="15"/>
  <c r="X7" i="15"/>
  <c r="W7" i="15"/>
  <c r="V7" i="15"/>
  <c r="AC10" i="2"/>
  <c r="AB10" i="2"/>
  <c r="AA10" i="2"/>
  <c r="Z10" i="2"/>
  <c r="Y10" i="2"/>
  <c r="X10" i="2"/>
  <c r="W10" i="2"/>
  <c r="V10" i="2"/>
  <c r="AC9" i="2"/>
  <c r="AB9" i="2"/>
  <c r="AA9" i="2"/>
  <c r="Z9" i="2"/>
  <c r="Y9" i="2"/>
  <c r="X9" i="2"/>
  <c r="W9" i="2"/>
  <c r="V9" i="2"/>
  <c r="AC8" i="2"/>
  <c r="Z8" i="2"/>
  <c r="Y8" i="2"/>
  <c r="AC7" i="2"/>
  <c r="AB7" i="2"/>
  <c r="AA7" i="2"/>
  <c r="Z7" i="2"/>
  <c r="Y7" i="2"/>
  <c r="X7" i="2"/>
  <c r="W7" i="2"/>
  <c r="V7" i="2"/>
  <c r="AC12" i="19"/>
  <c r="AB12" i="19"/>
  <c r="AA12" i="19"/>
  <c r="Z12" i="19"/>
  <c r="Y12" i="19"/>
  <c r="X12" i="19"/>
  <c r="W12" i="19"/>
  <c r="V12" i="19"/>
  <c r="AB10" i="19"/>
  <c r="X10" i="19"/>
  <c r="W10" i="19"/>
  <c r="V10" i="19"/>
  <c r="AC9" i="19"/>
  <c r="AB9" i="19"/>
  <c r="AA9" i="19"/>
  <c r="Z9" i="19"/>
  <c r="Y9" i="19"/>
  <c r="X9" i="19"/>
  <c r="W9" i="19"/>
  <c r="V9" i="19"/>
  <c r="AC8" i="19"/>
  <c r="AB8" i="19"/>
  <c r="AA8" i="19"/>
  <c r="Z8" i="19"/>
  <c r="Y8" i="19"/>
  <c r="X8" i="19"/>
  <c r="W8" i="19"/>
  <c r="V8" i="19"/>
  <c r="AC7" i="19"/>
  <c r="AB7" i="19"/>
  <c r="AA7" i="19"/>
  <c r="Z7" i="19"/>
  <c r="Y7" i="19"/>
  <c r="X7" i="19"/>
  <c r="W7" i="19"/>
  <c r="V7" i="19"/>
  <c r="AB10" i="18"/>
  <c r="X10" i="18"/>
  <c r="W10" i="18"/>
  <c r="V10" i="18"/>
  <c r="AC9" i="18"/>
  <c r="AB9" i="18"/>
  <c r="AA9" i="18"/>
  <c r="Z9" i="18"/>
  <c r="Y9" i="18"/>
  <c r="X9" i="18"/>
  <c r="W9" i="18"/>
  <c r="V9" i="18"/>
  <c r="AC8" i="18"/>
  <c r="AB8" i="18"/>
  <c r="AA8" i="18"/>
  <c r="Z8" i="18"/>
  <c r="Y8" i="18"/>
  <c r="X8" i="18"/>
  <c r="W8" i="18"/>
  <c r="V8" i="18"/>
  <c r="AC7" i="18"/>
  <c r="AB7" i="18"/>
  <c r="AA7" i="18"/>
  <c r="Z7" i="18"/>
  <c r="Y7" i="18"/>
  <c r="X7" i="18"/>
  <c r="W7" i="18"/>
  <c r="V7" i="18"/>
  <c r="AD12" i="19"/>
  <c r="U12" i="19"/>
  <c r="T12" i="19"/>
  <c r="S12" i="19"/>
  <c r="R12" i="19"/>
  <c r="C12" i="19"/>
  <c r="AF12" i="19"/>
  <c r="AE12" i="19"/>
  <c r="C11" i="19"/>
  <c r="AF11" i="19"/>
  <c r="AE11" i="19"/>
  <c r="C11" i="18"/>
  <c r="AF11" i="18"/>
  <c r="AE11" i="18"/>
  <c r="H5" i="10"/>
  <c r="G5" i="10"/>
  <c r="F5" i="10"/>
  <c r="E5" i="10"/>
  <c r="D5" i="10"/>
  <c r="C5" i="10"/>
  <c r="H12" i="10"/>
  <c r="G12" i="10"/>
  <c r="F12" i="10"/>
  <c r="E12" i="10"/>
  <c r="C12" i="10"/>
  <c r="D12" i="10"/>
  <c r="C10" i="18"/>
  <c r="AE10" i="18"/>
  <c r="S10" i="18"/>
  <c r="R10" i="18"/>
  <c r="C10" i="19"/>
  <c r="AF10" i="19"/>
  <c r="AE10" i="19"/>
  <c r="AD10" i="19"/>
  <c r="U10" i="19"/>
  <c r="T10" i="19"/>
  <c r="S10" i="19"/>
  <c r="R10" i="19"/>
  <c r="C9" i="19"/>
  <c r="AF9" i="19"/>
  <c r="AE9" i="19"/>
  <c r="AD9" i="19"/>
  <c r="U9" i="19"/>
  <c r="T9" i="19"/>
  <c r="S9" i="19"/>
  <c r="R9" i="19"/>
  <c r="C8" i="19"/>
  <c r="AF8" i="19"/>
  <c r="AE8" i="19"/>
  <c r="AD8" i="19"/>
  <c r="U8" i="19"/>
  <c r="T8" i="19"/>
  <c r="S8" i="19"/>
  <c r="R8" i="19"/>
  <c r="C7" i="19"/>
  <c r="AF7" i="19"/>
  <c r="AE7" i="19"/>
  <c r="AD7" i="19"/>
  <c r="U7" i="19"/>
  <c r="T7" i="19"/>
  <c r="S7" i="19"/>
  <c r="R7" i="19"/>
  <c r="C9" i="18"/>
  <c r="AF9" i="18"/>
  <c r="AE9" i="18"/>
  <c r="AD9" i="18"/>
  <c r="U9" i="18"/>
  <c r="T9" i="18"/>
  <c r="S9" i="18"/>
  <c r="R9" i="18"/>
  <c r="C8" i="18"/>
  <c r="AF8" i="18"/>
  <c r="AE8" i="18"/>
  <c r="AD8" i="18"/>
  <c r="U8" i="18"/>
  <c r="T8" i="18"/>
  <c r="S8" i="18"/>
  <c r="R8" i="18"/>
  <c r="C7" i="18"/>
  <c r="AF7" i="18"/>
  <c r="AE7" i="18"/>
  <c r="AD7" i="18"/>
  <c r="U7" i="18"/>
  <c r="T7" i="18"/>
  <c r="S7" i="18"/>
  <c r="R7" i="18"/>
  <c r="C9" i="17"/>
  <c r="AF9" i="17"/>
  <c r="AE9" i="17"/>
  <c r="AD9" i="17"/>
  <c r="U9" i="17"/>
  <c r="T9" i="17"/>
  <c r="S9" i="17"/>
  <c r="R9" i="17"/>
  <c r="C8" i="17"/>
  <c r="AF8" i="17"/>
  <c r="AE8" i="17"/>
  <c r="AD8" i="17"/>
  <c r="U8" i="17"/>
  <c r="T8" i="17"/>
  <c r="S8" i="17"/>
  <c r="R8" i="17"/>
  <c r="C7" i="17"/>
  <c r="AF7" i="17"/>
  <c r="AE7" i="17"/>
  <c r="AD7" i="17"/>
  <c r="U7" i="17"/>
  <c r="T7" i="17"/>
  <c r="S7" i="17"/>
  <c r="R7" i="17"/>
  <c r="C8" i="16"/>
  <c r="AF8" i="16"/>
  <c r="AE8" i="16"/>
  <c r="AD8" i="16"/>
  <c r="U8" i="16"/>
  <c r="T8" i="16"/>
  <c r="S8" i="16"/>
  <c r="R8" i="16"/>
  <c r="C7" i="16"/>
  <c r="AF7" i="16"/>
  <c r="AE7" i="16"/>
  <c r="AD7" i="16"/>
  <c r="U7" i="16"/>
  <c r="T7" i="16"/>
  <c r="S7" i="16"/>
  <c r="R7" i="16"/>
  <c r="C8" i="15"/>
  <c r="AF8" i="15"/>
  <c r="AE8" i="15"/>
  <c r="AD8" i="15"/>
  <c r="U8" i="15"/>
  <c r="T8" i="15"/>
  <c r="S8" i="15"/>
  <c r="R8" i="15"/>
  <c r="C7" i="15"/>
  <c r="AF7" i="15"/>
  <c r="AE7" i="15"/>
  <c r="AD7" i="15"/>
  <c r="U7" i="15"/>
  <c r="T7" i="15"/>
  <c r="S7" i="15"/>
  <c r="R7" i="15"/>
  <c r="R9" i="2"/>
  <c r="S9" i="2"/>
  <c r="T9" i="2"/>
  <c r="U9" i="2"/>
  <c r="AD9" i="2"/>
  <c r="AE9" i="2"/>
  <c r="AF9" i="2"/>
  <c r="C9" i="2"/>
  <c r="R7" i="2"/>
  <c r="D7" i="2"/>
  <c r="C7" i="2"/>
  <c r="C8" i="2"/>
  <c r="C10" i="2"/>
  <c r="U10" i="2"/>
  <c r="U8" i="2"/>
  <c r="U7" i="2"/>
  <c r="T10" i="2"/>
  <c r="T8" i="2"/>
  <c r="T7" i="2"/>
  <c r="S10" i="2"/>
  <c r="S7" i="2"/>
  <c r="R8" i="2"/>
  <c r="R10" i="2"/>
  <c r="AE10" i="2"/>
  <c r="AE7" i="2"/>
  <c r="AF7" i="2"/>
  <c r="AF10" i="2"/>
  <c r="AD8" i="2"/>
  <c r="AD10" i="2"/>
  <c r="AD7" i="2"/>
  <c r="J15" i="18" l="1"/>
  <c r="J16" i="18" s="1"/>
  <c r="L14" i="18"/>
  <c r="M14" i="18"/>
  <c r="L12" i="18"/>
  <c r="V9" i="15"/>
  <c r="U9" i="15"/>
  <c r="AC9" i="15"/>
  <c r="B10" i="15"/>
  <c r="AB9" i="15"/>
  <c r="S9" i="15"/>
  <c r="R9" i="15"/>
  <c r="W9" i="15"/>
  <c r="T9" i="15"/>
  <c r="AA9" i="15"/>
  <c r="AD9" i="15"/>
  <c r="Z9" i="15"/>
  <c r="C9" i="15"/>
  <c r="AF9" i="15"/>
  <c r="Y9" i="15"/>
  <c r="X9" i="15"/>
  <c r="AE9" i="15"/>
  <c r="V9" i="16"/>
  <c r="U9" i="16"/>
  <c r="AC9" i="16"/>
  <c r="AB9" i="16"/>
  <c r="S9" i="16"/>
  <c r="W9" i="16"/>
  <c r="T9" i="16"/>
  <c r="AA9" i="16"/>
  <c r="R9" i="16"/>
  <c r="B10" i="16"/>
  <c r="Z9" i="16"/>
  <c r="C9" i="16"/>
  <c r="AD9" i="16"/>
  <c r="Y9" i="16"/>
  <c r="AF9" i="16"/>
  <c r="X9" i="16"/>
  <c r="AE9" i="16"/>
  <c r="Z10" i="17"/>
  <c r="R10" i="17"/>
  <c r="Y10" i="17"/>
  <c r="C10" i="17"/>
  <c r="B11" i="17"/>
  <c r="X10" i="17"/>
  <c r="AF10" i="17"/>
  <c r="W10" i="17"/>
  <c r="AE10" i="17"/>
  <c r="V10" i="17"/>
  <c r="AD10" i="17"/>
  <c r="S10" i="17"/>
  <c r="AC10" i="17"/>
  <c r="U10" i="17"/>
  <c r="AB10" i="17"/>
  <c r="T10" i="17"/>
  <c r="AA10" i="17"/>
  <c r="C11" i="2"/>
  <c r="AF11" i="2"/>
  <c r="B12" i="2"/>
  <c r="AE11" i="2"/>
  <c r="AA8" i="2"/>
  <c r="AE8" i="2"/>
  <c r="AB8" i="2"/>
  <c r="V8" i="2"/>
  <c r="W8" i="2"/>
  <c r="AF8" i="2"/>
  <c r="S8" i="2"/>
  <c r="AB12" i="18"/>
  <c r="U12" i="18"/>
  <c r="C12" i="18"/>
  <c r="T12" i="18"/>
  <c r="AA12" i="18"/>
  <c r="Z12" i="18"/>
  <c r="S12" i="18"/>
  <c r="B13" i="18"/>
  <c r="Y12" i="18"/>
  <c r="R12" i="18"/>
  <c r="X12" i="18"/>
  <c r="W12" i="18"/>
  <c r="AD12" i="18"/>
  <c r="V12" i="18"/>
  <c r="AE12" i="18"/>
  <c r="AC12" i="18"/>
  <c r="AF12" i="18"/>
  <c r="W13" i="19"/>
  <c r="AE13" i="19"/>
  <c r="C13" i="19"/>
  <c r="X13" i="19"/>
  <c r="AF13" i="19"/>
  <c r="Y13" i="19"/>
  <c r="AD13" i="19"/>
  <c r="B14" i="19"/>
  <c r="R13" i="19"/>
  <c r="Z13" i="19"/>
  <c r="S13" i="19"/>
  <c r="AA13" i="19"/>
  <c r="T13" i="19"/>
  <c r="AB13" i="19"/>
  <c r="U13" i="19"/>
  <c r="AC13" i="19"/>
  <c r="V13" i="19"/>
  <c r="T10" i="18"/>
  <c r="Y10" i="18"/>
  <c r="Y10" i="19"/>
  <c r="U10" i="18"/>
  <c r="Z10" i="18"/>
  <c r="Z10" i="19"/>
  <c r="AD10" i="18"/>
  <c r="AA10" i="18"/>
  <c r="AA10" i="19"/>
  <c r="AF10" i="18"/>
  <c r="B12" i="10"/>
  <c r="B20" i="10" s="1"/>
  <c r="B6" i="10"/>
  <c r="L12" i="10"/>
  <c r="B5" i="10"/>
  <c r="M12" i="10"/>
  <c r="K12" i="10"/>
  <c r="N12" i="10"/>
  <c r="O12" i="10"/>
  <c r="P12" i="10"/>
  <c r="V10" i="16" l="1"/>
  <c r="R10" i="16"/>
  <c r="AC10" i="16"/>
  <c r="C10" i="16"/>
  <c r="AB10" i="16"/>
  <c r="AF10" i="16"/>
  <c r="B11" i="16"/>
  <c r="AA10" i="16"/>
  <c r="AE10" i="16"/>
  <c r="Z10" i="16"/>
  <c r="AD10" i="16"/>
  <c r="Y10" i="16"/>
  <c r="U10" i="16"/>
  <c r="X10" i="16"/>
  <c r="T10" i="16"/>
  <c r="W10" i="16"/>
  <c r="S10" i="16"/>
  <c r="V10" i="15"/>
  <c r="R10" i="15"/>
  <c r="AC10" i="15"/>
  <c r="C10" i="15"/>
  <c r="B11" i="15"/>
  <c r="AB10" i="15"/>
  <c r="AF10" i="15"/>
  <c r="AA10" i="15"/>
  <c r="AE10" i="15"/>
  <c r="S10" i="15"/>
  <c r="Z10" i="15"/>
  <c r="AD10" i="15"/>
  <c r="Y10" i="15"/>
  <c r="U10" i="15"/>
  <c r="X10" i="15"/>
  <c r="T10" i="15"/>
  <c r="W10" i="15"/>
  <c r="AC11" i="17"/>
  <c r="C11" i="17"/>
  <c r="B12" i="17"/>
  <c r="AB11" i="17"/>
  <c r="AF11" i="17"/>
  <c r="AA11" i="17"/>
  <c r="AE11" i="17"/>
  <c r="Z11" i="17"/>
  <c r="X12" i="2"/>
  <c r="AF12" i="2"/>
  <c r="Y12" i="2"/>
  <c r="W12" i="2"/>
  <c r="AE12" i="2"/>
  <c r="V12" i="2"/>
  <c r="AD12" i="2"/>
  <c r="C12" i="2"/>
  <c r="AC12" i="2"/>
  <c r="U12" i="2"/>
  <c r="B13" i="2"/>
  <c r="AB12" i="2"/>
  <c r="T12" i="2"/>
  <c r="R12" i="2"/>
  <c r="AA12" i="2"/>
  <c r="S12" i="2"/>
  <c r="Z12" i="2"/>
  <c r="C13" i="18"/>
  <c r="X13" i="18"/>
  <c r="AF13" i="18"/>
  <c r="AE13" i="18"/>
  <c r="Y13" i="18"/>
  <c r="R13" i="18"/>
  <c r="Z13" i="18"/>
  <c r="S13" i="18"/>
  <c r="AA13" i="18"/>
  <c r="B14" i="18"/>
  <c r="T13" i="18"/>
  <c r="AB13" i="18"/>
  <c r="U13" i="18"/>
  <c r="AC13" i="18"/>
  <c r="V13" i="18"/>
  <c r="AD13" i="18"/>
  <c r="W13" i="18"/>
  <c r="W14" i="19"/>
  <c r="AE14" i="19"/>
  <c r="C14" i="19"/>
  <c r="X14" i="19"/>
  <c r="AF14" i="19"/>
  <c r="Y14" i="19"/>
  <c r="R14" i="19"/>
  <c r="Z14" i="19"/>
  <c r="V14" i="19"/>
  <c r="B15" i="19"/>
  <c r="C15" i="19" s="1"/>
  <c r="S14" i="19"/>
  <c r="AA14" i="19"/>
  <c r="T14" i="19"/>
  <c r="AB14" i="19"/>
  <c r="U14" i="19"/>
  <c r="AC14" i="19"/>
  <c r="AD14" i="19"/>
  <c r="B19" i="10"/>
  <c r="B18" i="10"/>
  <c r="B13" i="17" l="1"/>
  <c r="V12" i="17"/>
  <c r="T12" i="17"/>
  <c r="AC12" i="17"/>
  <c r="S12" i="17"/>
  <c r="AB12" i="17"/>
  <c r="R12" i="17"/>
  <c r="W12" i="17"/>
  <c r="AA12" i="17"/>
  <c r="C12" i="17"/>
  <c r="Z12" i="17"/>
  <c r="AF12" i="17"/>
  <c r="U12" i="17"/>
  <c r="Y12" i="17"/>
  <c r="AE12" i="17"/>
  <c r="X12" i="17"/>
  <c r="AD12" i="17"/>
  <c r="B12" i="15"/>
  <c r="C11" i="15"/>
  <c r="AF11" i="15"/>
  <c r="AE11" i="15"/>
  <c r="Z11" i="16"/>
  <c r="AE11" i="16"/>
  <c r="B12" i="16"/>
  <c r="AF11" i="16"/>
  <c r="AA11" i="16"/>
  <c r="AC11" i="16"/>
  <c r="AB11" i="16"/>
  <c r="C11" i="16"/>
  <c r="X13" i="2"/>
  <c r="S13" i="2"/>
  <c r="W13" i="2"/>
  <c r="R13" i="2"/>
  <c r="V13" i="2"/>
  <c r="C13" i="2"/>
  <c r="AC13" i="2"/>
  <c r="AF13" i="2"/>
  <c r="AB13" i="2"/>
  <c r="AE13" i="2"/>
  <c r="B14" i="2"/>
  <c r="AA13" i="2"/>
  <c r="AD13" i="2"/>
  <c r="Y13" i="2"/>
  <c r="Z13" i="2"/>
  <c r="U13" i="2"/>
  <c r="T13" i="2"/>
  <c r="C14" i="18"/>
  <c r="X14" i="18"/>
  <c r="AF14" i="18"/>
  <c r="AE14" i="18"/>
  <c r="Y14" i="18"/>
  <c r="R14" i="18"/>
  <c r="Z14" i="18"/>
  <c r="S14" i="18"/>
  <c r="AA14" i="18"/>
  <c r="T14" i="18"/>
  <c r="AB14" i="18"/>
  <c r="B15" i="18"/>
  <c r="C15" i="18" s="1"/>
  <c r="U14" i="18"/>
  <c r="AC14" i="18"/>
  <c r="V14" i="18"/>
  <c r="AD14" i="18"/>
  <c r="W14" i="18"/>
  <c r="B21" i="10"/>
  <c r="V13" i="17" l="1"/>
  <c r="AE13" i="17"/>
  <c r="AC13" i="17"/>
  <c r="AD13" i="17"/>
  <c r="AB13" i="17"/>
  <c r="U13" i="17"/>
  <c r="B14" i="17"/>
  <c r="AA13" i="17"/>
  <c r="T13" i="17"/>
  <c r="AF13" i="17"/>
  <c r="Z13" i="17"/>
  <c r="S13" i="17"/>
  <c r="Y13" i="17"/>
  <c r="R13" i="17"/>
  <c r="W13" i="17"/>
  <c r="X13" i="17"/>
  <c r="C13" i="17"/>
  <c r="V12" i="15"/>
  <c r="T12" i="15"/>
  <c r="AC12" i="15"/>
  <c r="S12" i="15"/>
  <c r="AB12" i="15"/>
  <c r="R12" i="15"/>
  <c r="U12" i="15"/>
  <c r="AA12" i="15"/>
  <c r="C12" i="15"/>
  <c r="W12" i="15"/>
  <c r="Z12" i="15"/>
  <c r="AF12" i="15"/>
  <c r="B13" i="15"/>
  <c r="Y12" i="15"/>
  <c r="AE12" i="15"/>
  <c r="X12" i="15"/>
  <c r="AD12" i="15"/>
  <c r="Z12" i="16"/>
  <c r="T12" i="16"/>
  <c r="Y12" i="16"/>
  <c r="S12" i="16"/>
  <c r="B13" i="16"/>
  <c r="X12" i="16"/>
  <c r="R12" i="16"/>
  <c r="AA12" i="16"/>
  <c r="W12" i="16"/>
  <c r="C12" i="16"/>
  <c r="V12" i="16"/>
  <c r="AF12" i="16"/>
  <c r="AC12" i="16"/>
  <c r="AE12" i="16"/>
  <c r="AB12" i="16"/>
  <c r="AD12" i="16"/>
  <c r="U12" i="16"/>
  <c r="X14" i="2"/>
  <c r="C14" i="2"/>
  <c r="W14" i="2"/>
  <c r="R14" i="2"/>
  <c r="V14" i="2"/>
  <c r="S14" i="2"/>
  <c r="AC14" i="2"/>
  <c r="T14" i="2"/>
  <c r="AB14" i="2"/>
  <c r="U14" i="2"/>
  <c r="AE14" i="2"/>
  <c r="AF14" i="2"/>
  <c r="AA14" i="2"/>
  <c r="AD14" i="2"/>
  <c r="B15" i="2"/>
  <c r="Z14" i="2"/>
  <c r="Y14" i="2"/>
  <c r="B14" i="16" l="1"/>
  <c r="Z13" i="16"/>
  <c r="AD13" i="16"/>
  <c r="Y13" i="16"/>
  <c r="U13" i="16"/>
  <c r="X13" i="16"/>
  <c r="T13" i="16"/>
  <c r="AE13" i="16"/>
  <c r="W13" i="16"/>
  <c r="S13" i="16"/>
  <c r="V13" i="16"/>
  <c r="R13" i="16"/>
  <c r="AC13" i="16"/>
  <c r="C13" i="16"/>
  <c r="AB13" i="16"/>
  <c r="AF13" i="16"/>
  <c r="AA13" i="16"/>
  <c r="V13" i="15"/>
  <c r="U13" i="15"/>
  <c r="AC13" i="15"/>
  <c r="T13" i="15"/>
  <c r="AB13" i="15"/>
  <c r="S13" i="15"/>
  <c r="W13" i="15"/>
  <c r="AA13" i="15"/>
  <c r="R13" i="15"/>
  <c r="Z13" i="15"/>
  <c r="C13" i="15"/>
  <c r="Y13" i="15"/>
  <c r="AF13" i="15"/>
  <c r="B14" i="15"/>
  <c r="X13" i="15"/>
  <c r="AE13" i="15"/>
  <c r="AD13" i="15"/>
  <c r="V14" i="17"/>
  <c r="U14" i="17"/>
  <c r="AC14" i="17"/>
  <c r="T14" i="17"/>
  <c r="AB14" i="17"/>
  <c r="S14" i="17"/>
  <c r="W14" i="17"/>
  <c r="AA14" i="17"/>
  <c r="R14" i="17"/>
  <c r="Z14" i="17"/>
  <c r="C14" i="17"/>
  <c r="AD14" i="17"/>
  <c r="Y14" i="17"/>
  <c r="AF14" i="17"/>
  <c r="B15" i="17"/>
  <c r="X14" i="17"/>
  <c r="AE14" i="17"/>
  <c r="R15" i="2"/>
  <c r="Z15" i="2"/>
  <c r="S15" i="2"/>
  <c r="AA15" i="2"/>
  <c r="T15" i="2"/>
  <c r="AB15" i="2"/>
  <c r="U15" i="2"/>
  <c r="AC15" i="2"/>
  <c r="V15" i="2"/>
  <c r="AD15" i="2"/>
  <c r="B16" i="2"/>
  <c r="W15" i="2"/>
  <c r="AE15" i="2"/>
  <c r="C15" i="2"/>
  <c r="X15" i="2"/>
  <c r="AF15" i="2"/>
  <c r="Y15" i="2"/>
  <c r="Z14" i="16" l="1"/>
  <c r="U14" i="16"/>
  <c r="Y14" i="16"/>
  <c r="X14" i="16"/>
  <c r="S14" i="16"/>
  <c r="W14" i="16"/>
  <c r="R14" i="16"/>
  <c r="T14" i="16"/>
  <c r="V14" i="16"/>
  <c r="C14" i="16"/>
  <c r="AA14" i="16"/>
  <c r="AD14" i="16"/>
  <c r="AC14" i="16"/>
  <c r="AF14" i="16"/>
  <c r="AB14" i="16"/>
  <c r="AE14" i="16"/>
  <c r="B15" i="16"/>
  <c r="Y15" i="17"/>
  <c r="R15" i="17"/>
  <c r="Z15" i="17"/>
  <c r="S15" i="17"/>
  <c r="AA15" i="17"/>
  <c r="AF15" i="17"/>
  <c r="T15" i="17"/>
  <c r="AB15" i="17"/>
  <c r="X15" i="17"/>
  <c r="U15" i="17"/>
  <c r="AC15" i="17"/>
  <c r="B16" i="17"/>
  <c r="V15" i="17"/>
  <c r="AD15" i="17"/>
  <c r="W15" i="17"/>
  <c r="AE15" i="17"/>
  <c r="C15" i="17"/>
  <c r="V14" i="15"/>
  <c r="U14" i="15"/>
  <c r="AC14" i="15"/>
  <c r="T14" i="15"/>
  <c r="AB14" i="15"/>
  <c r="S14" i="15"/>
  <c r="C14" i="15"/>
  <c r="AA14" i="15"/>
  <c r="R14" i="15"/>
  <c r="AF14" i="15"/>
  <c r="Z14" i="15"/>
  <c r="AD14" i="15"/>
  <c r="B15" i="15"/>
  <c r="Y14" i="15"/>
  <c r="X14" i="15"/>
  <c r="AE14" i="15"/>
  <c r="W14" i="15"/>
  <c r="B17" i="2"/>
  <c r="AD16" i="2"/>
  <c r="V16" i="2"/>
  <c r="R16" i="2"/>
  <c r="AC16" i="2"/>
  <c r="U16" i="2"/>
  <c r="AB16" i="2"/>
  <c r="T16" i="2"/>
  <c r="AA16" i="2"/>
  <c r="S16" i="2"/>
  <c r="Z16" i="2"/>
  <c r="Y16" i="2"/>
  <c r="C16" i="2"/>
  <c r="W16" i="2"/>
  <c r="AF16" i="2"/>
  <c r="X16" i="2"/>
  <c r="AE16" i="2"/>
  <c r="R16" i="17" l="1"/>
  <c r="Z16" i="17"/>
  <c r="S16" i="17"/>
  <c r="AA16" i="17"/>
  <c r="T16" i="17"/>
  <c r="AB16" i="17"/>
  <c r="U16" i="17"/>
  <c r="AC16" i="17"/>
  <c r="B17" i="17"/>
  <c r="V16" i="17"/>
  <c r="AD16" i="17"/>
  <c r="W16" i="17"/>
  <c r="AE16" i="17"/>
  <c r="C16" i="17"/>
  <c r="X16" i="17"/>
  <c r="AF16" i="17"/>
  <c r="Y16" i="17"/>
  <c r="S15" i="15"/>
  <c r="AA15" i="15"/>
  <c r="T15" i="15"/>
  <c r="AB15" i="15"/>
  <c r="U15" i="15"/>
  <c r="AC15" i="15"/>
  <c r="Z15" i="15"/>
  <c r="V15" i="15"/>
  <c r="AD15" i="15"/>
  <c r="B16" i="15"/>
  <c r="W15" i="15"/>
  <c r="AE15" i="15"/>
  <c r="C15" i="15"/>
  <c r="X15" i="15"/>
  <c r="AF15" i="15"/>
  <c r="Y15" i="15"/>
  <c r="R15" i="15"/>
  <c r="R15" i="16"/>
  <c r="Z15" i="16"/>
  <c r="S15" i="16"/>
  <c r="AA15" i="16"/>
  <c r="T15" i="16"/>
  <c r="AB15" i="16"/>
  <c r="Y15" i="16"/>
  <c r="U15" i="16"/>
  <c r="AC15" i="16"/>
  <c r="V15" i="16"/>
  <c r="AD15" i="16"/>
  <c r="W15" i="16"/>
  <c r="AE15" i="16"/>
  <c r="B16" i="16"/>
  <c r="C15" i="16"/>
  <c r="X15" i="16"/>
  <c r="AF15" i="16"/>
  <c r="C17" i="2"/>
  <c r="X17" i="2"/>
  <c r="AF17" i="2"/>
  <c r="W17" i="2"/>
  <c r="B18" i="2"/>
  <c r="Y17" i="2"/>
  <c r="R17" i="2"/>
  <c r="Z17" i="2"/>
  <c r="AE17" i="2"/>
  <c r="S17" i="2"/>
  <c r="AA17" i="2"/>
  <c r="T17" i="2"/>
  <c r="AB17" i="2"/>
  <c r="U17" i="2"/>
  <c r="AC17" i="2"/>
  <c r="V17" i="2"/>
  <c r="AD17" i="2"/>
  <c r="S16" i="16" l="1"/>
  <c r="AA16" i="16"/>
  <c r="T16" i="16"/>
  <c r="AB16" i="16"/>
  <c r="U16" i="16"/>
  <c r="AC16" i="16"/>
  <c r="R16" i="16"/>
  <c r="V16" i="16"/>
  <c r="AD16" i="16"/>
  <c r="W16" i="16"/>
  <c r="AE16" i="16"/>
  <c r="B17" i="16"/>
  <c r="C16" i="16"/>
  <c r="X16" i="16"/>
  <c r="AF16" i="16"/>
  <c r="Y16" i="16"/>
  <c r="Z16" i="16"/>
  <c r="Y16" i="15"/>
  <c r="R16" i="15"/>
  <c r="Z16" i="15"/>
  <c r="S16" i="15"/>
  <c r="AA16" i="15"/>
  <c r="C16" i="15"/>
  <c r="AF16" i="15"/>
  <c r="B17" i="15"/>
  <c r="T16" i="15"/>
  <c r="AB16" i="15"/>
  <c r="U16" i="15"/>
  <c r="AC16" i="15"/>
  <c r="V16" i="15"/>
  <c r="AD16" i="15"/>
  <c r="W16" i="15"/>
  <c r="AE16" i="15"/>
  <c r="X16" i="15"/>
  <c r="Y17" i="17"/>
  <c r="R17" i="17"/>
  <c r="Z17" i="17"/>
  <c r="S17" i="17"/>
  <c r="AA17" i="17"/>
  <c r="B18" i="17"/>
  <c r="T17" i="17"/>
  <c r="AB17" i="17"/>
  <c r="U17" i="17"/>
  <c r="AC17" i="17"/>
  <c r="V17" i="17"/>
  <c r="AD17" i="17"/>
  <c r="W17" i="17"/>
  <c r="AE17" i="17"/>
  <c r="C17" i="17"/>
  <c r="X17" i="17"/>
  <c r="AF17" i="17"/>
  <c r="R17" i="16" l="1"/>
  <c r="Z17" i="16"/>
  <c r="S17" i="16"/>
  <c r="AA17" i="16"/>
  <c r="T17" i="16"/>
  <c r="AB17" i="16"/>
  <c r="U17" i="16"/>
  <c r="AC17" i="16"/>
  <c r="B18" i="16"/>
  <c r="V17" i="16"/>
  <c r="AD17" i="16"/>
  <c r="W17" i="16"/>
  <c r="AE17" i="16"/>
  <c r="C17" i="16"/>
  <c r="X17" i="16"/>
  <c r="AF17" i="16"/>
  <c r="Y17" i="16"/>
  <c r="AA17" i="15"/>
  <c r="B18" i="15"/>
  <c r="R17" i="15"/>
  <c r="T17" i="15"/>
  <c r="Z17" i="15"/>
  <c r="W17" i="15"/>
  <c r="S17" i="15"/>
  <c r="V17" i="15"/>
  <c r="AC17" i="15"/>
  <c r="U17" i="15"/>
  <c r="Y17" i="15"/>
  <c r="AE17" i="15"/>
  <c r="C17" i="15"/>
  <c r="AD17" i="15"/>
  <c r="AB17" i="15"/>
  <c r="AF17" i="15"/>
  <c r="X17" i="15"/>
</calcChain>
</file>

<file path=xl/sharedStrings.xml><?xml version="1.0" encoding="utf-8"?>
<sst xmlns="http://schemas.openxmlformats.org/spreadsheetml/2006/main" count="1011" uniqueCount="130">
  <si>
    <t>벨트 텐션 점검 (XL : / ZL : / XR : / ZR : / Y : )</t>
    <phoneticPr fontId="1" type="noConversion"/>
  </si>
  <si>
    <t>유량 점검 (T1, T4 : / T2, T3 : / T4 : )</t>
    <phoneticPr fontId="1" type="noConversion"/>
  </si>
  <si>
    <t>MARK II</t>
    <phoneticPr fontId="1" type="noConversion"/>
  </si>
  <si>
    <t>가공회차</t>
    <phoneticPr fontId="1" type="noConversion"/>
  </si>
  <si>
    <t>T1</t>
    <phoneticPr fontId="1" type="noConversion"/>
  </si>
  <si>
    <t>T4</t>
    <phoneticPr fontId="1" type="noConversion"/>
  </si>
  <si>
    <t>필터세척</t>
    <phoneticPr fontId="1" type="noConversion"/>
  </si>
  <si>
    <t>if 50회 주기도래:</t>
    <phoneticPr fontId="1" type="noConversion"/>
  </si>
  <si>
    <t>if 100회 주기도래:</t>
    <phoneticPr fontId="1" type="noConversion"/>
  </si>
  <si>
    <t>비고</t>
    <phoneticPr fontId="1" type="noConversion"/>
  </si>
  <si>
    <t>특이사항</t>
    <phoneticPr fontId="1" type="noConversion"/>
  </si>
  <si>
    <t>수행기간</t>
    <phoneticPr fontId="1" type="noConversion"/>
  </si>
  <si>
    <t>장비요소 주기점검</t>
  </si>
  <si>
    <t>T2</t>
    <phoneticPr fontId="1" type="noConversion"/>
  </si>
  <si>
    <t>T3</t>
    <phoneticPr fontId="1" type="noConversion"/>
  </si>
  <si>
    <t>VITA</t>
    <phoneticPr fontId="1" type="noConversion"/>
  </si>
  <si>
    <t>SPINDLE REV</t>
  </si>
  <si>
    <t>-</t>
    <phoneticPr fontId="1" type="noConversion"/>
  </si>
  <si>
    <t>TABLE OUTLINE</t>
    <phoneticPr fontId="1" type="noConversion"/>
  </si>
  <si>
    <t>LM-10 SPINDLE 내구도 신뢰성 시험이력</t>
    <phoneticPr fontId="1" type="noConversion"/>
  </si>
  <si>
    <t>AG Mode Current(min-max)</t>
    <phoneticPr fontId="1" type="noConversion"/>
  </si>
  <si>
    <t>시험완료여부</t>
    <phoneticPr fontId="1" type="noConversion"/>
  </si>
  <si>
    <t>BLOCK 제조사</t>
  </si>
  <si>
    <t>BLOCK 식별자</t>
  </si>
  <si>
    <t>BLOCK 재질</t>
  </si>
  <si>
    <t>WATER TANK FILTER 청결상태</t>
    <phoneticPr fontId="1" type="noConversion"/>
  </si>
  <si>
    <t>사전점검(시험 전 점검항목)</t>
    <phoneticPr fontId="1" type="noConversion"/>
  </si>
  <si>
    <t>가공일</t>
    <phoneticPr fontId="1" type="noConversion"/>
  </si>
  <si>
    <t>BLOCK 강도(MPa)</t>
    <phoneticPr fontId="1" type="noConversion"/>
  </si>
  <si>
    <t>가속 Factor</t>
    <phoneticPr fontId="1" type="noConversion"/>
  </si>
  <si>
    <t xml:space="preserve">스핀들 유격 </t>
    <phoneticPr fontId="1" type="noConversion"/>
  </si>
  <si>
    <t>산출가공물 치수 측정결과</t>
    <phoneticPr fontId="1" type="noConversion"/>
  </si>
  <si>
    <t>BUR 기대수명</t>
    <phoneticPr fontId="1" type="noConversion"/>
  </si>
  <si>
    <t>5회 가공회차 주기</t>
  </si>
  <si>
    <t>40회 가공회차 주기</t>
  </si>
  <si>
    <t>160회 가공회차 주기</t>
  </si>
  <si>
    <t>BUR 가공누적사용횟수</t>
    <phoneticPr fontId="1" type="noConversion"/>
  </si>
  <si>
    <t>필터세척/유량계 유량 측정</t>
    <phoneticPr fontId="1" type="noConversion"/>
  </si>
  <si>
    <t>필터교체/BELT TENSION 측정</t>
    <phoneticPr fontId="1" type="noConversion"/>
  </si>
  <si>
    <t>스핀들 소음유무 측정</t>
    <phoneticPr fontId="1" type="noConversion"/>
  </si>
  <si>
    <t>누락</t>
    <phoneticPr fontId="1" type="noConversion"/>
  </si>
  <si>
    <t>버교체 주기</t>
    <phoneticPr fontId="1" type="noConversion"/>
  </si>
  <si>
    <t>누적가공수량</t>
    <phoneticPr fontId="1" type="noConversion"/>
  </si>
  <si>
    <t>통계</t>
    <phoneticPr fontId="1" type="noConversion"/>
  </si>
  <si>
    <t>스핀들 유격 점검</t>
    <phoneticPr fontId="1" type="noConversion"/>
  </si>
  <si>
    <t>스핀들유격: 적정</t>
    <phoneticPr fontId="1" type="noConversion"/>
  </si>
  <si>
    <t>193-301</t>
    <phoneticPr fontId="1" type="noConversion"/>
  </si>
  <si>
    <t>173-418</t>
    <phoneticPr fontId="1" type="noConversion"/>
  </si>
  <si>
    <t>189-314</t>
    <phoneticPr fontId="1" type="noConversion"/>
  </si>
  <si>
    <t>199-415</t>
    <phoneticPr fontId="1" type="noConversion"/>
  </si>
  <si>
    <t>ES#8</t>
    <phoneticPr fontId="1" type="noConversion"/>
  </si>
  <si>
    <t>ES#9</t>
    <phoneticPr fontId="1" type="noConversion"/>
  </si>
  <si>
    <t>PP#2</t>
    <phoneticPr fontId="1" type="noConversion"/>
  </si>
  <si>
    <t>PP#3</t>
  </si>
  <si>
    <t>PP#4</t>
  </si>
  <si>
    <t>PP#5</t>
  </si>
  <si>
    <t>월별 가공수량</t>
    <phoneticPr fontId="1" type="noConversion"/>
  </si>
  <si>
    <t>일별 가공수량</t>
    <phoneticPr fontId="1" type="noConversion"/>
  </si>
  <si>
    <t>가공일 수</t>
    <phoneticPr fontId="1" type="noConversion"/>
  </si>
  <si>
    <t>260-385</t>
    <phoneticPr fontId="1" type="noConversion"/>
  </si>
  <si>
    <t>87-206</t>
    <phoneticPr fontId="1" type="noConversion"/>
  </si>
  <si>
    <t>160-266</t>
    <phoneticPr fontId="1" type="noConversion"/>
  </si>
  <si>
    <t>173-286</t>
    <phoneticPr fontId="1" type="noConversion"/>
  </si>
  <si>
    <t>282-297</t>
    <phoneticPr fontId="1" type="noConversion"/>
  </si>
  <si>
    <t>252-274</t>
    <phoneticPr fontId="1" type="noConversion"/>
  </si>
  <si>
    <t>210-264</t>
    <phoneticPr fontId="1" type="noConversion"/>
  </si>
  <si>
    <t>260-281</t>
    <phoneticPr fontId="1" type="noConversion"/>
  </si>
  <si>
    <t>스핀들소음: 적정</t>
  </si>
  <si>
    <t>166-254</t>
    <phoneticPr fontId="1" type="noConversion"/>
  </si>
  <si>
    <t>170-230</t>
    <phoneticPr fontId="1" type="noConversion"/>
  </si>
  <si>
    <t>116-197</t>
    <phoneticPr fontId="1" type="noConversion"/>
  </si>
  <si>
    <t>175-253</t>
    <phoneticPr fontId="1" type="noConversion"/>
  </si>
  <si>
    <t>224-310</t>
    <phoneticPr fontId="1" type="noConversion"/>
  </si>
  <si>
    <t>261-324</t>
    <phoneticPr fontId="1" type="noConversion"/>
  </si>
  <si>
    <t>217-299</t>
    <phoneticPr fontId="1" type="noConversion"/>
  </si>
  <si>
    <t>282-327</t>
    <phoneticPr fontId="1" type="noConversion"/>
  </si>
  <si>
    <t>159-229</t>
    <phoneticPr fontId="1" type="noConversion"/>
  </si>
  <si>
    <t>92-170</t>
    <phoneticPr fontId="1" type="noConversion"/>
  </si>
  <si>
    <t>196-241</t>
    <phoneticPr fontId="1" type="noConversion"/>
  </si>
  <si>
    <t>109-260</t>
    <phoneticPr fontId="1" type="noConversion"/>
  </si>
  <si>
    <t>230-270</t>
    <phoneticPr fontId="1" type="noConversion"/>
  </si>
  <si>
    <t>242-279</t>
    <phoneticPr fontId="1" type="noConversion"/>
  </si>
  <si>
    <t>240-267</t>
    <phoneticPr fontId="1" type="noConversion"/>
  </si>
  <si>
    <t>248-270</t>
    <phoneticPr fontId="1" type="noConversion"/>
  </si>
  <si>
    <t>101-223</t>
    <phoneticPr fontId="1" type="noConversion"/>
  </si>
  <si>
    <t>132-320</t>
    <phoneticPr fontId="1" type="noConversion"/>
  </si>
  <si>
    <t>113-202</t>
    <phoneticPr fontId="1" type="noConversion"/>
  </si>
  <si>
    <t>100-343</t>
    <phoneticPr fontId="1" type="noConversion"/>
  </si>
  <si>
    <t>245-291</t>
    <phoneticPr fontId="1" type="noConversion"/>
  </si>
  <si>
    <t>264-310</t>
    <phoneticPr fontId="1" type="noConversion"/>
  </si>
  <si>
    <t>208-270</t>
    <phoneticPr fontId="1" type="noConversion"/>
  </si>
  <si>
    <t>206-250</t>
    <phoneticPr fontId="1" type="noConversion"/>
  </si>
  <si>
    <t xml:space="preserve">산출물 </t>
    <phoneticPr fontId="1" type="noConversion"/>
  </si>
  <si>
    <t>적용 상수</t>
    <phoneticPr fontId="1" type="noConversion"/>
  </si>
  <si>
    <t>가공물</t>
    <phoneticPr fontId="1" type="noConversion"/>
  </si>
  <si>
    <t>*일평균 가공수량</t>
    <phoneticPr fontId="1" type="noConversion"/>
  </si>
  <si>
    <t>이슈식별자='issue_2025_11_10_1527',
이슈식별시기='2025-11-10',
이슈보고시기=None,
부위=객체.LM_100.SOFTWARE.GUI.NEXT,
현상="ES#8, ES#9 전원인가 후 2회차 가공시작 시 밀링 미시작 현상",
현상상세="Milling_Start_클릭 후 NEXT 클릭하였으나 밀링작업시작 안됨",
조치='전원 재인가(파워서플라이 스위치 활용) &gt; 1회차 가공 시도 &gt; 성공 &gt; 2회차 계속적 실패',
원인분석결과=None,
결과=None,
예방=None,</t>
    <phoneticPr fontId="1" type="noConversion"/>
  </si>
  <si>
    <t>이슈코드</t>
    <phoneticPr fontId="1" type="noConversion"/>
  </si>
  <si>
    <t>이슈상세</t>
    <phoneticPr fontId="1" type="noConversion"/>
  </si>
  <si>
    <t>issue_2025_11_10_1527</t>
    <phoneticPr fontId="1" type="noConversion"/>
  </si>
  <si>
    <t>*월평균 가공수량</t>
    <phoneticPr fontId="1" type="noConversion"/>
  </si>
  <si>
    <t xml:space="preserve">월평균 가공수량=가공월 수 *  </t>
    <phoneticPr fontId="1" type="noConversion"/>
  </si>
  <si>
    <t>값</t>
    <phoneticPr fontId="1" type="noConversion"/>
  </si>
  <si>
    <t>산출근거</t>
    <phoneticPr fontId="1" type="noConversion"/>
  </si>
  <si>
    <t>전수</t>
    <phoneticPr fontId="1" type="noConversion"/>
  </si>
  <si>
    <t>2025-11 월가공수량</t>
  </si>
  <si>
    <t>가공월 수</t>
    <phoneticPr fontId="1" type="noConversion"/>
  </si>
  <si>
    <t xml:space="preserve">일평균 가공수량=누적가공수량 / 가공일 수  </t>
    <phoneticPr fontId="1" type="noConversion"/>
  </si>
  <si>
    <t>2025-11-10 일가공수량</t>
    <phoneticPr fontId="1" type="noConversion"/>
  </si>
  <si>
    <t>2025-11-11 일가공수량</t>
    <phoneticPr fontId="1" type="noConversion"/>
  </si>
  <si>
    <t>2025-12 월가공수량</t>
  </si>
  <si>
    <t>시험 적용</t>
  </si>
  <si>
    <t>시험통제변수</t>
  </si>
  <si>
    <t>시험가정</t>
  </si>
  <si>
    <t>산출요소</t>
    <phoneticPr fontId="1" type="noConversion"/>
  </si>
  <si>
    <t>2025-11 월가공수량(수식검증)</t>
    <phoneticPr fontId="1" type="noConversion"/>
  </si>
  <si>
    <t>issue_2025_11_11_1100</t>
    <phoneticPr fontId="1" type="noConversion"/>
  </si>
  <si>
    <t>이슈식별자='issue_2025_11_11_1100',
이슈식별시기='2025-11-11',
이슈보고시기='2025-11-11',
부위=객체.LM_100.WATER_LINE,
현상="PP#3 Water Line 누수",
현상상세="밀링작업시작 정상적으로 진행이되나 진행 중 누수 발견",
조치='장비 중단',
원인분석결과=None,
결과=None,
예방=None,</t>
    <phoneticPr fontId="1" type="noConversion"/>
  </si>
  <si>
    <t>이슈해결여부</t>
    <phoneticPr fontId="1" type="noConversion"/>
  </si>
  <si>
    <t>미해결</t>
    <phoneticPr fontId="1" type="noConversion"/>
  </si>
  <si>
    <t>관심지표(통계 산출물)</t>
    <phoneticPr fontId="1" type="noConversion"/>
  </si>
  <si>
    <t>2025-11-12 일가공수량</t>
    <phoneticPr fontId="1" type="noConversion"/>
  </si>
  <si>
    <r>
      <rPr>
        <b/>
        <i/>
        <sz val="11"/>
        <color rgb="FFFF0000"/>
        <rFont val="맑은 고딕"/>
        <family val="3"/>
        <charset val="129"/>
        <scheme val="minor"/>
      </rPr>
      <t xml:space="preserve">15000 </t>
    </r>
    <r>
      <rPr>
        <b/>
        <i/>
        <sz val="11"/>
        <color theme="0" tint="-0.499984740745262"/>
        <rFont val="맑은 고딕"/>
        <family val="3"/>
        <charset val="129"/>
        <scheme val="minor"/>
      </rPr>
      <t>R</t>
    </r>
    <r>
      <rPr>
        <b/>
        <i/>
        <sz val="11"/>
        <color rgb="FF7F7F7F"/>
        <rFont val="맑은 고딕"/>
        <family val="3"/>
        <charset val="129"/>
        <scheme val="minor"/>
      </rPr>
      <t>PM Current(min-max) and 스핀들 소음</t>
    </r>
    <phoneticPr fontId="1" type="noConversion"/>
  </si>
  <si>
    <r>
      <t xml:space="preserve">15000 </t>
    </r>
    <r>
      <rPr>
        <b/>
        <i/>
        <sz val="11"/>
        <color theme="0" tint="-0.499984740745262"/>
        <rFont val="맑은 고딕"/>
        <family val="3"/>
        <charset val="129"/>
        <scheme val="minor"/>
      </rPr>
      <t>R</t>
    </r>
    <r>
      <rPr>
        <b/>
        <i/>
        <sz val="11"/>
        <color rgb="FF7F7F7F"/>
        <rFont val="맑은 고딕"/>
        <family val="3"/>
        <charset val="129"/>
        <scheme val="minor"/>
      </rPr>
      <t>PM Current(min-max) and 스핀들 소음</t>
    </r>
    <phoneticPr fontId="1" type="noConversion"/>
  </si>
  <si>
    <t>가공시간(분)</t>
    <phoneticPr fontId="1" type="noConversion"/>
  </si>
  <si>
    <t>적정</t>
  </si>
  <si>
    <t>예측</t>
    <phoneticPr fontId="1" type="noConversion"/>
  </si>
  <si>
    <t>시험결과</t>
    <phoneticPr fontId="1" type="noConversion"/>
  </si>
  <si>
    <t>issue_2025_11_11_1100 이슈 있지만 물닦으면서 가공진행</t>
    <phoneticPr fontId="1" type="noConversion"/>
  </si>
  <si>
    <t>완료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</si>
</sst>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i/>
      <sz val="11"/>
      <color rgb="FF7F7F7F"/>
      <name val="맑은 고딕"/>
      <family val="3"/>
      <charset val="129"/>
      <scheme val="minor"/>
    </font>
    <font>
      <b/>
      <i/>
      <sz val="16"/>
      <color rgb="FF7F7F7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i/>
      <sz val="11"/>
      <color rgb="FFFF0000"/>
      <name val="맑은 고딕"/>
      <family val="3"/>
      <charset val="129"/>
      <scheme val="minor"/>
    </font>
    <font>
      <b/>
      <i/>
      <sz val="11"/>
      <color theme="0" tint="-0.499984740745262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2" borderId="15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95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quotePrefix="1" applyBorder="1">
      <alignment vertical="center"/>
    </xf>
    <xf numFmtId="0" fontId="0" fillId="0" borderId="11" xfId="0" applyBorder="1">
      <alignment vertical="center"/>
    </xf>
    <xf numFmtId="14" fontId="0" fillId="0" borderId="4" xfId="0" applyNumberFormat="1" applyBorder="1">
      <alignment vertical="center"/>
    </xf>
    <xf numFmtId="0" fontId="0" fillId="0" borderId="0" xfId="0" applyAlignment="1">
      <alignment horizontal="center" vertical="center"/>
    </xf>
    <xf numFmtId="0" fontId="2" fillId="3" borderId="0" xfId="1" applyFill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0" fontId="3" fillId="4" borderId="6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3" fillId="4" borderId="8" xfId="1" applyFont="1" applyFill="1" applyBorder="1" applyAlignment="1">
      <alignment horizontal="center" vertical="center"/>
    </xf>
    <xf numFmtId="0" fontId="3" fillId="4" borderId="14" xfId="1" applyFont="1" applyFill="1" applyBorder="1" applyAlignment="1">
      <alignment horizontal="center" vertical="center"/>
    </xf>
    <xf numFmtId="0" fontId="3" fillId="4" borderId="8" xfId="1" applyFont="1" applyFill="1" applyBorder="1" applyAlignment="1">
      <alignment horizontal="center" vertical="center" wrapText="1"/>
    </xf>
    <xf numFmtId="0" fontId="3" fillId="4" borderId="14" xfId="1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7" fillId="2" borderId="15" xfId="2">
      <alignment vertical="center"/>
    </xf>
    <xf numFmtId="0" fontId="3" fillId="4" borderId="2" xfId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14" fontId="0" fillId="0" borderId="0" xfId="0" applyNumberFormat="1" applyBorder="1">
      <alignment vertical="center"/>
    </xf>
    <xf numFmtId="0" fontId="0" fillId="0" borderId="0" xfId="0" applyBorder="1" applyAlignment="1">
      <alignment horizontal="center" vertical="center"/>
    </xf>
    <xf numFmtId="0" fontId="2" fillId="3" borderId="0" xfId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8" fillId="4" borderId="1" xfId="1" applyFont="1" applyFill="1" applyBorder="1" applyAlignment="1">
      <alignment horizontal="center" vertical="center"/>
    </xf>
    <xf numFmtId="0" fontId="0" fillId="4" borderId="11" xfId="0" applyFill="1" applyBorder="1">
      <alignment vertical="center"/>
    </xf>
    <xf numFmtId="0" fontId="2" fillId="4" borderId="1" xfId="1" applyFill="1" applyBorder="1">
      <alignment vertical="center"/>
    </xf>
    <xf numFmtId="0" fontId="7" fillId="4" borderId="15" xfId="2" applyFill="1" applyBorder="1">
      <alignment vertical="center"/>
    </xf>
    <xf numFmtId="0" fontId="3" fillId="4" borderId="9" xfId="1" applyFont="1" applyFill="1" applyBorder="1" applyAlignment="1">
      <alignment vertical="center"/>
    </xf>
    <xf numFmtId="0" fontId="7" fillId="4" borderId="15" xfId="2" applyFill="1">
      <alignment vertical="center"/>
    </xf>
    <xf numFmtId="0" fontId="0" fillId="4" borderId="0" xfId="0" applyFill="1" applyBorder="1">
      <alignment vertical="center"/>
    </xf>
    <xf numFmtId="0" fontId="0" fillId="4" borderId="10" xfId="0" applyFill="1" applyBorder="1">
      <alignment vertical="center"/>
    </xf>
    <xf numFmtId="0" fontId="0" fillId="4" borderId="12" xfId="0" applyFill="1" applyBorder="1">
      <alignment vertical="center"/>
    </xf>
    <xf numFmtId="0" fontId="8" fillId="4" borderId="14" xfId="1" applyFont="1" applyFill="1" applyBorder="1">
      <alignment vertical="center"/>
    </xf>
    <xf numFmtId="0" fontId="0" fillId="4" borderId="14" xfId="0" applyFill="1" applyBorder="1">
      <alignment vertical="center"/>
    </xf>
    <xf numFmtId="0" fontId="8" fillId="4" borderId="1" xfId="1" applyFont="1" applyFill="1" applyBorder="1">
      <alignment vertical="center"/>
    </xf>
    <xf numFmtId="0" fontId="0" fillId="4" borderId="1" xfId="0" applyFill="1" applyBorder="1">
      <alignment vertical="center"/>
    </xf>
    <xf numFmtId="0" fontId="3" fillId="4" borderId="1" xfId="1" applyFont="1" applyFill="1" applyBorder="1">
      <alignment vertical="center"/>
    </xf>
    <xf numFmtId="0" fontId="3" fillId="4" borderId="12" xfId="1" applyFont="1" applyFill="1" applyBorder="1" applyAlignment="1">
      <alignment vertical="center"/>
    </xf>
    <xf numFmtId="0" fontId="3" fillId="4" borderId="14" xfId="1" applyFont="1" applyFill="1" applyBorder="1" applyAlignment="1">
      <alignment vertical="center"/>
    </xf>
    <xf numFmtId="0" fontId="9" fillId="4" borderId="1" xfId="1" applyFont="1" applyFill="1" applyBorder="1">
      <alignment vertical="center"/>
    </xf>
    <xf numFmtId="0" fontId="6" fillId="0" borderId="0" xfId="0" applyFont="1" applyBorder="1" applyAlignment="1">
      <alignment vertical="center" wrapText="1"/>
    </xf>
    <xf numFmtId="0" fontId="12" fillId="0" borderId="0" xfId="0" applyFont="1" applyBorder="1" applyAlignment="1">
      <alignment vertical="center" wrapText="1"/>
    </xf>
    <xf numFmtId="0" fontId="2" fillId="4" borderId="0" xfId="1" applyFill="1" applyBorder="1">
      <alignment vertical="center"/>
    </xf>
    <xf numFmtId="0" fontId="7" fillId="4" borderId="0" xfId="2" applyFill="1" applyBorder="1">
      <alignment vertical="center"/>
    </xf>
    <xf numFmtId="0" fontId="4" fillId="2" borderId="2" xfId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/>
    </xf>
    <xf numFmtId="0" fontId="3" fillId="4" borderId="3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0" fontId="3" fillId="4" borderId="7" xfId="1" applyFont="1" applyFill="1" applyBorder="1" applyAlignment="1">
      <alignment horizontal="center" vertical="center"/>
    </xf>
    <xf numFmtId="0" fontId="3" fillId="4" borderId="13" xfId="1" applyFont="1" applyFill="1" applyBorder="1" applyAlignment="1">
      <alignment horizontal="center" vertical="center"/>
    </xf>
    <xf numFmtId="0" fontId="3" fillId="4" borderId="9" xfId="1" applyFont="1" applyFill="1" applyBorder="1" applyAlignment="1">
      <alignment horizontal="center" vertical="center"/>
    </xf>
    <xf numFmtId="0" fontId="3" fillId="4" borderId="10" xfId="1" applyFont="1" applyFill="1" applyBorder="1" applyAlignment="1">
      <alignment horizontal="center" vertical="center"/>
    </xf>
    <xf numFmtId="0" fontId="3" fillId="4" borderId="12" xfId="1" applyFont="1" applyFill="1" applyBorder="1" applyAlignment="1">
      <alignment horizontal="center" vertical="center"/>
    </xf>
    <xf numFmtId="0" fontId="3" fillId="4" borderId="4" xfId="1" applyFont="1" applyFill="1" applyBorder="1" applyAlignment="1">
      <alignment horizontal="center" vertical="center"/>
    </xf>
    <xf numFmtId="0" fontId="3" fillId="4" borderId="11" xfId="1" applyFont="1" applyFill="1" applyBorder="1" applyAlignment="1">
      <alignment horizontal="center" vertical="center"/>
    </xf>
    <xf numFmtId="0" fontId="3" fillId="4" borderId="14" xfId="1" applyFont="1" applyFill="1" applyBorder="1" applyAlignment="1">
      <alignment horizontal="center" vertical="center"/>
    </xf>
    <xf numFmtId="0" fontId="3" fillId="4" borderId="0" xfId="1" applyFont="1" applyFill="1" applyBorder="1" applyAlignment="1">
      <alignment horizontal="center" vertical="center"/>
    </xf>
    <xf numFmtId="0" fontId="9" fillId="4" borderId="1" xfId="1" applyFont="1" applyFill="1" applyBorder="1" applyAlignment="1">
      <alignment horizontal="center" vertical="center"/>
    </xf>
    <xf numFmtId="0" fontId="4" fillId="2" borderId="9" xfId="1" applyFont="1" applyFill="1" applyBorder="1" applyAlignment="1">
      <alignment horizontal="center" vertical="center"/>
    </xf>
    <xf numFmtId="0" fontId="4" fillId="2" borderId="10" xfId="1" applyFont="1" applyFill="1" applyBorder="1" applyAlignment="1">
      <alignment horizontal="center" vertical="center"/>
    </xf>
    <xf numFmtId="0" fontId="8" fillId="4" borderId="2" xfId="1" applyFont="1" applyFill="1" applyBorder="1" applyAlignment="1">
      <alignment horizontal="center" vertical="center"/>
    </xf>
    <xf numFmtId="0" fontId="8" fillId="4" borderId="5" xfId="1" applyFont="1" applyFill="1" applyBorder="1" applyAlignment="1">
      <alignment horizontal="center" vertical="center"/>
    </xf>
    <xf numFmtId="0" fontId="8" fillId="4" borderId="3" xfId="1" applyFont="1" applyFill="1" applyBorder="1" applyAlignment="1">
      <alignment horizontal="center" vertical="center"/>
    </xf>
    <xf numFmtId="0" fontId="4" fillId="4" borderId="6" xfId="1" applyFont="1" applyFill="1" applyBorder="1" applyAlignment="1">
      <alignment horizontal="center" vertical="center"/>
    </xf>
    <xf numFmtId="0" fontId="4" fillId="4" borderId="7" xfId="1" applyFont="1" applyFill="1" applyBorder="1" applyAlignment="1">
      <alignment horizontal="center" vertical="center"/>
    </xf>
    <xf numFmtId="0" fontId="4" fillId="4" borderId="13" xfId="1" applyFont="1" applyFill="1" applyBorder="1" applyAlignment="1">
      <alignment horizontal="center" vertical="center"/>
    </xf>
    <xf numFmtId="0" fontId="8" fillId="4" borderId="14" xfId="1" applyFont="1" applyFill="1" applyBorder="1" applyAlignment="1">
      <alignment horizontal="center" vertical="center"/>
    </xf>
    <xf numFmtId="0" fontId="8" fillId="4" borderId="1" xfId="1" applyFont="1" applyFill="1" applyBorder="1" applyAlignment="1">
      <alignment horizontal="center" vertical="center"/>
    </xf>
    <xf numFmtId="0" fontId="4" fillId="4" borderId="9" xfId="1" applyFont="1" applyFill="1" applyBorder="1" applyAlignment="1">
      <alignment horizontal="center" vertical="center"/>
    </xf>
    <xf numFmtId="0" fontId="4" fillId="4" borderId="10" xfId="1" applyFont="1" applyFill="1" applyBorder="1" applyAlignment="1">
      <alignment horizontal="center" vertical="center"/>
    </xf>
    <xf numFmtId="0" fontId="4" fillId="4" borderId="12" xfId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6" fillId="0" borderId="0" xfId="0" applyFont="1" applyBorder="1">
      <alignment vertical="center"/>
    </xf>
    <xf numFmtId="0" fontId="12" fillId="0" borderId="0" xfId="0" applyFont="1" applyBorder="1">
      <alignment vertical="center"/>
    </xf>
    <xf numFmtId="0" fontId="0" fillId="0" borderId="0" xfId="0" applyFill="1" applyBorder="1">
      <alignment vertical="center"/>
    </xf>
    <xf numFmtId="0" fontId="13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6" fillId="0" borderId="0" xfId="3" applyBorder="1" applyAlignment="1">
      <alignment horizontal="center" vertical="center"/>
    </xf>
  </cellXfs>
  <cellStyles count="4">
    <cellStyle name="경고문" xfId="3" builtinId="11"/>
    <cellStyle name="계산" xfId="2" builtinId="22"/>
    <cellStyle name="설명 텍스트" xfId="1" builtinId="53"/>
    <cellStyle name="표준" xfId="0" builtinId="0"/>
  </cellStyles>
  <dxfs count="846"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b/>
        <i val="0"/>
        <color rgb="FFFF0000"/>
      </font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b/>
        <i val="0"/>
        <color rgb="FFFF0000"/>
      </font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FE740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0DAAB-702A-438D-B22B-E4398B84585E}">
  <dimension ref="C4:D11"/>
  <sheetViews>
    <sheetView workbookViewId="0">
      <selection activeCell="D13" sqref="D13"/>
    </sheetView>
  </sheetViews>
  <sheetFormatPr defaultRowHeight="17" x14ac:dyDescent="0.45"/>
  <sheetData>
    <row r="4" spans="3:4" x14ac:dyDescent="0.45">
      <c r="C4" t="s">
        <v>12</v>
      </c>
    </row>
    <row r="5" spans="3:4" x14ac:dyDescent="0.45">
      <c r="D5" t="s">
        <v>7</v>
      </c>
    </row>
    <row r="6" spans="3:4" x14ac:dyDescent="0.45">
      <c r="D6" t="s">
        <v>6</v>
      </c>
    </row>
    <row r="8" spans="3:4" x14ac:dyDescent="0.45">
      <c r="D8" t="s">
        <v>8</v>
      </c>
    </row>
    <row r="9" spans="3:4" x14ac:dyDescent="0.45">
      <c r="D9" t="s">
        <v>6</v>
      </c>
    </row>
    <row r="10" spans="3:4" x14ac:dyDescent="0.45">
      <c r="D10" t="s">
        <v>0</v>
      </c>
    </row>
    <row r="11" spans="3:4" x14ac:dyDescent="0.45">
      <c r="D11" t="s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56CA6-8BC1-48DC-B239-BAE1C88CF047}">
  <sheetPr>
    <tabColor theme="0" tint="-0.249977111117893"/>
  </sheetPr>
  <dimension ref="A1:AQ23"/>
  <sheetViews>
    <sheetView zoomScale="55" zoomScaleNormal="55" workbookViewId="0">
      <selection activeCell="P7" sqref="P7:P8"/>
    </sheetView>
  </sheetViews>
  <sheetFormatPr defaultRowHeight="17" x14ac:dyDescent="0.45"/>
  <cols>
    <col min="1" max="1" width="11.33203125" bestFit="1" customWidth="1"/>
    <col min="2" max="2" width="11.4140625" style="5" customWidth="1"/>
    <col min="3" max="3" width="44.1640625" customWidth="1"/>
    <col min="4" max="4" width="12.9140625" style="5" bestFit="1" customWidth="1"/>
    <col min="5" max="5" width="23.83203125" customWidth="1"/>
    <col min="6" max="6" width="16.75" customWidth="1"/>
    <col min="7" max="10" width="8.33203125" bestFit="1" customWidth="1"/>
    <col min="11" max="11" width="2.9140625" hidden="1" customWidth="1"/>
    <col min="12" max="13" width="16.33203125" bestFit="1" customWidth="1"/>
    <col min="14" max="14" width="16.5" customWidth="1"/>
    <col min="15" max="15" width="16.33203125" bestFit="1" customWidth="1"/>
    <col min="16" max="16" width="16.33203125" customWidth="1"/>
    <col min="17" max="17" width="28.5" hidden="1" customWidth="1"/>
    <col min="18" max="21" width="14.75" customWidth="1"/>
    <col min="24" max="29" width="9.1640625" customWidth="1"/>
    <col min="30" max="30" width="20.6640625" customWidth="1"/>
    <col min="31" max="31" width="35" customWidth="1"/>
    <col min="32" max="32" width="44.1640625" customWidth="1"/>
    <col min="33" max="33" width="89.25" customWidth="1"/>
    <col min="34" max="34" width="88.6640625" customWidth="1"/>
    <col min="37" max="37" width="22.58203125" bestFit="1" customWidth="1"/>
    <col min="38" max="38" width="34.83203125" customWidth="1"/>
  </cols>
  <sheetData>
    <row r="1" spans="1:43" ht="62.5" customHeight="1" x14ac:dyDescent="0.45">
      <c r="A1" s="49" t="s">
        <v>19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</row>
    <row r="2" spans="1:43" x14ac:dyDescent="0.45">
      <c r="A2" s="54" t="s">
        <v>11</v>
      </c>
      <c r="B2" s="55" t="s">
        <v>92</v>
      </c>
      <c r="C2" s="56"/>
      <c r="D2" s="56"/>
      <c r="E2" s="56"/>
      <c r="F2" s="57"/>
      <c r="G2" s="54" t="s">
        <v>111</v>
      </c>
      <c r="H2" s="54"/>
      <c r="I2" s="54"/>
      <c r="J2" s="54"/>
      <c r="K2" s="54"/>
      <c r="L2" s="54"/>
      <c r="M2" s="54"/>
      <c r="N2" s="54"/>
      <c r="O2" s="54"/>
      <c r="P2" s="54"/>
      <c r="Q2" s="55" t="s">
        <v>26</v>
      </c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7"/>
      <c r="AG2" s="55" t="s">
        <v>10</v>
      </c>
      <c r="AH2" s="57"/>
    </row>
    <row r="3" spans="1:43" x14ac:dyDescent="0.45">
      <c r="A3" s="54"/>
      <c r="B3" s="61"/>
      <c r="C3" s="64"/>
      <c r="D3" s="64"/>
      <c r="E3" s="64"/>
      <c r="F3" s="62"/>
      <c r="G3" s="54"/>
      <c r="H3" s="54"/>
      <c r="I3" s="54"/>
      <c r="J3" s="54"/>
      <c r="K3" s="54"/>
      <c r="L3" s="54"/>
      <c r="M3" s="54"/>
      <c r="N3" s="54"/>
      <c r="O3" s="54"/>
      <c r="P3" s="54"/>
      <c r="Q3" s="58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60"/>
      <c r="AG3" s="61"/>
      <c r="AH3" s="62"/>
    </row>
    <row r="4" spans="1:43" x14ac:dyDescent="0.45">
      <c r="A4" s="54"/>
      <c r="B4" s="61"/>
      <c r="C4" s="64"/>
      <c r="D4" s="64"/>
      <c r="E4" s="64"/>
      <c r="F4" s="62"/>
      <c r="G4" s="54"/>
      <c r="H4" s="54"/>
      <c r="I4" s="54"/>
      <c r="J4" s="54"/>
      <c r="K4" s="54"/>
      <c r="L4" s="54"/>
      <c r="M4" s="54"/>
      <c r="N4" s="54"/>
      <c r="O4" s="54"/>
      <c r="P4" s="54"/>
      <c r="Q4" s="23"/>
      <c r="R4" s="52" t="s">
        <v>33</v>
      </c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3"/>
      <c r="AE4" s="12" t="s">
        <v>34</v>
      </c>
      <c r="AF4" s="12" t="s">
        <v>35</v>
      </c>
      <c r="AG4" s="61"/>
      <c r="AH4" s="62"/>
    </row>
    <row r="5" spans="1:43" x14ac:dyDescent="0.45">
      <c r="A5" s="54"/>
      <c r="B5" s="58"/>
      <c r="C5" s="59"/>
      <c r="D5" s="59"/>
      <c r="E5" s="59"/>
      <c r="F5" s="60"/>
      <c r="G5" s="63" t="s">
        <v>36</v>
      </c>
      <c r="H5" s="63"/>
      <c r="I5" s="63"/>
      <c r="J5" s="63"/>
      <c r="K5" s="42"/>
      <c r="L5" s="58" t="s">
        <v>94</v>
      </c>
      <c r="M5" s="59"/>
      <c r="N5" s="59"/>
      <c r="O5" s="60"/>
      <c r="P5" s="43" t="s">
        <v>93</v>
      </c>
      <c r="Q5" s="21" t="s">
        <v>30</v>
      </c>
      <c r="R5" s="51" t="s">
        <v>44</v>
      </c>
      <c r="S5" s="52"/>
      <c r="T5" s="52"/>
      <c r="U5" s="53"/>
      <c r="V5" s="51" t="s">
        <v>20</v>
      </c>
      <c r="W5" s="52"/>
      <c r="X5" s="52"/>
      <c r="Y5" s="53"/>
      <c r="Z5" s="54" t="s">
        <v>122</v>
      </c>
      <c r="AA5" s="54"/>
      <c r="AB5" s="54"/>
      <c r="AC5" s="54"/>
      <c r="AD5" s="54"/>
      <c r="AE5" s="14"/>
      <c r="AF5" s="12"/>
      <c r="AG5" s="61"/>
      <c r="AH5" s="62"/>
    </row>
    <row r="6" spans="1:43" x14ac:dyDescent="0.45">
      <c r="A6" s="22" t="s">
        <v>27</v>
      </c>
      <c r="B6" s="22" t="s">
        <v>3</v>
      </c>
      <c r="C6" s="41" t="s">
        <v>31</v>
      </c>
      <c r="D6" s="41" t="s">
        <v>21</v>
      </c>
      <c r="E6" s="41" t="s">
        <v>124</v>
      </c>
      <c r="F6" s="41" t="s">
        <v>9</v>
      </c>
      <c r="G6" s="22" t="s">
        <v>4</v>
      </c>
      <c r="H6" s="22" t="s">
        <v>13</v>
      </c>
      <c r="I6" s="22" t="s">
        <v>14</v>
      </c>
      <c r="J6" s="22" t="s">
        <v>5</v>
      </c>
      <c r="K6" s="22" t="s">
        <v>16</v>
      </c>
      <c r="L6" s="22" t="s">
        <v>22</v>
      </c>
      <c r="M6" s="22" t="s">
        <v>23</v>
      </c>
      <c r="N6" s="22" t="s">
        <v>28</v>
      </c>
      <c r="O6" s="22" t="s">
        <v>24</v>
      </c>
      <c r="P6" s="22" t="s">
        <v>29</v>
      </c>
      <c r="Q6" s="22" t="s">
        <v>25</v>
      </c>
      <c r="R6" s="22" t="s">
        <v>4</v>
      </c>
      <c r="S6" s="22" t="s">
        <v>13</v>
      </c>
      <c r="T6" s="22" t="s">
        <v>14</v>
      </c>
      <c r="U6" s="22" t="s">
        <v>5</v>
      </c>
      <c r="V6" s="22" t="s">
        <v>4</v>
      </c>
      <c r="W6" s="22" t="s">
        <v>13</v>
      </c>
      <c r="X6" s="22" t="s">
        <v>14</v>
      </c>
      <c r="Y6" s="22" t="s">
        <v>5</v>
      </c>
      <c r="Z6" s="22" t="s">
        <v>4</v>
      </c>
      <c r="AA6" s="22" t="s">
        <v>13</v>
      </c>
      <c r="AB6" s="22" t="s">
        <v>14</v>
      </c>
      <c r="AC6" s="22" t="s">
        <v>5</v>
      </c>
      <c r="AD6" s="22" t="s">
        <v>39</v>
      </c>
      <c r="AE6" s="15" t="s">
        <v>37</v>
      </c>
      <c r="AF6" s="13" t="s">
        <v>38</v>
      </c>
      <c r="AG6" s="58"/>
      <c r="AH6" s="60"/>
      <c r="AM6" s="1"/>
      <c r="AN6" s="1"/>
      <c r="AO6" s="1"/>
      <c r="AP6" s="1"/>
      <c r="AQ6" s="1"/>
    </row>
    <row r="7" spans="1:43" x14ac:dyDescent="0.45">
      <c r="A7" s="4">
        <v>45971</v>
      </c>
      <c r="B7" s="25">
        <v>1</v>
      </c>
      <c r="C7" s="8" t="str">
        <f t="shared" ref="C7:C14" si="0">IF(B7="","",
  IF(MOD($B7,1)=0,
    "Dimensions: L W H",
    "-"
  )
)</f>
        <v>Dimensions: L W H</v>
      </c>
      <c r="D7" s="7" t="s">
        <v>129</v>
      </c>
      <c r="E7" s="1">
        <v>21</v>
      </c>
      <c r="F7" s="3"/>
      <c r="G7" s="90" t="s">
        <v>40</v>
      </c>
      <c r="H7" s="25" t="s">
        <v>17</v>
      </c>
      <c r="I7" s="25" t="s">
        <v>17</v>
      </c>
      <c r="J7" s="90" t="s">
        <v>40</v>
      </c>
      <c r="K7" s="1"/>
      <c r="L7" s="25" t="s">
        <v>15</v>
      </c>
      <c r="M7" s="25" t="s">
        <v>2</v>
      </c>
      <c r="N7" s="25">
        <v>160</v>
      </c>
      <c r="O7" s="25" t="s">
        <v>17</v>
      </c>
      <c r="P7" s="25">
        <f>IF(LEN(A7)&gt;0, 종합!$C$27, "")</f>
        <v>2.2599999999999998</v>
      </c>
      <c r="Q7" s="1" t="s">
        <v>17</v>
      </c>
      <c r="R7" s="8" t="str">
        <f t="shared" ref="R7:U10" si="1">IF(MOD($B7,5)=0, "스핀들유격: ","-" )</f>
        <v>-</v>
      </c>
      <c r="S7" s="8" t="str">
        <f t="shared" si="1"/>
        <v>-</v>
      </c>
      <c r="T7" s="8" t="str">
        <f t="shared" si="1"/>
        <v>-</v>
      </c>
      <c r="U7" s="8" t="str">
        <f t="shared" si="1"/>
        <v>-</v>
      </c>
      <c r="V7" s="8" t="str">
        <f t="shared" ref="V7:AC10" si="2">IF(MOD($B7,5)=0, "000-000","-" )</f>
        <v>-</v>
      </c>
      <c r="W7" s="8" t="str">
        <f t="shared" si="2"/>
        <v>-</v>
      </c>
      <c r="X7" s="8" t="str">
        <f t="shared" si="2"/>
        <v>-</v>
      </c>
      <c r="Y7" s="8" t="str">
        <f t="shared" si="2"/>
        <v>-</v>
      </c>
      <c r="Z7" s="8" t="str">
        <f t="shared" si="2"/>
        <v>-</v>
      </c>
      <c r="AA7" s="8" t="str">
        <f t="shared" si="2"/>
        <v>-</v>
      </c>
      <c r="AB7" s="8" t="str">
        <f t="shared" si="2"/>
        <v>-</v>
      </c>
      <c r="AC7" s="8" t="str">
        <f t="shared" si="2"/>
        <v>-</v>
      </c>
      <c r="AD7" s="8" t="str">
        <f>IF(MOD($B7,5)=0, "스핀들소음 :","-" )</f>
        <v>-</v>
      </c>
      <c r="AE7" s="8" t="str">
        <f t="shared" ref="AE7:AE14" si="3">IF(MOD($B7,40)=0, "필터세척 :"&amp; CHAR(10) &amp; "FLOW   (T1, T4 : / T2, T3 : / T4 : )","-" )</f>
        <v>-</v>
      </c>
      <c r="AF7" s="8" t="str">
        <f>IF($B7="","",
  IF(MOD($B7,160)=0,
    "TENSION (XL : / ZL : / XR : / ZR : / Y : )" &amp; CHAR(10) &amp;
    "필터교체",
    "-"
  )
)</f>
        <v>-</v>
      </c>
      <c r="AG7" s="1" t="s">
        <v>17</v>
      </c>
      <c r="AH7" s="1" t="s">
        <v>17</v>
      </c>
    </row>
    <row r="8" spans="1:43" x14ac:dyDescent="0.45">
      <c r="A8" s="4">
        <v>45971</v>
      </c>
      <c r="B8" s="25">
        <f>IF(NOT(LEN(A8)=0),B7+1,"")</f>
        <v>2</v>
      </c>
      <c r="C8" s="8" t="str">
        <f t="shared" si="0"/>
        <v>Dimensions: L W H</v>
      </c>
      <c r="D8" s="7" t="s">
        <v>129</v>
      </c>
      <c r="E8" s="1">
        <v>21</v>
      </c>
      <c r="F8" s="3"/>
      <c r="G8" s="91" t="s">
        <v>40</v>
      </c>
      <c r="H8" s="25" t="s">
        <v>17</v>
      </c>
      <c r="I8" s="25" t="s">
        <v>17</v>
      </c>
      <c r="J8" s="91" t="s">
        <v>40</v>
      </c>
      <c r="K8" s="1"/>
      <c r="L8" s="92" t="str">
        <f t="shared" ref="L8:P8" si="4">IF(NOT(LEN($J8)=0),L7,"")</f>
        <v>VITA</v>
      </c>
      <c r="M8" s="92" t="str">
        <f t="shared" si="4"/>
        <v>MARK II</v>
      </c>
      <c r="N8" s="92">
        <f t="shared" si="4"/>
        <v>160</v>
      </c>
      <c r="O8" s="92" t="str">
        <f t="shared" si="4"/>
        <v>-</v>
      </c>
      <c r="P8" s="25">
        <f>IF(LEN(A8)&gt;0, 종합!$C$27, "")</f>
        <v>2.2599999999999998</v>
      </c>
      <c r="Q8" s="1" t="s">
        <v>17</v>
      </c>
      <c r="R8" s="8" t="str">
        <f t="shared" si="1"/>
        <v>-</v>
      </c>
      <c r="S8" s="8" t="str">
        <f t="shared" si="1"/>
        <v>-</v>
      </c>
      <c r="T8" s="8" t="str">
        <f t="shared" si="1"/>
        <v>-</v>
      </c>
      <c r="U8" s="8" t="str">
        <f t="shared" si="1"/>
        <v>-</v>
      </c>
      <c r="V8" s="8" t="str">
        <f t="shared" si="2"/>
        <v>-</v>
      </c>
      <c r="W8" s="8" t="str">
        <f t="shared" si="2"/>
        <v>-</v>
      </c>
      <c r="X8" s="8" t="str">
        <f t="shared" si="2"/>
        <v>-</v>
      </c>
      <c r="Y8" s="8" t="str">
        <f t="shared" si="2"/>
        <v>-</v>
      </c>
      <c r="Z8" s="8" t="str">
        <f t="shared" si="2"/>
        <v>-</v>
      </c>
      <c r="AA8" s="8" t="str">
        <f t="shared" si="2"/>
        <v>-</v>
      </c>
      <c r="AB8" s="8" t="str">
        <f t="shared" si="2"/>
        <v>-</v>
      </c>
      <c r="AC8" s="8" t="str">
        <f t="shared" si="2"/>
        <v>-</v>
      </c>
      <c r="AD8" s="8" t="str">
        <f>IF(MOD($B8,5)=0, "스핀들소음 :","-" )</f>
        <v>-</v>
      </c>
      <c r="AE8" s="8" t="str">
        <f t="shared" si="3"/>
        <v>-</v>
      </c>
      <c r="AF8" s="8" t="str">
        <f t="shared" ref="AF8:AF13" si="5">IF($B8="","",
  IF(MOD(B8,160)=0,
    "TENSION (XL : / ZL : / XR : / ZR : / Y : )" &amp; CHAR(10) &amp;
    "필터교체",
    "-"
  )
)</f>
        <v>-</v>
      </c>
      <c r="AG8" s="1" t="s">
        <v>17</v>
      </c>
      <c r="AH8" s="1" t="s">
        <v>17</v>
      </c>
    </row>
    <row r="9" spans="1:43" x14ac:dyDescent="0.45">
      <c r="A9" s="4">
        <v>45971</v>
      </c>
      <c r="B9" s="25">
        <f>IF(NOT(LEN(A9)=0),B8+1,"")</f>
        <v>3</v>
      </c>
      <c r="C9" s="8" t="str">
        <f t="shared" si="0"/>
        <v>Dimensions: L W H</v>
      </c>
      <c r="D9" s="7" t="s">
        <v>129</v>
      </c>
      <c r="E9" s="1">
        <v>21</v>
      </c>
      <c r="F9" s="3"/>
      <c r="G9" s="91" t="s">
        <v>40</v>
      </c>
      <c r="H9" s="25" t="s">
        <v>17</v>
      </c>
      <c r="I9" s="25" t="s">
        <v>17</v>
      </c>
      <c r="J9" s="91" t="s">
        <v>40</v>
      </c>
      <c r="K9" s="1"/>
      <c r="L9" s="25" t="s">
        <v>15</v>
      </c>
      <c r="M9" s="25" t="s">
        <v>2</v>
      </c>
      <c r="N9" s="25">
        <v>161</v>
      </c>
      <c r="O9" s="25" t="s">
        <v>17</v>
      </c>
      <c r="P9" s="25">
        <f>IF(LEN(A9)&gt;0, 종합!$C$27, "")</f>
        <v>2.2599999999999998</v>
      </c>
      <c r="Q9" s="1" t="s">
        <v>17</v>
      </c>
      <c r="R9" s="8" t="str">
        <f t="shared" si="1"/>
        <v>-</v>
      </c>
      <c r="S9" s="8" t="str">
        <f t="shared" si="1"/>
        <v>-</v>
      </c>
      <c r="T9" s="8" t="str">
        <f t="shared" si="1"/>
        <v>-</v>
      </c>
      <c r="U9" s="8" t="str">
        <f t="shared" si="1"/>
        <v>-</v>
      </c>
      <c r="V9" s="8" t="str">
        <f t="shared" si="2"/>
        <v>-</v>
      </c>
      <c r="W9" s="8" t="str">
        <f t="shared" si="2"/>
        <v>-</v>
      </c>
      <c r="X9" s="8" t="str">
        <f t="shared" si="2"/>
        <v>-</v>
      </c>
      <c r="Y9" s="8" t="str">
        <f t="shared" si="2"/>
        <v>-</v>
      </c>
      <c r="Z9" s="8" t="str">
        <f t="shared" si="2"/>
        <v>-</v>
      </c>
      <c r="AA9" s="8" t="str">
        <f t="shared" si="2"/>
        <v>-</v>
      </c>
      <c r="AB9" s="8" t="str">
        <f t="shared" si="2"/>
        <v>-</v>
      </c>
      <c r="AC9" s="8" t="str">
        <f t="shared" si="2"/>
        <v>-</v>
      </c>
      <c r="AD9" s="8" t="str">
        <f>IF(MOD($B9,5)=0, "스핀들소음 :","-" )</f>
        <v>-</v>
      </c>
      <c r="AE9" s="8" t="str">
        <f t="shared" si="3"/>
        <v>-</v>
      </c>
      <c r="AF9" s="8" t="str">
        <f t="shared" si="5"/>
        <v>-</v>
      </c>
      <c r="AG9" s="1" t="s">
        <v>17</v>
      </c>
      <c r="AH9" s="1" t="s">
        <v>17</v>
      </c>
    </row>
    <row r="10" spans="1:43" x14ac:dyDescent="0.45">
      <c r="A10" s="4">
        <v>45971</v>
      </c>
      <c r="B10" s="25">
        <f>IF(NOT(LEN(A10)=0),B9+1,"")</f>
        <v>4</v>
      </c>
      <c r="C10" s="8" t="str">
        <f t="shared" si="0"/>
        <v>Dimensions: L W H</v>
      </c>
      <c r="D10" s="7" t="s">
        <v>129</v>
      </c>
      <c r="E10" s="1">
        <v>21</v>
      </c>
      <c r="F10" s="3"/>
      <c r="G10" s="91" t="s">
        <v>40</v>
      </c>
      <c r="H10" s="25" t="s">
        <v>17</v>
      </c>
      <c r="I10" s="25" t="s">
        <v>17</v>
      </c>
      <c r="J10" s="91" t="s">
        <v>40</v>
      </c>
      <c r="K10" s="1"/>
      <c r="L10" s="92" t="str">
        <f t="shared" ref="L10:L15" si="6">IF(NOT(LEN($J10)=0),L9,"")</f>
        <v>VITA</v>
      </c>
      <c r="M10" s="92" t="str">
        <f t="shared" ref="M10:M15" si="7">IF(NOT(LEN($J10)=0),M9,"")</f>
        <v>MARK II</v>
      </c>
      <c r="N10" s="92">
        <f t="shared" ref="N10:N16" si="8">IF(NOT(LEN($J10)=0),N9,"")</f>
        <v>161</v>
      </c>
      <c r="O10" s="92" t="str">
        <f t="shared" ref="O10:O16" si="9">IF(NOT(LEN($J10)=0),O9,"")</f>
        <v>-</v>
      </c>
      <c r="P10" s="25">
        <f>IF(LEN(A10)&gt;0, 종합!$C$27, "")</f>
        <v>2.2599999999999998</v>
      </c>
      <c r="Q10" s="1" t="s">
        <v>17</v>
      </c>
      <c r="R10" s="8" t="str">
        <f t="shared" si="1"/>
        <v>-</v>
      </c>
      <c r="S10" s="8" t="str">
        <f t="shared" si="1"/>
        <v>-</v>
      </c>
      <c r="T10" s="8" t="str">
        <f t="shared" si="1"/>
        <v>-</v>
      </c>
      <c r="U10" s="8" t="str">
        <f t="shared" si="1"/>
        <v>-</v>
      </c>
      <c r="V10" s="8" t="str">
        <f t="shared" si="2"/>
        <v>-</v>
      </c>
      <c r="W10" s="8" t="str">
        <f t="shared" si="2"/>
        <v>-</v>
      </c>
      <c r="X10" s="8" t="str">
        <f t="shared" si="2"/>
        <v>-</v>
      </c>
      <c r="Y10" s="8" t="str">
        <f t="shared" si="2"/>
        <v>-</v>
      </c>
      <c r="Z10" s="8" t="str">
        <f t="shared" si="2"/>
        <v>-</v>
      </c>
      <c r="AA10" s="8" t="str">
        <f t="shared" si="2"/>
        <v>-</v>
      </c>
      <c r="AB10" s="8" t="str">
        <f t="shared" si="2"/>
        <v>-</v>
      </c>
      <c r="AC10" s="8" t="str">
        <f t="shared" si="2"/>
        <v>-</v>
      </c>
      <c r="AD10" s="8" t="str">
        <f>IF(MOD($B10,5)=0, "스핀들소음 :","-" )</f>
        <v>-</v>
      </c>
      <c r="AE10" s="8" t="str">
        <f t="shared" si="3"/>
        <v>-</v>
      </c>
      <c r="AF10" s="8" t="str">
        <f t="shared" si="5"/>
        <v>-</v>
      </c>
      <c r="AG10" s="1" t="s">
        <v>17</v>
      </c>
      <c r="AH10" s="1" t="s">
        <v>17</v>
      </c>
    </row>
    <row r="11" spans="1:43" x14ac:dyDescent="0.45">
      <c r="A11" s="4">
        <v>45972</v>
      </c>
      <c r="B11" s="25">
        <f t="shared" ref="B11:B22" si="10">IF(NOT(LEN(A11)=0),B10+1,"")</f>
        <v>5</v>
      </c>
      <c r="C11" s="8" t="str">
        <f t="shared" si="0"/>
        <v>Dimensions: L W H</v>
      </c>
      <c r="D11" s="7" t="s">
        <v>129</v>
      </c>
      <c r="E11" s="1">
        <v>23</v>
      </c>
      <c r="F11" s="3"/>
      <c r="G11" s="89">
        <v>0</v>
      </c>
      <c r="H11" s="25" t="s">
        <v>17</v>
      </c>
      <c r="I11" s="25" t="s">
        <v>17</v>
      </c>
      <c r="J11" s="89">
        <v>0</v>
      </c>
      <c r="K11" s="1"/>
      <c r="L11" s="25" t="s">
        <v>15</v>
      </c>
      <c r="M11" s="25" t="s">
        <v>2</v>
      </c>
      <c r="N11" s="25">
        <v>162</v>
      </c>
      <c r="O11" s="25" t="s">
        <v>17</v>
      </c>
      <c r="P11" s="25">
        <f>IF(LEN(A11)&gt;0, 종합!$C$27, "")</f>
        <v>2.2599999999999998</v>
      </c>
      <c r="Q11" s="1" t="s">
        <v>17</v>
      </c>
      <c r="R11" s="8" t="s">
        <v>125</v>
      </c>
      <c r="S11" s="8" t="s">
        <v>125</v>
      </c>
      <c r="T11" s="8" t="s">
        <v>125</v>
      </c>
      <c r="U11" s="8" t="s">
        <v>125</v>
      </c>
      <c r="V11" s="8" t="s">
        <v>59</v>
      </c>
      <c r="W11" s="8" t="s">
        <v>60</v>
      </c>
      <c r="X11" s="8" t="s">
        <v>61</v>
      </c>
      <c r="Y11" s="8" t="s">
        <v>62</v>
      </c>
      <c r="Z11" s="8" t="s">
        <v>63</v>
      </c>
      <c r="AA11" s="8" t="s">
        <v>64</v>
      </c>
      <c r="AB11" s="8" t="s">
        <v>65</v>
      </c>
      <c r="AC11" s="8" t="s">
        <v>66</v>
      </c>
      <c r="AD11" s="8" t="s">
        <v>125</v>
      </c>
      <c r="AE11" s="8" t="str">
        <f t="shared" si="3"/>
        <v>-</v>
      </c>
      <c r="AF11" s="8" t="str">
        <f t="shared" si="5"/>
        <v>-</v>
      </c>
      <c r="AG11" s="1" t="s">
        <v>17</v>
      </c>
      <c r="AH11" s="1" t="s">
        <v>17</v>
      </c>
    </row>
    <row r="12" spans="1:43" x14ac:dyDescent="0.45">
      <c r="A12" s="4">
        <v>45972</v>
      </c>
      <c r="B12" s="25">
        <f t="shared" si="10"/>
        <v>6</v>
      </c>
      <c r="C12" s="8" t="str">
        <f t="shared" si="0"/>
        <v>Dimensions: L W H</v>
      </c>
      <c r="D12" s="7" t="s">
        <v>129</v>
      </c>
      <c r="E12" s="1">
        <v>21</v>
      </c>
      <c r="F12" s="3"/>
      <c r="G12" s="89">
        <f>IF(NOT(LEN($A12)=0),IF(G11+1&gt;15,"버교체요망",G11+1),"")</f>
        <v>1</v>
      </c>
      <c r="H12" s="25" t="s">
        <v>17</v>
      </c>
      <c r="I12" s="25" t="s">
        <v>17</v>
      </c>
      <c r="J12" s="89">
        <f>IF(NOT(LEN($A12)=0),IF(J11+1&gt;15,"버교체요망",J11+1),"")</f>
        <v>1</v>
      </c>
      <c r="K12" s="1"/>
      <c r="L12" s="92" t="str">
        <f t="shared" ref="L12:L15" si="11">IF(NOT(LEN($J12)=0),L11,"")</f>
        <v>VITA</v>
      </c>
      <c r="M12" s="92" t="str">
        <f t="shared" ref="M12:M15" si="12">IF(NOT(LEN($J12)=0),M11,"")</f>
        <v>MARK II</v>
      </c>
      <c r="N12" s="92">
        <f t="shared" ref="N12:N16" si="13">IF(NOT(LEN($J12)=0),N11,"")</f>
        <v>162</v>
      </c>
      <c r="O12" s="92" t="str">
        <f t="shared" ref="O12:O16" si="14">IF(NOT(LEN($J12)=0),O11,"")</f>
        <v>-</v>
      </c>
      <c r="P12" s="25">
        <f>IF(LEN(A12)&gt;0, 종합!$C$27, "")</f>
        <v>2.2599999999999998</v>
      </c>
      <c r="Q12" s="1" t="s">
        <v>17</v>
      </c>
      <c r="R12" s="8" t="str">
        <f t="shared" ref="R12:U14" si="15">IF(MOD($B12,5)=0, "스핀들유격: ","-" )</f>
        <v>-</v>
      </c>
      <c r="S12" s="8" t="str">
        <f t="shared" si="15"/>
        <v>-</v>
      </c>
      <c r="T12" s="8" t="str">
        <f t="shared" si="15"/>
        <v>-</v>
      </c>
      <c r="U12" s="8" t="str">
        <f t="shared" si="15"/>
        <v>-</v>
      </c>
      <c r="V12" s="8" t="str">
        <f t="shared" ref="V12:AC14" si="16">IF(MOD($B12,5)=0, "000-000","-" )</f>
        <v>-</v>
      </c>
      <c r="W12" s="8" t="str">
        <f t="shared" si="16"/>
        <v>-</v>
      </c>
      <c r="X12" s="8" t="str">
        <f t="shared" si="16"/>
        <v>-</v>
      </c>
      <c r="Y12" s="8" t="str">
        <f t="shared" si="16"/>
        <v>-</v>
      </c>
      <c r="Z12" s="8" t="str">
        <f t="shared" si="16"/>
        <v>-</v>
      </c>
      <c r="AA12" s="8" t="str">
        <f t="shared" si="16"/>
        <v>-</v>
      </c>
      <c r="AB12" s="8" t="str">
        <f t="shared" si="16"/>
        <v>-</v>
      </c>
      <c r="AC12" s="8" t="str">
        <f t="shared" si="16"/>
        <v>-</v>
      </c>
      <c r="AD12" s="8" t="str">
        <f>IF(MOD($B12,5)=0, "스핀들소음 :","-" )</f>
        <v>-</v>
      </c>
      <c r="AE12" s="8" t="str">
        <f t="shared" si="3"/>
        <v>-</v>
      </c>
      <c r="AF12" s="8" t="str">
        <f t="shared" si="5"/>
        <v>-</v>
      </c>
      <c r="AG12" s="45" t="s">
        <v>99</v>
      </c>
      <c r="AH12" s="1" t="s">
        <v>17</v>
      </c>
    </row>
    <row r="13" spans="1:43" x14ac:dyDescent="0.45">
      <c r="A13" s="4">
        <v>45972</v>
      </c>
      <c r="B13" s="25">
        <f t="shared" si="10"/>
        <v>7</v>
      </c>
      <c r="C13" s="8" t="str">
        <f t="shared" si="0"/>
        <v>Dimensions: L W H</v>
      </c>
      <c r="D13" s="7" t="s">
        <v>129</v>
      </c>
      <c r="E13" s="1">
        <v>21</v>
      </c>
      <c r="F13" s="3"/>
      <c r="G13" s="89">
        <f t="shared" ref="G13:G16" si="17">IF(NOT(LEN($A13)=0),IF(G12+1&gt;15,"버교체요망",G12+1),"")</f>
        <v>2</v>
      </c>
      <c r="H13" s="25" t="s">
        <v>17</v>
      </c>
      <c r="I13" s="25" t="s">
        <v>17</v>
      </c>
      <c r="J13" s="89">
        <f t="shared" ref="J13:J16" si="18">IF(NOT(LEN($A13)=0),IF(J12+1&gt;15,"버교체요망",J12+1),"")</f>
        <v>2</v>
      </c>
      <c r="K13" s="1"/>
      <c r="L13" s="25" t="s">
        <v>15</v>
      </c>
      <c r="M13" s="25" t="s">
        <v>2</v>
      </c>
      <c r="N13" s="25">
        <v>163</v>
      </c>
      <c r="O13" s="25" t="s">
        <v>17</v>
      </c>
      <c r="P13" s="25">
        <f>IF(LEN(A13)&gt;0, 종합!$C$27, "")</f>
        <v>2.2599999999999998</v>
      </c>
      <c r="Q13" s="1" t="s">
        <v>17</v>
      </c>
      <c r="R13" s="8" t="str">
        <f t="shared" si="15"/>
        <v>-</v>
      </c>
      <c r="S13" s="8" t="str">
        <f t="shared" si="15"/>
        <v>-</v>
      </c>
      <c r="T13" s="8" t="str">
        <f t="shared" si="15"/>
        <v>-</v>
      </c>
      <c r="U13" s="8" t="str">
        <f t="shared" si="15"/>
        <v>-</v>
      </c>
      <c r="V13" s="8" t="str">
        <f t="shared" si="16"/>
        <v>-</v>
      </c>
      <c r="W13" s="8" t="str">
        <f t="shared" si="16"/>
        <v>-</v>
      </c>
      <c r="X13" s="8" t="str">
        <f t="shared" si="16"/>
        <v>-</v>
      </c>
      <c r="Y13" s="8" t="str">
        <f t="shared" si="16"/>
        <v>-</v>
      </c>
      <c r="Z13" s="8" t="str">
        <f t="shared" si="16"/>
        <v>-</v>
      </c>
      <c r="AA13" s="8" t="str">
        <f t="shared" si="16"/>
        <v>-</v>
      </c>
      <c r="AB13" s="8" t="str">
        <f t="shared" si="16"/>
        <v>-</v>
      </c>
      <c r="AC13" s="8" t="str">
        <f t="shared" si="16"/>
        <v>-</v>
      </c>
      <c r="AD13" s="8" t="str">
        <f>IF(MOD($B13,5)=0, "스핀들소음 :","-" )</f>
        <v>-</v>
      </c>
      <c r="AE13" s="8" t="str">
        <f t="shared" si="3"/>
        <v>-</v>
      </c>
      <c r="AF13" s="8" t="str">
        <f t="shared" si="5"/>
        <v>-</v>
      </c>
      <c r="AG13" s="46" t="s">
        <v>99</v>
      </c>
      <c r="AH13" s="1" t="s">
        <v>17</v>
      </c>
    </row>
    <row r="14" spans="1:43" x14ac:dyDescent="0.45">
      <c r="A14" s="4">
        <v>45973</v>
      </c>
      <c r="B14" s="25">
        <f t="shared" si="10"/>
        <v>8</v>
      </c>
      <c r="C14" s="8" t="str">
        <f t="shared" si="0"/>
        <v>Dimensions: L W H</v>
      </c>
      <c r="D14" s="7" t="s">
        <v>129</v>
      </c>
      <c r="E14" s="1">
        <v>23</v>
      </c>
      <c r="F14" s="3"/>
      <c r="G14" s="89">
        <f t="shared" si="17"/>
        <v>3</v>
      </c>
      <c r="H14" s="25" t="s">
        <v>17</v>
      </c>
      <c r="I14" s="25" t="s">
        <v>17</v>
      </c>
      <c r="J14" s="89">
        <f t="shared" si="18"/>
        <v>3</v>
      </c>
      <c r="K14" s="1"/>
      <c r="L14" s="92" t="str">
        <f t="shared" ref="L14:L15" si="19">IF(NOT(LEN($J14)=0),L13,"")</f>
        <v>VITA</v>
      </c>
      <c r="M14" s="92" t="str">
        <f t="shared" ref="M14:M15" si="20">IF(NOT(LEN($J14)=0),M13,"")</f>
        <v>MARK II</v>
      </c>
      <c r="N14" s="92">
        <f t="shared" ref="N14:N16" si="21">IF(NOT(LEN($J14)=0),N13,"")</f>
        <v>163</v>
      </c>
      <c r="O14" s="92" t="str">
        <f t="shared" ref="O14:O16" si="22">IF(NOT(LEN($J14)=0),O13,"")</f>
        <v>-</v>
      </c>
      <c r="P14" s="25">
        <f>IF(LEN(A14)&gt;0, 종합!$C$27, "")</f>
        <v>2.2599999999999998</v>
      </c>
      <c r="Q14" s="1" t="s">
        <v>17</v>
      </c>
      <c r="R14" s="8" t="str">
        <f t="shared" si="15"/>
        <v>-</v>
      </c>
      <c r="S14" s="8" t="str">
        <f t="shared" si="15"/>
        <v>-</v>
      </c>
      <c r="T14" s="8" t="str">
        <f t="shared" si="15"/>
        <v>-</v>
      </c>
      <c r="U14" s="8" t="str">
        <f t="shared" si="15"/>
        <v>-</v>
      </c>
      <c r="V14" s="8" t="str">
        <f t="shared" si="16"/>
        <v>-</v>
      </c>
      <c r="W14" s="8" t="str">
        <f t="shared" si="16"/>
        <v>-</v>
      </c>
      <c r="X14" s="8" t="str">
        <f t="shared" si="16"/>
        <v>-</v>
      </c>
      <c r="Y14" s="8" t="str">
        <f t="shared" si="16"/>
        <v>-</v>
      </c>
      <c r="Z14" s="8" t="str">
        <f t="shared" si="16"/>
        <v>-</v>
      </c>
      <c r="AA14" s="8" t="str">
        <f t="shared" si="16"/>
        <v>-</v>
      </c>
      <c r="AB14" s="8" t="str">
        <f t="shared" si="16"/>
        <v>-</v>
      </c>
      <c r="AC14" s="8" t="str">
        <f t="shared" si="16"/>
        <v>-</v>
      </c>
      <c r="AD14" s="8" t="str">
        <f>IF(MOD($B14,5)=0, "스핀들소음 :","-" )</f>
        <v>-</v>
      </c>
      <c r="AE14" s="8" t="str">
        <f t="shared" si="3"/>
        <v>-</v>
      </c>
      <c r="AF14" s="8" t="str">
        <f t="shared" ref="AF14" si="23">IF($B14="","",
  IF(MOD(B14,160)=0,
    "TENSION (XL : / ZL : / XR : / ZR : / Y : )" &amp; CHAR(10) &amp;
    "필터교체",
    "-"
  )
)</f>
        <v>-</v>
      </c>
      <c r="AG14" s="46" t="s">
        <v>99</v>
      </c>
      <c r="AH14" s="1" t="s">
        <v>17</v>
      </c>
    </row>
    <row r="15" spans="1:43" x14ac:dyDescent="0.45">
      <c r="A15" s="4">
        <v>45973</v>
      </c>
      <c r="B15" s="25">
        <f t="shared" si="10"/>
        <v>9</v>
      </c>
      <c r="C15" s="8" t="str">
        <f t="shared" ref="C15:C16" si="24">IF(B15="","",
  IF(MOD($B15,1)=0,
    "Dimensions: L W H",
    "-"
  )
)</f>
        <v>Dimensions: L W H</v>
      </c>
      <c r="D15" s="7" t="s">
        <v>129</v>
      </c>
      <c r="E15" s="1">
        <v>23</v>
      </c>
      <c r="F15" s="3"/>
      <c r="G15" s="89">
        <f t="shared" si="17"/>
        <v>4</v>
      </c>
      <c r="H15" s="25" t="s">
        <v>17</v>
      </c>
      <c r="I15" s="25" t="s">
        <v>17</v>
      </c>
      <c r="J15" s="89">
        <f t="shared" si="18"/>
        <v>4</v>
      </c>
      <c r="K15" s="1"/>
      <c r="L15" s="25" t="s">
        <v>15</v>
      </c>
      <c r="M15" s="25" t="s">
        <v>2</v>
      </c>
      <c r="N15" s="25">
        <v>164</v>
      </c>
      <c r="O15" s="25" t="s">
        <v>17</v>
      </c>
      <c r="P15" s="25">
        <f>IF(LEN(A15)&gt;0, 종합!$C$27, "")</f>
        <v>2.2599999999999998</v>
      </c>
      <c r="Q15" s="1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1"/>
      <c r="AH15" s="2"/>
    </row>
    <row r="16" spans="1:43" x14ac:dyDescent="0.45">
      <c r="A16" s="4">
        <v>45973</v>
      </c>
      <c r="B16" s="25">
        <f t="shared" si="10"/>
        <v>10</v>
      </c>
      <c r="C16" s="8" t="str">
        <f>IF(B16="","",
  IF(MOD($B16,1)=0,
    "Dimensions: L W H",
    "-"
  )
)</f>
        <v>Dimensions: L W H</v>
      </c>
      <c r="D16" s="7" t="str">
        <f>IF(NOT(LEN(B16)=0),"진행중","")</f>
        <v>진행중</v>
      </c>
      <c r="E16" s="88">
        <v>21</v>
      </c>
      <c r="F16" s="3"/>
      <c r="G16" s="89">
        <f t="shared" si="17"/>
        <v>5</v>
      </c>
      <c r="H16" s="25" t="s">
        <v>17</v>
      </c>
      <c r="I16" s="25" t="s">
        <v>17</v>
      </c>
      <c r="J16" s="89">
        <f t="shared" si="18"/>
        <v>5</v>
      </c>
      <c r="K16" s="1"/>
      <c r="L16" s="25" t="s">
        <v>15</v>
      </c>
      <c r="M16" s="25" t="s">
        <v>2</v>
      </c>
      <c r="N16" s="92">
        <f t="shared" ref="N16" si="25">IF(NOT(LEN($J16)=0),N15,"")</f>
        <v>164</v>
      </c>
      <c r="O16" s="92" t="str">
        <f t="shared" ref="O16" si="26">IF(NOT(LEN($J16)=0),O15,"")</f>
        <v>-</v>
      </c>
      <c r="P16" s="25">
        <f>IF(LEN(A16)&gt;0, 종합!$C$27, "")</f>
        <v>2.2599999999999998</v>
      </c>
      <c r="Q16" s="1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1"/>
      <c r="AH16" s="2"/>
    </row>
    <row r="17" spans="1:34" x14ac:dyDescent="0.45">
      <c r="A17" s="4"/>
      <c r="B17" s="25" t="str">
        <f t="shared" si="10"/>
        <v/>
      </c>
      <c r="C17" s="8" t="str">
        <f t="shared" ref="C17:C22" si="27">IF(B17="","",
  IF(MOD($B17,1)=0,
    "Dimensions: L W H",
    "-"
  )
)</f>
        <v/>
      </c>
      <c r="D17" s="7" t="str">
        <f t="shared" ref="D17:D22" si="28">IF(NOT(LEN(B17)=0),"진행중","")</f>
        <v/>
      </c>
      <c r="E17" s="1"/>
      <c r="F17" s="3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1"/>
      <c r="AH17" s="2"/>
    </row>
    <row r="18" spans="1:34" x14ac:dyDescent="0.45">
      <c r="A18" s="4"/>
      <c r="B18" s="25" t="str">
        <f t="shared" si="10"/>
        <v/>
      </c>
      <c r="C18" s="8" t="str">
        <f t="shared" si="27"/>
        <v/>
      </c>
      <c r="D18" s="7" t="str">
        <f t="shared" si="28"/>
        <v/>
      </c>
      <c r="E18" s="1"/>
      <c r="F18" s="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1"/>
      <c r="AH18" s="2"/>
    </row>
    <row r="19" spans="1:34" x14ac:dyDescent="0.45">
      <c r="A19" s="4"/>
      <c r="B19" s="25" t="str">
        <f t="shared" si="10"/>
        <v/>
      </c>
      <c r="C19" s="8" t="str">
        <f t="shared" si="27"/>
        <v/>
      </c>
      <c r="D19" s="7" t="str">
        <f t="shared" si="28"/>
        <v/>
      </c>
      <c r="E19" s="1"/>
      <c r="F19" s="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1"/>
      <c r="AH19" s="2"/>
    </row>
    <row r="20" spans="1:34" x14ac:dyDescent="0.45">
      <c r="A20" s="4"/>
      <c r="B20" s="25" t="str">
        <f>IF(NOT(LEN(A20)=0),B19+1,"")</f>
        <v/>
      </c>
      <c r="C20" s="8" t="str">
        <f t="shared" si="27"/>
        <v/>
      </c>
      <c r="D20" s="7" t="str">
        <f t="shared" si="28"/>
        <v/>
      </c>
      <c r="E20" s="1"/>
      <c r="F20" s="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1"/>
      <c r="AH20" s="2"/>
    </row>
    <row r="21" spans="1:34" x14ac:dyDescent="0.45">
      <c r="A21" s="4"/>
      <c r="B21" s="25" t="str">
        <f t="shared" si="10"/>
        <v/>
      </c>
      <c r="C21" s="8" t="str">
        <f t="shared" si="27"/>
        <v/>
      </c>
      <c r="D21" s="7" t="str">
        <f t="shared" si="28"/>
        <v/>
      </c>
      <c r="E21" s="1"/>
      <c r="F21" s="3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1"/>
      <c r="AH21" s="2"/>
    </row>
    <row r="22" spans="1:34" x14ac:dyDescent="0.45">
      <c r="A22" s="4"/>
      <c r="B22" s="25" t="str">
        <f t="shared" si="10"/>
        <v/>
      </c>
      <c r="C22" s="8" t="str">
        <f t="shared" si="27"/>
        <v/>
      </c>
      <c r="D22" s="7" t="str">
        <f t="shared" si="28"/>
        <v/>
      </c>
      <c r="E22" s="1"/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1"/>
      <c r="AH22" s="2"/>
    </row>
    <row r="23" spans="1:34" x14ac:dyDescent="0.45">
      <c r="A23" s="6" t="s">
        <v>18</v>
      </c>
      <c r="B23" s="26" t="s">
        <v>18</v>
      </c>
      <c r="C23" s="6" t="s">
        <v>18</v>
      </c>
      <c r="D23" s="6" t="s">
        <v>18</v>
      </c>
      <c r="E23" s="6" t="s">
        <v>18</v>
      </c>
      <c r="F23" s="6" t="s">
        <v>18</v>
      </c>
      <c r="G23" s="6" t="s">
        <v>18</v>
      </c>
      <c r="H23" s="6" t="s">
        <v>18</v>
      </c>
      <c r="I23" s="6" t="s">
        <v>18</v>
      </c>
      <c r="J23" s="6" t="s">
        <v>18</v>
      </c>
      <c r="K23" s="6" t="s">
        <v>18</v>
      </c>
      <c r="L23" s="6" t="s">
        <v>18</v>
      </c>
      <c r="M23" s="6" t="s">
        <v>18</v>
      </c>
      <c r="N23" s="6" t="s">
        <v>18</v>
      </c>
      <c r="O23" s="6" t="s">
        <v>18</v>
      </c>
      <c r="P23" s="6" t="s">
        <v>18</v>
      </c>
      <c r="Q23" s="6" t="s">
        <v>18</v>
      </c>
      <c r="R23" s="6" t="s">
        <v>18</v>
      </c>
      <c r="S23" s="6" t="s">
        <v>18</v>
      </c>
      <c r="T23" s="6" t="s">
        <v>18</v>
      </c>
      <c r="U23" s="6" t="s">
        <v>18</v>
      </c>
      <c r="V23" s="6" t="s">
        <v>18</v>
      </c>
      <c r="W23" s="6" t="s">
        <v>18</v>
      </c>
      <c r="X23" s="6" t="s">
        <v>18</v>
      </c>
      <c r="Y23" s="6" t="s">
        <v>18</v>
      </c>
      <c r="Z23" s="6" t="s">
        <v>18</v>
      </c>
      <c r="AA23" s="6" t="s">
        <v>18</v>
      </c>
      <c r="AB23" s="6" t="s">
        <v>18</v>
      </c>
      <c r="AC23" s="6" t="s">
        <v>18</v>
      </c>
      <c r="AD23" s="6" t="s">
        <v>18</v>
      </c>
      <c r="AE23" s="6" t="s">
        <v>18</v>
      </c>
      <c r="AF23" s="6" t="s">
        <v>18</v>
      </c>
      <c r="AG23" s="6" t="s">
        <v>18</v>
      </c>
      <c r="AH23" s="6" t="s">
        <v>18</v>
      </c>
    </row>
  </sheetData>
  <mergeCells count="12">
    <mergeCell ref="A1:AH1"/>
    <mergeCell ref="R5:U5"/>
    <mergeCell ref="V5:Y5"/>
    <mergeCell ref="Z5:AD5"/>
    <mergeCell ref="A2:A5"/>
    <mergeCell ref="Q2:AF3"/>
    <mergeCell ref="AG2:AH6"/>
    <mergeCell ref="R4:AD4"/>
    <mergeCell ref="G5:J5"/>
    <mergeCell ref="B2:F5"/>
    <mergeCell ref="L5:O5"/>
    <mergeCell ref="G2:P4"/>
  </mergeCells>
  <phoneticPr fontId="1" type="noConversion"/>
  <conditionalFormatting sqref="D7:D15">
    <cfRule type="containsText" dxfId="845" priority="79" operator="containsText" text="완료">
      <formula>NOT(ISERROR(SEARCH("완료",D7)))</formula>
    </cfRule>
    <cfRule type="containsText" dxfId="844" priority="80" operator="containsText" text="중단">
      <formula>NOT(ISERROR(SEARCH("중단",D7)))</formula>
    </cfRule>
  </conditionalFormatting>
  <conditionalFormatting sqref="I7:I9 G7:G9">
    <cfRule type="containsText" dxfId="843" priority="77" operator="containsText" text="신품">
      <formula>NOT(ISERROR(SEARCH("신품",G7)))</formula>
    </cfRule>
    <cfRule type="containsText" dxfId="842" priority="78" operator="containsText" text="중고">
      <formula>NOT(ISERROR(SEARCH("중고",G7)))</formula>
    </cfRule>
  </conditionalFormatting>
  <conditionalFormatting sqref="J7:J9">
    <cfRule type="containsText" dxfId="841" priority="75" operator="containsText" text="신품">
      <formula>NOT(ISERROR(SEARCH("신품",J7)))</formula>
    </cfRule>
    <cfRule type="containsText" dxfId="840" priority="76" operator="containsText" text="중고">
      <formula>NOT(ISERROR(SEARCH("중고",J7)))</formula>
    </cfRule>
  </conditionalFormatting>
  <conditionalFormatting sqref="D10">
    <cfRule type="containsText" dxfId="839" priority="73" operator="containsText" text="완료">
      <formula>NOT(ISERROR(SEARCH("완료",D10)))</formula>
    </cfRule>
    <cfRule type="containsText" dxfId="838" priority="74" operator="containsText" text="중단">
      <formula>NOT(ISERROR(SEARCH("중단",D10)))</formula>
    </cfRule>
  </conditionalFormatting>
  <conditionalFormatting sqref="I10 G10">
    <cfRule type="containsText" dxfId="837" priority="71" operator="containsText" text="신품">
      <formula>NOT(ISERROR(SEARCH("신품",G10)))</formula>
    </cfRule>
    <cfRule type="containsText" dxfId="836" priority="72" operator="containsText" text="중고">
      <formula>NOT(ISERROR(SEARCH("중고",G10)))</formula>
    </cfRule>
  </conditionalFormatting>
  <conditionalFormatting sqref="J10">
    <cfRule type="containsText" dxfId="835" priority="69" operator="containsText" text="신품">
      <formula>NOT(ISERROR(SEARCH("신품",J10)))</formula>
    </cfRule>
    <cfRule type="containsText" dxfId="834" priority="70" operator="containsText" text="중고">
      <formula>NOT(ISERROR(SEARCH("중고",J10)))</formula>
    </cfRule>
  </conditionalFormatting>
  <conditionalFormatting sqref="D11:D15">
    <cfRule type="containsText" dxfId="833" priority="67" operator="containsText" text="완료">
      <formula>NOT(ISERROR(SEARCH("완료",D11)))</formula>
    </cfRule>
    <cfRule type="containsText" dxfId="832" priority="68" operator="containsText" text="중단">
      <formula>NOT(ISERROR(SEARCH("중단",D11)))</formula>
    </cfRule>
  </conditionalFormatting>
  <conditionalFormatting sqref="I11">
    <cfRule type="containsText" dxfId="831" priority="65" operator="containsText" text="신품">
      <formula>NOT(ISERROR(SEARCH("신품",I11)))</formula>
    </cfRule>
    <cfRule type="containsText" dxfId="830" priority="66" operator="containsText" text="중고">
      <formula>NOT(ISERROR(SEARCH("중고",I11)))</formula>
    </cfRule>
  </conditionalFormatting>
  <conditionalFormatting sqref="D12:D15">
    <cfRule type="containsText" dxfId="827" priority="61" operator="containsText" text="완료">
      <formula>NOT(ISERROR(SEARCH("완료",D12)))</formula>
    </cfRule>
    <cfRule type="containsText" dxfId="826" priority="62" operator="containsText" text="중단">
      <formula>NOT(ISERROR(SEARCH("중단",D12)))</formula>
    </cfRule>
  </conditionalFormatting>
  <conditionalFormatting sqref="G17:G22 I12:I22">
    <cfRule type="containsText" dxfId="825" priority="59" operator="containsText" text="신품">
      <formula>NOT(ISERROR(SEARCH("신품",G12)))</formula>
    </cfRule>
    <cfRule type="containsText" dxfId="824" priority="60" operator="containsText" text="중고">
      <formula>NOT(ISERROR(SEARCH("중고",G12)))</formula>
    </cfRule>
  </conditionalFormatting>
  <conditionalFormatting sqref="J17:J22">
    <cfRule type="containsText" dxfId="823" priority="57" operator="containsText" text="신품">
      <formula>NOT(ISERROR(SEARCH("신품",J17)))</formula>
    </cfRule>
    <cfRule type="containsText" dxfId="822" priority="58" operator="containsText" text="중고">
      <formula>NOT(ISERROR(SEARCH("중고",J17)))</formula>
    </cfRule>
  </conditionalFormatting>
  <conditionalFormatting sqref="D23 D7:D15">
    <cfRule type="containsText" dxfId="821" priority="56" operator="containsText" text="진행중">
      <formula>NOT(ISERROR(SEARCH("진행중",D7)))</formula>
    </cfRule>
  </conditionalFormatting>
  <conditionalFormatting sqref="D16:D22">
    <cfRule type="containsText" dxfId="656" priority="49" operator="containsText" text="완료">
      <formula>NOT(ISERROR(SEARCH("완료",D16)))</formula>
    </cfRule>
    <cfRule type="containsText" dxfId="655" priority="50" operator="containsText" text="중단">
      <formula>NOT(ISERROR(SEARCH("중단",D16)))</formula>
    </cfRule>
  </conditionalFormatting>
  <conditionalFormatting sqref="D16:D22">
    <cfRule type="containsText" dxfId="654" priority="47" operator="containsText" text="완료">
      <formula>NOT(ISERROR(SEARCH("완료",D16)))</formula>
    </cfRule>
    <cfRule type="containsText" dxfId="653" priority="48" operator="containsText" text="중단">
      <formula>NOT(ISERROR(SEARCH("중단",D16)))</formula>
    </cfRule>
  </conditionalFormatting>
  <conditionalFormatting sqref="D16:D22">
    <cfRule type="containsText" dxfId="652" priority="46" operator="containsText" text="진행중">
      <formula>NOT(ISERROR(SEARCH("진행중",D16)))</formula>
    </cfRule>
  </conditionalFormatting>
  <conditionalFormatting sqref="L8 L10 L12 L14">
    <cfRule type="containsText" dxfId="69" priority="39" operator="containsText" text="완료">
      <formula>NOT(ISERROR(SEARCH("완료",L8)))</formula>
    </cfRule>
    <cfRule type="containsText" dxfId="68" priority="40" operator="containsText" text="중단">
      <formula>NOT(ISERROR(SEARCH("중단",L8)))</formula>
    </cfRule>
  </conditionalFormatting>
  <conditionalFormatting sqref="L8 L10 L12 L14">
    <cfRule type="containsText" dxfId="67" priority="37" operator="containsText" text="완료">
      <formula>NOT(ISERROR(SEARCH("완료",L8)))</formula>
    </cfRule>
    <cfRule type="containsText" dxfId="66" priority="38" operator="containsText" text="중단">
      <formula>NOT(ISERROR(SEARCH("중단",L8)))</formula>
    </cfRule>
  </conditionalFormatting>
  <conditionalFormatting sqref="L8 L10 L12 L14">
    <cfRule type="containsText" dxfId="65" priority="36" operator="containsText" text="진행중">
      <formula>NOT(ISERROR(SEARCH("진행중",L8)))</formula>
    </cfRule>
  </conditionalFormatting>
  <conditionalFormatting sqref="M8 M10 M12 M14">
    <cfRule type="containsText" dxfId="64" priority="34" operator="containsText" text="완료">
      <formula>NOT(ISERROR(SEARCH("완료",M8)))</formula>
    </cfRule>
    <cfRule type="containsText" dxfId="63" priority="35" operator="containsText" text="중단">
      <formula>NOT(ISERROR(SEARCH("중단",M8)))</formula>
    </cfRule>
  </conditionalFormatting>
  <conditionalFormatting sqref="M8 M10 M12 M14">
    <cfRule type="containsText" dxfId="62" priority="32" operator="containsText" text="완료">
      <formula>NOT(ISERROR(SEARCH("완료",M8)))</formula>
    </cfRule>
    <cfRule type="containsText" dxfId="61" priority="33" operator="containsText" text="중단">
      <formula>NOT(ISERROR(SEARCH("중단",M8)))</formula>
    </cfRule>
  </conditionalFormatting>
  <conditionalFormatting sqref="M8 M10 M12 M14">
    <cfRule type="containsText" dxfId="60" priority="31" operator="containsText" text="진행중">
      <formula>NOT(ISERROR(SEARCH("진행중",M8)))</formula>
    </cfRule>
  </conditionalFormatting>
  <conditionalFormatting sqref="G12:G16">
    <cfRule type="containsText" dxfId="34" priority="24" operator="containsText" text="완료">
      <formula>NOT(ISERROR(SEARCH("완료",G12)))</formula>
    </cfRule>
    <cfRule type="containsText" dxfId="33" priority="25" operator="containsText" text="중단">
      <formula>NOT(ISERROR(SEARCH("중단",G12)))</formula>
    </cfRule>
  </conditionalFormatting>
  <conditionalFormatting sqref="G12:G16">
    <cfRule type="containsText" dxfId="32" priority="22" operator="containsText" text="완료">
      <formula>NOT(ISERROR(SEARCH("완료",G12)))</formula>
    </cfRule>
    <cfRule type="containsText" dxfId="31" priority="23" operator="containsText" text="중단">
      <formula>NOT(ISERROR(SEARCH("중단",G12)))</formula>
    </cfRule>
  </conditionalFormatting>
  <conditionalFormatting sqref="G12:G16">
    <cfRule type="containsText" dxfId="30" priority="21" operator="containsText" text="진행중">
      <formula>NOT(ISERROR(SEARCH("진행중",G12)))</formula>
    </cfRule>
  </conditionalFormatting>
  <conditionalFormatting sqref="G11">
    <cfRule type="containsText" dxfId="29" priority="19" operator="containsText" text="완료">
      <formula>NOT(ISERROR(SEARCH("완료",G11)))</formula>
    </cfRule>
    <cfRule type="containsText" dxfId="28" priority="20" operator="containsText" text="중단">
      <formula>NOT(ISERROR(SEARCH("중단",G11)))</formula>
    </cfRule>
  </conditionalFormatting>
  <conditionalFormatting sqref="G11">
    <cfRule type="containsText" dxfId="27" priority="17" operator="containsText" text="완료">
      <formula>NOT(ISERROR(SEARCH("완료",G11)))</formula>
    </cfRule>
    <cfRule type="containsText" dxfId="26" priority="18" operator="containsText" text="중단">
      <formula>NOT(ISERROR(SEARCH("중단",G11)))</formula>
    </cfRule>
  </conditionalFormatting>
  <conditionalFormatting sqref="G11">
    <cfRule type="containsText" dxfId="25" priority="16" operator="containsText" text="진행중">
      <formula>NOT(ISERROR(SEARCH("진행중",G11)))</formula>
    </cfRule>
  </conditionalFormatting>
  <conditionalFormatting sqref="J12:J16">
    <cfRule type="containsText" dxfId="24" priority="14" operator="containsText" text="완료">
      <formula>NOT(ISERROR(SEARCH("완료",J12)))</formula>
    </cfRule>
    <cfRule type="containsText" dxfId="23" priority="15" operator="containsText" text="중단">
      <formula>NOT(ISERROR(SEARCH("중단",J12)))</formula>
    </cfRule>
  </conditionalFormatting>
  <conditionalFormatting sqref="J12:J16">
    <cfRule type="containsText" dxfId="22" priority="12" operator="containsText" text="완료">
      <formula>NOT(ISERROR(SEARCH("완료",J12)))</formula>
    </cfRule>
    <cfRule type="containsText" dxfId="21" priority="13" operator="containsText" text="중단">
      <formula>NOT(ISERROR(SEARCH("중단",J12)))</formula>
    </cfRule>
  </conditionalFormatting>
  <conditionalFormatting sqref="J12:J16">
    <cfRule type="containsText" dxfId="20" priority="11" operator="containsText" text="진행중">
      <formula>NOT(ISERROR(SEARCH("진행중",J12)))</formula>
    </cfRule>
  </conditionalFormatting>
  <conditionalFormatting sqref="J11">
    <cfRule type="containsText" dxfId="19" priority="9" operator="containsText" text="완료">
      <formula>NOT(ISERROR(SEARCH("완료",J11)))</formula>
    </cfRule>
    <cfRule type="containsText" dxfId="18" priority="10" operator="containsText" text="중단">
      <formula>NOT(ISERROR(SEARCH("중단",J11)))</formula>
    </cfRule>
  </conditionalFormatting>
  <conditionalFormatting sqref="J11">
    <cfRule type="containsText" dxfId="17" priority="7" operator="containsText" text="완료">
      <formula>NOT(ISERROR(SEARCH("완료",J11)))</formula>
    </cfRule>
    <cfRule type="containsText" dxfId="16" priority="8" operator="containsText" text="중단">
      <formula>NOT(ISERROR(SEARCH("중단",J11)))</formula>
    </cfRule>
  </conditionalFormatting>
  <conditionalFormatting sqref="J11">
    <cfRule type="containsText" dxfId="15" priority="6" operator="containsText" text="진행중">
      <formula>NOT(ISERROR(SEARCH("진행중",J11)))</formula>
    </cfRule>
  </conditionalFormatting>
  <conditionalFormatting sqref="N8:O8 N10:O10 N12:O12 N14:O14 N16:O16">
    <cfRule type="containsText" dxfId="9" priority="4" operator="containsText" text="완료">
      <formula>NOT(ISERROR(SEARCH("완료",N8)))</formula>
    </cfRule>
    <cfRule type="containsText" dxfId="8" priority="5" operator="containsText" text="중단">
      <formula>NOT(ISERROR(SEARCH("중단",N8)))</formula>
    </cfRule>
  </conditionalFormatting>
  <conditionalFormatting sqref="N8:O8 N10:O10 N12:O12 N14:O14 N16:O16">
    <cfRule type="containsText" dxfId="7" priority="2" operator="containsText" text="완료">
      <formula>NOT(ISERROR(SEARCH("완료",N8)))</formula>
    </cfRule>
    <cfRule type="containsText" dxfId="6" priority="3" operator="containsText" text="중단">
      <formula>NOT(ISERROR(SEARCH("중단",N8)))</formula>
    </cfRule>
  </conditionalFormatting>
  <conditionalFormatting sqref="N8:O8 N10:O10 N12:O12 N14:O14 N16:O16">
    <cfRule type="containsText" dxfId="5" priority="1" operator="containsText" text="진행중">
      <formula>NOT(ISERROR(SEARCH("진행중",N8)))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94F31-0379-4494-BB4C-8AC6519F2189}">
  <sheetPr>
    <tabColor theme="0" tint="-0.249977111117893"/>
  </sheetPr>
  <dimension ref="A1:AQ23"/>
  <sheetViews>
    <sheetView zoomScale="55" zoomScaleNormal="55" workbookViewId="0">
      <selection activeCell="P7" sqref="P7:P8"/>
    </sheetView>
  </sheetViews>
  <sheetFormatPr defaultRowHeight="17" x14ac:dyDescent="0.45"/>
  <cols>
    <col min="1" max="1" width="11.33203125" bestFit="1" customWidth="1"/>
    <col min="2" max="2" width="11.4140625" style="5" customWidth="1"/>
    <col min="3" max="3" width="44.1640625" customWidth="1"/>
    <col min="4" max="4" width="12.9140625" style="5" bestFit="1" customWidth="1"/>
    <col min="5" max="5" width="23.83203125" customWidth="1"/>
    <col min="6" max="6" width="16.75" customWidth="1"/>
    <col min="7" max="10" width="8.33203125" bestFit="1" customWidth="1"/>
    <col min="11" max="11" width="2.9140625" hidden="1" customWidth="1"/>
    <col min="12" max="13" width="16.33203125" bestFit="1" customWidth="1"/>
    <col min="14" max="14" width="16.5" customWidth="1"/>
    <col min="15" max="15" width="16.33203125" bestFit="1" customWidth="1"/>
    <col min="16" max="16" width="16.33203125" customWidth="1"/>
    <col min="17" max="17" width="28.5" hidden="1" customWidth="1"/>
    <col min="18" max="21" width="14.75" customWidth="1"/>
    <col min="24" max="29" width="9.1640625" customWidth="1"/>
    <col min="30" max="30" width="20.6640625" customWidth="1"/>
    <col min="31" max="31" width="35" customWidth="1"/>
    <col min="32" max="32" width="44.1640625" customWidth="1"/>
    <col min="33" max="33" width="89.25" customWidth="1"/>
    <col min="34" max="34" width="88.6640625" customWidth="1"/>
    <col min="37" max="37" width="22.58203125" bestFit="1" customWidth="1"/>
    <col min="38" max="38" width="34.83203125" customWidth="1"/>
  </cols>
  <sheetData>
    <row r="1" spans="1:43" ht="62.5" customHeight="1" x14ac:dyDescent="0.45">
      <c r="A1" s="49" t="s">
        <v>19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</row>
    <row r="2" spans="1:43" x14ac:dyDescent="0.45">
      <c r="A2" s="54" t="s">
        <v>11</v>
      </c>
      <c r="B2" s="55" t="s">
        <v>92</v>
      </c>
      <c r="C2" s="56"/>
      <c r="D2" s="56"/>
      <c r="E2" s="56"/>
      <c r="F2" s="57"/>
      <c r="G2" s="54" t="s">
        <v>111</v>
      </c>
      <c r="H2" s="54"/>
      <c r="I2" s="54"/>
      <c r="J2" s="54"/>
      <c r="K2" s="54"/>
      <c r="L2" s="54"/>
      <c r="M2" s="54"/>
      <c r="N2" s="54"/>
      <c r="O2" s="54"/>
      <c r="P2" s="54"/>
      <c r="Q2" s="55" t="s">
        <v>26</v>
      </c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7"/>
      <c r="AG2" s="55" t="s">
        <v>10</v>
      </c>
      <c r="AH2" s="57"/>
    </row>
    <row r="3" spans="1:43" x14ac:dyDescent="0.45">
      <c r="A3" s="54"/>
      <c r="B3" s="61"/>
      <c r="C3" s="64"/>
      <c r="D3" s="64"/>
      <c r="E3" s="64"/>
      <c r="F3" s="62"/>
      <c r="G3" s="54"/>
      <c r="H3" s="54"/>
      <c r="I3" s="54"/>
      <c r="J3" s="54"/>
      <c r="K3" s="54"/>
      <c r="L3" s="54"/>
      <c r="M3" s="54"/>
      <c r="N3" s="54"/>
      <c r="O3" s="54"/>
      <c r="P3" s="54"/>
      <c r="Q3" s="58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60"/>
      <c r="AG3" s="61"/>
      <c r="AH3" s="62"/>
    </row>
    <row r="4" spans="1:43" x14ac:dyDescent="0.45">
      <c r="A4" s="54"/>
      <c r="B4" s="61"/>
      <c r="C4" s="64"/>
      <c r="D4" s="64"/>
      <c r="E4" s="64"/>
      <c r="F4" s="62"/>
      <c r="G4" s="54"/>
      <c r="H4" s="54"/>
      <c r="I4" s="54"/>
      <c r="J4" s="54"/>
      <c r="K4" s="54"/>
      <c r="L4" s="54"/>
      <c r="M4" s="54"/>
      <c r="N4" s="54"/>
      <c r="O4" s="54"/>
      <c r="P4" s="54"/>
      <c r="Q4" s="23"/>
      <c r="R4" s="52" t="s">
        <v>33</v>
      </c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3"/>
      <c r="AE4" s="12" t="s">
        <v>34</v>
      </c>
      <c r="AF4" s="12" t="s">
        <v>35</v>
      </c>
      <c r="AG4" s="61"/>
      <c r="AH4" s="62"/>
    </row>
    <row r="5" spans="1:43" x14ac:dyDescent="0.45">
      <c r="A5" s="54"/>
      <c r="B5" s="58"/>
      <c r="C5" s="59"/>
      <c r="D5" s="59"/>
      <c r="E5" s="59"/>
      <c r="F5" s="60"/>
      <c r="G5" s="63" t="s">
        <v>36</v>
      </c>
      <c r="H5" s="63"/>
      <c r="I5" s="63"/>
      <c r="J5" s="63"/>
      <c r="K5" s="42"/>
      <c r="L5" s="58" t="s">
        <v>94</v>
      </c>
      <c r="M5" s="59"/>
      <c r="N5" s="59"/>
      <c r="O5" s="60"/>
      <c r="P5" s="43" t="s">
        <v>93</v>
      </c>
      <c r="Q5" s="21" t="s">
        <v>30</v>
      </c>
      <c r="R5" s="51" t="s">
        <v>44</v>
      </c>
      <c r="S5" s="52"/>
      <c r="T5" s="52"/>
      <c r="U5" s="53"/>
      <c r="V5" s="51" t="s">
        <v>20</v>
      </c>
      <c r="W5" s="52"/>
      <c r="X5" s="52"/>
      <c r="Y5" s="53"/>
      <c r="Z5" s="65" t="s">
        <v>123</v>
      </c>
      <c r="AA5" s="54"/>
      <c r="AB5" s="54"/>
      <c r="AC5" s="54"/>
      <c r="AD5" s="54"/>
      <c r="AE5" s="14"/>
      <c r="AF5" s="12"/>
      <c r="AG5" s="61"/>
      <c r="AH5" s="62"/>
    </row>
    <row r="6" spans="1:43" x14ac:dyDescent="0.45">
      <c r="A6" s="22" t="s">
        <v>27</v>
      </c>
      <c r="B6" s="22" t="s">
        <v>3</v>
      </c>
      <c r="C6" s="41" t="s">
        <v>31</v>
      </c>
      <c r="D6" s="41" t="s">
        <v>21</v>
      </c>
      <c r="E6" s="41" t="s">
        <v>124</v>
      </c>
      <c r="F6" s="41" t="s">
        <v>9</v>
      </c>
      <c r="G6" s="22" t="s">
        <v>4</v>
      </c>
      <c r="H6" s="22" t="s">
        <v>13</v>
      </c>
      <c r="I6" s="22" t="s">
        <v>14</v>
      </c>
      <c r="J6" s="22" t="s">
        <v>5</v>
      </c>
      <c r="K6" s="22" t="s">
        <v>16</v>
      </c>
      <c r="L6" s="22" t="s">
        <v>22</v>
      </c>
      <c r="M6" s="22" t="s">
        <v>23</v>
      </c>
      <c r="N6" s="22" t="s">
        <v>28</v>
      </c>
      <c r="O6" s="22" t="s">
        <v>24</v>
      </c>
      <c r="P6" s="22" t="s">
        <v>29</v>
      </c>
      <c r="Q6" s="22" t="s">
        <v>25</v>
      </c>
      <c r="R6" s="22" t="s">
        <v>4</v>
      </c>
      <c r="S6" s="22" t="s">
        <v>13</v>
      </c>
      <c r="T6" s="22" t="s">
        <v>14</v>
      </c>
      <c r="U6" s="22" t="s">
        <v>5</v>
      </c>
      <c r="V6" s="22" t="s">
        <v>4</v>
      </c>
      <c r="W6" s="22" t="s">
        <v>13</v>
      </c>
      <c r="X6" s="22" t="s">
        <v>14</v>
      </c>
      <c r="Y6" s="22" t="s">
        <v>5</v>
      </c>
      <c r="Z6" s="22" t="s">
        <v>4</v>
      </c>
      <c r="AA6" s="22" t="s">
        <v>13</v>
      </c>
      <c r="AB6" s="22" t="s">
        <v>14</v>
      </c>
      <c r="AC6" s="22" t="s">
        <v>5</v>
      </c>
      <c r="AD6" s="22" t="s">
        <v>39</v>
      </c>
      <c r="AE6" s="15" t="s">
        <v>37</v>
      </c>
      <c r="AF6" s="13" t="s">
        <v>38</v>
      </c>
      <c r="AG6" s="58"/>
      <c r="AH6" s="60"/>
      <c r="AM6" s="1"/>
      <c r="AN6" s="1"/>
      <c r="AO6" s="1"/>
      <c r="AP6" s="1"/>
      <c r="AQ6" s="1"/>
    </row>
    <row r="7" spans="1:43" x14ac:dyDescent="0.45">
      <c r="A7" s="4">
        <v>45971</v>
      </c>
      <c r="B7" s="25">
        <v>1</v>
      </c>
      <c r="C7" s="8" t="str">
        <f t="shared" ref="C7:C14" si="0">IF(B7="","",
  IF(MOD($B7,1)=0,
    "Dimensions: L W H",
    "-"
  )
)</f>
        <v>Dimensions: L W H</v>
      </c>
      <c r="D7" s="7" t="s">
        <v>129</v>
      </c>
      <c r="E7" s="1">
        <v>21</v>
      </c>
      <c r="F7" s="3"/>
      <c r="G7" s="91" t="s">
        <v>40</v>
      </c>
      <c r="H7" s="25" t="s">
        <v>17</v>
      </c>
      <c r="I7" s="25" t="s">
        <v>17</v>
      </c>
      <c r="J7" s="91" t="s">
        <v>40</v>
      </c>
      <c r="K7" s="1"/>
      <c r="L7" s="25" t="s">
        <v>15</v>
      </c>
      <c r="M7" s="25" t="s">
        <v>2</v>
      </c>
      <c r="N7" s="25">
        <v>160</v>
      </c>
      <c r="O7" s="25" t="s">
        <v>17</v>
      </c>
      <c r="P7" s="25">
        <f>IF(LEN(A7)&gt;0, 종합!$C$27, "")</f>
        <v>2.2599999999999998</v>
      </c>
      <c r="Q7" s="1" t="s">
        <v>17</v>
      </c>
      <c r="R7" s="8" t="str">
        <f t="shared" ref="R7:U10" si="1">IF(MOD($B7,5)=0, "스핀들유격: ","-" )</f>
        <v>-</v>
      </c>
      <c r="S7" s="8" t="str">
        <f t="shared" si="1"/>
        <v>-</v>
      </c>
      <c r="T7" s="8" t="str">
        <f t="shared" si="1"/>
        <v>-</v>
      </c>
      <c r="U7" s="8" t="str">
        <f t="shared" si="1"/>
        <v>-</v>
      </c>
      <c r="V7" s="8" t="str">
        <f t="shared" ref="V7:AC10" si="2">IF(MOD($B7,5)=0, "000-000","-" )</f>
        <v>-</v>
      </c>
      <c r="W7" s="8" t="str">
        <f t="shared" si="2"/>
        <v>-</v>
      </c>
      <c r="X7" s="8" t="str">
        <f t="shared" si="2"/>
        <v>-</v>
      </c>
      <c r="Y7" s="8" t="str">
        <f t="shared" si="2"/>
        <v>-</v>
      </c>
      <c r="Z7" s="8" t="str">
        <f t="shared" si="2"/>
        <v>-</v>
      </c>
      <c r="AA7" s="8" t="str">
        <f t="shared" si="2"/>
        <v>-</v>
      </c>
      <c r="AB7" s="8" t="str">
        <f t="shared" si="2"/>
        <v>-</v>
      </c>
      <c r="AC7" s="8" t="str">
        <f t="shared" si="2"/>
        <v>-</v>
      </c>
      <c r="AD7" s="8" t="str">
        <f>IF(MOD($B7,5)=0, "스핀들소음 :","-" )</f>
        <v>-</v>
      </c>
      <c r="AE7" s="8" t="str">
        <f t="shared" ref="AE7:AE14" si="3">IF(MOD($B7,40)=0, "필터세척 :"&amp; CHAR(10) &amp; "FLOW   (T1, T4 : / T2, T3 : / T4 : )","-" )</f>
        <v>-</v>
      </c>
      <c r="AF7" s="8" t="str">
        <f>IF($B7="","",
  IF(MOD($B7,160)=0,
    "TENSION (XL : / ZL : / XR : / ZR : / Y : )" &amp; CHAR(10) &amp;
    "필터교체",
    "-"
  )
)</f>
        <v>-</v>
      </c>
      <c r="AG7" s="1" t="s">
        <v>17</v>
      </c>
      <c r="AH7" s="1" t="s">
        <v>17</v>
      </c>
    </row>
    <row r="8" spans="1:43" x14ac:dyDescent="0.45">
      <c r="A8" s="4">
        <v>45971</v>
      </c>
      <c r="B8" s="25">
        <f>IF(NOT(LEN(A8)=0),B7+1,"")</f>
        <v>2</v>
      </c>
      <c r="C8" s="8" t="str">
        <f t="shared" si="0"/>
        <v>Dimensions: L W H</v>
      </c>
      <c r="D8" s="7" t="s">
        <v>129</v>
      </c>
      <c r="E8" s="1">
        <v>21</v>
      </c>
      <c r="F8" s="3"/>
      <c r="G8" s="91" t="s">
        <v>40</v>
      </c>
      <c r="H8" s="25" t="s">
        <v>17</v>
      </c>
      <c r="I8" s="25" t="s">
        <v>17</v>
      </c>
      <c r="J8" s="91" t="s">
        <v>40</v>
      </c>
      <c r="K8" s="1"/>
      <c r="L8" s="92" t="str">
        <f t="shared" ref="L8:P8" si="4">IF(NOT(LEN($J8)=0),L7,"")</f>
        <v>VITA</v>
      </c>
      <c r="M8" s="92" t="str">
        <f t="shared" si="4"/>
        <v>MARK II</v>
      </c>
      <c r="N8" s="92">
        <f t="shared" si="4"/>
        <v>160</v>
      </c>
      <c r="O8" s="92" t="str">
        <f t="shared" si="4"/>
        <v>-</v>
      </c>
      <c r="P8" s="25">
        <f>IF(LEN(A8)&gt;0, 종합!$C$27, "")</f>
        <v>2.2599999999999998</v>
      </c>
      <c r="Q8" s="1" t="s">
        <v>17</v>
      </c>
      <c r="R8" s="8" t="str">
        <f t="shared" si="1"/>
        <v>-</v>
      </c>
      <c r="S8" s="8" t="str">
        <f t="shared" si="1"/>
        <v>-</v>
      </c>
      <c r="T8" s="8" t="str">
        <f t="shared" si="1"/>
        <v>-</v>
      </c>
      <c r="U8" s="8" t="str">
        <f t="shared" si="1"/>
        <v>-</v>
      </c>
      <c r="V8" s="8" t="str">
        <f t="shared" si="2"/>
        <v>-</v>
      </c>
      <c r="W8" s="8" t="str">
        <f t="shared" si="2"/>
        <v>-</v>
      </c>
      <c r="X8" s="8" t="str">
        <f t="shared" si="2"/>
        <v>-</v>
      </c>
      <c r="Y8" s="8" t="str">
        <f t="shared" si="2"/>
        <v>-</v>
      </c>
      <c r="Z8" s="8" t="str">
        <f t="shared" si="2"/>
        <v>-</v>
      </c>
      <c r="AA8" s="8" t="str">
        <f t="shared" si="2"/>
        <v>-</v>
      </c>
      <c r="AB8" s="8" t="str">
        <f t="shared" si="2"/>
        <v>-</v>
      </c>
      <c r="AC8" s="8" t="str">
        <f t="shared" si="2"/>
        <v>-</v>
      </c>
      <c r="AD8" s="8" t="str">
        <f>IF(MOD($B8,5)=0, "스핀들소음 :","-" )</f>
        <v>-</v>
      </c>
      <c r="AE8" s="8" t="str">
        <f t="shared" si="3"/>
        <v>-</v>
      </c>
      <c r="AF8" s="8" t="str">
        <f t="shared" ref="AF8:AF13" si="5">IF($B8="","",
  IF(MOD(B8,160)=0,
    "TENSION (XL : / ZL : / XR : / ZR : / Y : )" &amp; CHAR(10) &amp;
    "필터교체",
    "-"
  )
)</f>
        <v>-</v>
      </c>
      <c r="AG8" s="1" t="s">
        <v>17</v>
      </c>
      <c r="AH8" s="1" t="s">
        <v>17</v>
      </c>
    </row>
    <row r="9" spans="1:43" x14ac:dyDescent="0.45">
      <c r="A9" s="4">
        <v>45971</v>
      </c>
      <c r="B9" s="25">
        <f>IF(NOT(LEN(A9)=0),B8+1,"")</f>
        <v>3</v>
      </c>
      <c r="C9" s="8" t="str">
        <f t="shared" si="0"/>
        <v>Dimensions: L W H</v>
      </c>
      <c r="D9" s="7" t="s">
        <v>129</v>
      </c>
      <c r="E9" s="1">
        <v>21</v>
      </c>
      <c r="F9" s="3"/>
      <c r="G9" s="91" t="s">
        <v>40</v>
      </c>
      <c r="H9" s="25" t="s">
        <v>17</v>
      </c>
      <c r="I9" s="25" t="s">
        <v>17</v>
      </c>
      <c r="J9" s="91" t="s">
        <v>40</v>
      </c>
      <c r="K9" s="1"/>
      <c r="L9" s="25" t="s">
        <v>15</v>
      </c>
      <c r="M9" s="25" t="s">
        <v>2</v>
      </c>
      <c r="N9" s="25">
        <v>161</v>
      </c>
      <c r="O9" s="25" t="s">
        <v>17</v>
      </c>
      <c r="P9" s="25">
        <f>IF(LEN(A9)&gt;0, 종합!$C$27, "")</f>
        <v>2.2599999999999998</v>
      </c>
      <c r="Q9" s="1" t="s">
        <v>17</v>
      </c>
      <c r="R9" s="8" t="str">
        <f t="shared" si="1"/>
        <v>-</v>
      </c>
      <c r="S9" s="8" t="str">
        <f t="shared" si="1"/>
        <v>-</v>
      </c>
      <c r="T9" s="8" t="str">
        <f t="shared" si="1"/>
        <v>-</v>
      </c>
      <c r="U9" s="8" t="str">
        <f t="shared" si="1"/>
        <v>-</v>
      </c>
      <c r="V9" s="8" t="str">
        <f t="shared" si="2"/>
        <v>-</v>
      </c>
      <c r="W9" s="8" t="str">
        <f t="shared" si="2"/>
        <v>-</v>
      </c>
      <c r="X9" s="8" t="str">
        <f t="shared" si="2"/>
        <v>-</v>
      </c>
      <c r="Y9" s="8" t="str">
        <f t="shared" si="2"/>
        <v>-</v>
      </c>
      <c r="Z9" s="8" t="str">
        <f t="shared" si="2"/>
        <v>-</v>
      </c>
      <c r="AA9" s="8" t="str">
        <f t="shared" si="2"/>
        <v>-</v>
      </c>
      <c r="AB9" s="8" t="str">
        <f t="shared" si="2"/>
        <v>-</v>
      </c>
      <c r="AC9" s="8" t="str">
        <f t="shared" si="2"/>
        <v>-</v>
      </c>
      <c r="AD9" s="8" t="str">
        <f>IF(MOD($B9,5)=0, "스핀들소음 :","-" )</f>
        <v>-</v>
      </c>
      <c r="AE9" s="8" t="str">
        <f t="shared" si="3"/>
        <v>-</v>
      </c>
      <c r="AF9" s="8" t="str">
        <f t="shared" si="5"/>
        <v>-</v>
      </c>
      <c r="AG9" s="1" t="s">
        <v>17</v>
      </c>
      <c r="AH9" s="1" t="s">
        <v>17</v>
      </c>
    </row>
    <row r="10" spans="1:43" x14ac:dyDescent="0.45">
      <c r="A10" s="4">
        <v>45971</v>
      </c>
      <c r="B10" s="25">
        <f>IF(NOT(LEN(A10)=0),B9+1,"")</f>
        <v>4</v>
      </c>
      <c r="C10" s="8" t="str">
        <f t="shared" si="0"/>
        <v>Dimensions: L W H</v>
      </c>
      <c r="D10" s="7" t="s">
        <v>129</v>
      </c>
      <c r="E10" s="1">
        <v>21</v>
      </c>
      <c r="F10" s="3"/>
      <c r="G10" s="91" t="s">
        <v>40</v>
      </c>
      <c r="H10" s="25" t="s">
        <v>17</v>
      </c>
      <c r="I10" s="25" t="s">
        <v>17</v>
      </c>
      <c r="J10" s="91" t="s">
        <v>40</v>
      </c>
      <c r="K10" s="1"/>
      <c r="L10" s="92" t="str">
        <f t="shared" ref="L10:L15" si="6">IF(NOT(LEN($J10)=0),L9,"")</f>
        <v>VITA</v>
      </c>
      <c r="M10" s="92" t="str">
        <f t="shared" ref="M10:M15" si="7">IF(NOT(LEN($J10)=0),M9,"")</f>
        <v>MARK II</v>
      </c>
      <c r="N10" s="92">
        <f t="shared" ref="N10:N16" si="8">IF(NOT(LEN($J10)=0),N9,"")</f>
        <v>161</v>
      </c>
      <c r="O10" s="92" t="str">
        <f t="shared" ref="O10:O16" si="9">IF(NOT(LEN($J10)=0),O9,"")</f>
        <v>-</v>
      </c>
      <c r="P10" s="25">
        <f>IF(LEN(A10)&gt;0, 종합!$C$27, "")</f>
        <v>2.2599999999999998</v>
      </c>
      <c r="Q10" s="1" t="s">
        <v>17</v>
      </c>
      <c r="R10" s="8" t="str">
        <f t="shared" si="1"/>
        <v>-</v>
      </c>
      <c r="S10" s="8" t="str">
        <f t="shared" si="1"/>
        <v>-</v>
      </c>
      <c r="T10" s="8" t="str">
        <f t="shared" si="1"/>
        <v>-</v>
      </c>
      <c r="U10" s="8" t="str">
        <f t="shared" si="1"/>
        <v>-</v>
      </c>
      <c r="V10" s="8" t="str">
        <f t="shared" si="2"/>
        <v>-</v>
      </c>
      <c r="W10" s="8" t="str">
        <f t="shared" si="2"/>
        <v>-</v>
      </c>
      <c r="X10" s="8" t="str">
        <f t="shared" si="2"/>
        <v>-</v>
      </c>
      <c r="Y10" s="8" t="str">
        <f t="shared" si="2"/>
        <v>-</v>
      </c>
      <c r="Z10" s="8" t="str">
        <f t="shared" si="2"/>
        <v>-</v>
      </c>
      <c r="AA10" s="8" t="str">
        <f t="shared" si="2"/>
        <v>-</v>
      </c>
      <c r="AB10" s="8" t="str">
        <f t="shared" si="2"/>
        <v>-</v>
      </c>
      <c r="AC10" s="8" t="str">
        <f t="shared" si="2"/>
        <v>-</v>
      </c>
      <c r="AD10" s="8" t="str">
        <f>IF(MOD($B10,5)=0, "스핀들소음 :","-" )</f>
        <v>-</v>
      </c>
      <c r="AE10" s="8" t="str">
        <f t="shared" si="3"/>
        <v>-</v>
      </c>
      <c r="AF10" s="8" t="str">
        <f t="shared" si="5"/>
        <v>-</v>
      </c>
      <c r="AG10" s="1" t="s">
        <v>17</v>
      </c>
      <c r="AH10" s="1" t="s">
        <v>17</v>
      </c>
    </row>
    <row r="11" spans="1:43" x14ac:dyDescent="0.45">
      <c r="A11" s="4">
        <v>45972</v>
      </c>
      <c r="B11" s="25">
        <f t="shared" ref="B11:B22" si="10">IF(NOT(LEN(A11)=0),B10+1,"")</f>
        <v>5</v>
      </c>
      <c r="C11" s="8" t="str">
        <f t="shared" si="0"/>
        <v>Dimensions: L W H</v>
      </c>
      <c r="D11" s="7" t="s">
        <v>129</v>
      </c>
      <c r="E11" s="1">
        <v>23</v>
      </c>
      <c r="F11" s="3"/>
      <c r="G11" s="94">
        <v>0</v>
      </c>
      <c r="H11" s="25" t="s">
        <v>17</v>
      </c>
      <c r="I11" s="25" t="s">
        <v>17</v>
      </c>
      <c r="J11" s="94">
        <v>0</v>
      </c>
      <c r="K11" s="1"/>
      <c r="L11" s="25" t="s">
        <v>15</v>
      </c>
      <c r="M11" s="25" t="s">
        <v>2</v>
      </c>
      <c r="N11" s="25">
        <v>162</v>
      </c>
      <c r="O11" s="25" t="s">
        <v>17</v>
      </c>
      <c r="P11" s="25">
        <f>IF(LEN(A11)&gt;0, 종합!$C$27, "")</f>
        <v>2.2599999999999998</v>
      </c>
      <c r="Q11" s="1" t="s">
        <v>17</v>
      </c>
      <c r="R11" s="8" t="s">
        <v>45</v>
      </c>
      <c r="S11" s="8" t="s">
        <v>45</v>
      </c>
      <c r="T11" s="8" t="s">
        <v>45</v>
      </c>
      <c r="U11" s="8" t="s">
        <v>45</v>
      </c>
      <c r="V11" s="8" t="s">
        <v>68</v>
      </c>
      <c r="W11" s="8" t="s">
        <v>69</v>
      </c>
      <c r="X11" s="8" t="s">
        <v>70</v>
      </c>
      <c r="Y11" s="8" t="s">
        <v>71</v>
      </c>
      <c r="Z11" s="8" t="s">
        <v>72</v>
      </c>
      <c r="AA11" s="8" t="s">
        <v>73</v>
      </c>
      <c r="AB11" s="8" t="s">
        <v>74</v>
      </c>
      <c r="AC11" s="8" t="s">
        <v>75</v>
      </c>
      <c r="AD11" s="8" t="s">
        <v>67</v>
      </c>
      <c r="AE11" s="8" t="str">
        <f t="shared" si="3"/>
        <v>-</v>
      </c>
      <c r="AF11" s="8" t="str">
        <f t="shared" si="5"/>
        <v>-</v>
      </c>
      <c r="AG11" s="1" t="s">
        <v>17</v>
      </c>
      <c r="AH11" s="1" t="s">
        <v>17</v>
      </c>
    </row>
    <row r="12" spans="1:43" x14ac:dyDescent="0.45">
      <c r="A12" s="4">
        <v>45972</v>
      </c>
      <c r="B12" s="25">
        <f t="shared" si="10"/>
        <v>6</v>
      </c>
      <c r="C12" s="8" t="str">
        <f t="shared" si="0"/>
        <v>Dimensions: L W H</v>
      </c>
      <c r="D12" s="7" t="s">
        <v>129</v>
      </c>
      <c r="E12" s="1">
        <v>21</v>
      </c>
      <c r="F12" s="3"/>
      <c r="G12" s="94">
        <v>1</v>
      </c>
      <c r="H12" s="25" t="s">
        <v>17</v>
      </c>
      <c r="I12" s="25" t="s">
        <v>17</v>
      </c>
      <c r="J12" s="94">
        <v>1</v>
      </c>
      <c r="K12" s="1"/>
      <c r="L12" s="92" t="str">
        <f t="shared" ref="L12:L15" si="11">IF(NOT(LEN($J12)=0),L11,"")</f>
        <v>VITA</v>
      </c>
      <c r="M12" s="92" t="str">
        <f t="shared" ref="M12:M15" si="12">IF(NOT(LEN($J12)=0),M11,"")</f>
        <v>MARK II</v>
      </c>
      <c r="N12" s="92">
        <f t="shared" ref="N12:N16" si="13">IF(NOT(LEN($J12)=0),N11,"")</f>
        <v>162</v>
      </c>
      <c r="O12" s="92" t="str">
        <f t="shared" ref="O12:O16" si="14">IF(NOT(LEN($J12)=0),O11,"")</f>
        <v>-</v>
      </c>
      <c r="P12" s="25">
        <f>IF(LEN(A12)&gt;0, 종합!$C$27, "")</f>
        <v>2.2599999999999998</v>
      </c>
      <c r="Q12" s="1" t="s">
        <v>17</v>
      </c>
      <c r="R12" s="8" t="str">
        <f t="shared" ref="R12:U14" si="15">IF(MOD($B12,5)=0, "스핀들유격: ","-" )</f>
        <v>-</v>
      </c>
      <c r="S12" s="8" t="str">
        <f t="shared" si="15"/>
        <v>-</v>
      </c>
      <c r="T12" s="8" t="str">
        <f t="shared" si="15"/>
        <v>-</v>
      </c>
      <c r="U12" s="8" t="str">
        <f t="shared" si="15"/>
        <v>-</v>
      </c>
      <c r="V12" s="8" t="str">
        <f t="shared" ref="V12:AC14" si="16">IF(MOD($B12,5)=0, "000-000","-" )</f>
        <v>-</v>
      </c>
      <c r="W12" s="8" t="str">
        <f t="shared" si="16"/>
        <v>-</v>
      </c>
      <c r="X12" s="8" t="str">
        <f t="shared" si="16"/>
        <v>-</v>
      </c>
      <c r="Y12" s="8" t="str">
        <f t="shared" si="16"/>
        <v>-</v>
      </c>
      <c r="Z12" s="8" t="str">
        <f t="shared" si="16"/>
        <v>-</v>
      </c>
      <c r="AA12" s="8" t="str">
        <f t="shared" si="16"/>
        <v>-</v>
      </c>
      <c r="AB12" s="8" t="str">
        <f t="shared" si="16"/>
        <v>-</v>
      </c>
      <c r="AC12" s="8" t="str">
        <f t="shared" si="16"/>
        <v>-</v>
      </c>
      <c r="AD12" s="8" t="str">
        <f>IF(MOD($B12,5)=0, "스핀들소음 :","-" )</f>
        <v>-</v>
      </c>
      <c r="AE12" s="8" t="str">
        <f t="shared" si="3"/>
        <v>-</v>
      </c>
      <c r="AF12" s="8" t="str">
        <f t="shared" si="5"/>
        <v>-</v>
      </c>
      <c r="AG12" s="8" t="s">
        <v>99</v>
      </c>
      <c r="AH12" s="1" t="s">
        <v>17</v>
      </c>
    </row>
    <row r="13" spans="1:43" x14ac:dyDescent="0.45">
      <c r="A13" s="4">
        <v>45972</v>
      </c>
      <c r="B13" s="25">
        <f t="shared" si="10"/>
        <v>7</v>
      </c>
      <c r="C13" s="8" t="str">
        <f t="shared" si="0"/>
        <v>Dimensions: L W H</v>
      </c>
      <c r="D13" s="7" t="s">
        <v>129</v>
      </c>
      <c r="E13" s="1">
        <v>21</v>
      </c>
      <c r="F13" s="3"/>
      <c r="G13" s="94">
        <v>2</v>
      </c>
      <c r="H13" s="25" t="s">
        <v>17</v>
      </c>
      <c r="I13" s="25" t="s">
        <v>17</v>
      </c>
      <c r="J13" s="94">
        <v>2</v>
      </c>
      <c r="K13" s="1"/>
      <c r="L13" s="25" t="s">
        <v>15</v>
      </c>
      <c r="M13" s="25" t="s">
        <v>2</v>
      </c>
      <c r="N13" s="25">
        <v>163</v>
      </c>
      <c r="O13" s="25" t="s">
        <v>17</v>
      </c>
      <c r="P13" s="25">
        <f>IF(LEN(A13)&gt;0, 종합!$C$27, "")</f>
        <v>2.2599999999999998</v>
      </c>
      <c r="Q13" s="1" t="s">
        <v>17</v>
      </c>
      <c r="R13" s="8" t="str">
        <f t="shared" si="15"/>
        <v>-</v>
      </c>
      <c r="S13" s="8" t="str">
        <f t="shared" si="15"/>
        <v>-</v>
      </c>
      <c r="T13" s="8" t="str">
        <f t="shared" si="15"/>
        <v>-</v>
      </c>
      <c r="U13" s="8" t="str">
        <f t="shared" si="15"/>
        <v>-</v>
      </c>
      <c r="V13" s="8" t="str">
        <f t="shared" si="16"/>
        <v>-</v>
      </c>
      <c r="W13" s="8" t="str">
        <f t="shared" si="16"/>
        <v>-</v>
      </c>
      <c r="X13" s="8" t="str">
        <f t="shared" si="16"/>
        <v>-</v>
      </c>
      <c r="Y13" s="8" t="str">
        <f t="shared" si="16"/>
        <v>-</v>
      </c>
      <c r="Z13" s="8" t="str">
        <f t="shared" si="16"/>
        <v>-</v>
      </c>
      <c r="AA13" s="8" t="str">
        <f t="shared" si="16"/>
        <v>-</v>
      </c>
      <c r="AB13" s="8" t="str">
        <f t="shared" si="16"/>
        <v>-</v>
      </c>
      <c r="AC13" s="8" t="str">
        <f t="shared" si="16"/>
        <v>-</v>
      </c>
      <c r="AD13" s="8" t="str">
        <f>IF(MOD($B13,5)=0, "스핀들소음 :","-" )</f>
        <v>-</v>
      </c>
      <c r="AE13" s="8" t="str">
        <f t="shared" si="3"/>
        <v>-</v>
      </c>
      <c r="AF13" s="8" t="str">
        <f t="shared" si="5"/>
        <v>-</v>
      </c>
      <c r="AG13" s="8" t="s">
        <v>99</v>
      </c>
      <c r="AH13" s="1" t="s">
        <v>17</v>
      </c>
    </row>
    <row r="14" spans="1:43" x14ac:dyDescent="0.45">
      <c r="A14" s="4">
        <v>45973</v>
      </c>
      <c r="B14" s="25">
        <f t="shared" si="10"/>
        <v>8</v>
      </c>
      <c r="C14" s="8" t="str">
        <f t="shared" si="0"/>
        <v>Dimensions: L W H</v>
      </c>
      <c r="D14" s="7" t="s">
        <v>129</v>
      </c>
      <c r="E14" s="1">
        <v>23</v>
      </c>
      <c r="F14" s="3"/>
      <c r="G14" s="94">
        <v>3</v>
      </c>
      <c r="H14" s="25" t="s">
        <v>17</v>
      </c>
      <c r="I14" s="25" t="s">
        <v>17</v>
      </c>
      <c r="J14" s="94">
        <v>3</v>
      </c>
      <c r="K14" s="1"/>
      <c r="L14" s="92" t="str">
        <f t="shared" ref="L14:L15" si="17">IF(NOT(LEN($J14)=0),L13,"")</f>
        <v>VITA</v>
      </c>
      <c r="M14" s="92" t="str">
        <f t="shared" ref="M14:M15" si="18">IF(NOT(LEN($J14)=0),M13,"")</f>
        <v>MARK II</v>
      </c>
      <c r="N14" s="92">
        <f t="shared" ref="N14:N16" si="19">IF(NOT(LEN($J14)=0),N13,"")</f>
        <v>163</v>
      </c>
      <c r="O14" s="92" t="str">
        <f t="shared" ref="O14:O16" si="20">IF(NOT(LEN($J14)=0),O13,"")</f>
        <v>-</v>
      </c>
      <c r="P14" s="25">
        <f>IF(LEN(A14)&gt;0, 종합!$C$27, "")</f>
        <v>2.2599999999999998</v>
      </c>
      <c r="Q14" s="1" t="s">
        <v>17</v>
      </c>
      <c r="R14" s="8" t="str">
        <f t="shared" si="15"/>
        <v>-</v>
      </c>
      <c r="S14" s="8" t="str">
        <f t="shared" si="15"/>
        <v>-</v>
      </c>
      <c r="T14" s="8" t="str">
        <f t="shared" si="15"/>
        <v>-</v>
      </c>
      <c r="U14" s="8" t="str">
        <f t="shared" si="15"/>
        <v>-</v>
      </c>
      <c r="V14" s="8" t="str">
        <f t="shared" si="16"/>
        <v>-</v>
      </c>
      <c r="W14" s="8" t="str">
        <f t="shared" si="16"/>
        <v>-</v>
      </c>
      <c r="X14" s="8" t="str">
        <f t="shared" si="16"/>
        <v>-</v>
      </c>
      <c r="Y14" s="8" t="str">
        <f t="shared" si="16"/>
        <v>-</v>
      </c>
      <c r="Z14" s="8" t="str">
        <f t="shared" si="16"/>
        <v>-</v>
      </c>
      <c r="AA14" s="8" t="str">
        <f t="shared" si="16"/>
        <v>-</v>
      </c>
      <c r="AB14" s="8" t="str">
        <f t="shared" si="16"/>
        <v>-</v>
      </c>
      <c r="AC14" s="8" t="str">
        <f t="shared" si="16"/>
        <v>-</v>
      </c>
      <c r="AD14" s="8" t="str">
        <f>IF(MOD($B14,5)=0, "스핀들소음 :","-" )</f>
        <v>-</v>
      </c>
      <c r="AE14" s="8" t="str">
        <f t="shared" si="3"/>
        <v>-</v>
      </c>
      <c r="AF14" s="8" t="str">
        <f t="shared" ref="AF14" si="21">IF($B14="","",
  IF(MOD(B14,160)=0,
    "TENSION (XL : / ZL : / XR : / ZR : / Y : )" &amp; CHAR(10) &amp;
    "필터교체",
    "-"
  )
)</f>
        <v>-</v>
      </c>
      <c r="AG14" s="8" t="s">
        <v>99</v>
      </c>
      <c r="AH14" s="1" t="s">
        <v>17</v>
      </c>
    </row>
    <row r="15" spans="1:43" x14ac:dyDescent="0.45">
      <c r="A15" s="4">
        <v>45973</v>
      </c>
      <c r="B15" s="25">
        <f t="shared" si="10"/>
        <v>9</v>
      </c>
      <c r="C15" s="8" t="str">
        <f t="shared" ref="C15:C16" si="22">IF(B15="","",
  IF(MOD($B15,1)=0,
    "Dimensions: L W H",
    "-"
  )
)</f>
        <v>Dimensions: L W H</v>
      </c>
      <c r="D15" s="7" t="s">
        <v>129</v>
      </c>
      <c r="E15" s="1">
        <v>23</v>
      </c>
      <c r="F15" s="3"/>
      <c r="G15" s="94">
        <v>4</v>
      </c>
      <c r="H15" s="25" t="s">
        <v>17</v>
      </c>
      <c r="I15" s="25" t="s">
        <v>17</v>
      </c>
      <c r="J15" s="94">
        <v>3</v>
      </c>
      <c r="K15" s="1"/>
      <c r="L15" s="25" t="s">
        <v>15</v>
      </c>
      <c r="M15" s="25" t="s">
        <v>2</v>
      </c>
      <c r="N15" s="25">
        <v>164</v>
      </c>
      <c r="O15" s="25" t="s">
        <v>17</v>
      </c>
      <c r="P15" s="25">
        <f>IF(LEN(A15)&gt;0, 종합!$C$27, "")</f>
        <v>2.2599999999999998</v>
      </c>
      <c r="Q15" s="1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1"/>
      <c r="AH15" s="2"/>
    </row>
    <row r="16" spans="1:43" x14ac:dyDescent="0.45">
      <c r="A16" s="4">
        <v>45973</v>
      </c>
      <c r="B16" s="25">
        <f t="shared" si="10"/>
        <v>10</v>
      </c>
      <c r="C16" s="8" t="str">
        <f>IF(B16="","",
  IF(MOD($B16,1)=0,
    "Dimensions: L W H",
    "-"
  )
)</f>
        <v>Dimensions: L W H</v>
      </c>
      <c r="D16" s="7" t="str">
        <f>IF(NOT(LEN(B16)=0),"진행중","")</f>
        <v>진행중</v>
      </c>
      <c r="E16" s="1">
        <v>21</v>
      </c>
      <c r="F16" s="3"/>
      <c r="G16" s="94">
        <v>5</v>
      </c>
      <c r="H16" s="25" t="s">
        <v>17</v>
      </c>
      <c r="I16" s="25" t="s">
        <v>17</v>
      </c>
      <c r="J16" s="94">
        <v>4</v>
      </c>
      <c r="K16" s="1"/>
      <c r="L16" s="25" t="s">
        <v>15</v>
      </c>
      <c r="M16" s="25" t="s">
        <v>2</v>
      </c>
      <c r="N16" s="92">
        <f t="shared" ref="N16" si="23">IF(NOT(LEN($J16)=0),N15,"")</f>
        <v>164</v>
      </c>
      <c r="O16" s="92" t="str">
        <f t="shared" ref="O16" si="24">IF(NOT(LEN($J16)=0),O15,"")</f>
        <v>-</v>
      </c>
      <c r="P16" s="25">
        <f>IF(LEN(A16)&gt;0, 종합!$C$27, "")</f>
        <v>2.2599999999999998</v>
      </c>
      <c r="Q16" s="1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1"/>
      <c r="AH16" s="2"/>
    </row>
    <row r="17" spans="1:34" x14ac:dyDescent="0.45">
      <c r="A17" s="4"/>
      <c r="B17" s="25" t="str">
        <f t="shared" si="10"/>
        <v/>
      </c>
      <c r="C17" s="8" t="str">
        <f t="shared" ref="C17:C22" si="25">IF(B17="","",
  IF(MOD($B17,1)=0,
    "Dimensions: L W H",
    "-"
  )
)</f>
        <v/>
      </c>
      <c r="D17" s="7" t="str">
        <f t="shared" ref="D17:D22" si="26">IF(NOT(LEN(B17)=0),"진행중","")</f>
        <v/>
      </c>
      <c r="E17" s="1"/>
      <c r="F17" s="3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1"/>
      <c r="AH17" s="2"/>
    </row>
    <row r="18" spans="1:34" x14ac:dyDescent="0.45">
      <c r="A18" s="4"/>
      <c r="B18" s="25" t="str">
        <f t="shared" si="10"/>
        <v/>
      </c>
      <c r="C18" s="8" t="str">
        <f t="shared" si="25"/>
        <v/>
      </c>
      <c r="D18" s="7" t="str">
        <f t="shared" si="26"/>
        <v/>
      </c>
      <c r="E18" s="1"/>
      <c r="F18" s="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1"/>
      <c r="AH18" s="2"/>
    </row>
    <row r="19" spans="1:34" x14ac:dyDescent="0.45">
      <c r="A19" s="4"/>
      <c r="B19" s="25" t="str">
        <f t="shared" si="10"/>
        <v/>
      </c>
      <c r="C19" s="8" t="str">
        <f t="shared" si="25"/>
        <v/>
      </c>
      <c r="D19" s="7" t="str">
        <f t="shared" si="26"/>
        <v/>
      </c>
      <c r="E19" s="1"/>
      <c r="F19" s="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1"/>
      <c r="AH19" s="2"/>
    </row>
    <row r="20" spans="1:34" x14ac:dyDescent="0.45">
      <c r="A20" s="4"/>
      <c r="B20" s="25" t="str">
        <f>IF(NOT(LEN(A20)=0),B19+1,"")</f>
        <v/>
      </c>
      <c r="C20" s="8" t="str">
        <f t="shared" si="25"/>
        <v/>
      </c>
      <c r="D20" s="7" t="str">
        <f t="shared" si="26"/>
        <v/>
      </c>
      <c r="E20" s="1"/>
      <c r="F20" s="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1"/>
      <c r="AH20" s="2"/>
    </row>
    <row r="21" spans="1:34" x14ac:dyDescent="0.45">
      <c r="A21" s="4"/>
      <c r="B21" s="25" t="str">
        <f t="shared" si="10"/>
        <v/>
      </c>
      <c r="C21" s="8" t="str">
        <f t="shared" si="25"/>
        <v/>
      </c>
      <c r="D21" s="7" t="str">
        <f t="shared" si="26"/>
        <v/>
      </c>
      <c r="E21" s="1"/>
      <c r="F21" s="3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1"/>
      <c r="AH21" s="2"/>
    </row>
    <row r="22" spans="1:34" x14ac:dyDescent="0.45">
      <c r="A22" s="4"/>
      <c r="B22" s="25" t="str">
        <f t="shared" si="10"/>
        <v/>
      </c>
      <c r="C22" s="8" t="str">
        <f t="shared" si="25"/>
        <v/>
      </c>
      <c r="D22" s="7" t="str">
        <f t="shared" si="26"/>
        <v/>
      </c>
      <c r="E22" s="1"/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1"/>
      <c r="AH22" s="2"/>
    </row>
    <row r="23" spans="1:34" x14ac:dyDescent="0.45">
      <c r="A23" s="6" t="s">
        <v>18</v>
      </c>
      <c r="B23" s="26" t="s">
        <v>18</v>
      </c>
      <c r="C23" s="6" t="s">
        <v>18</v>
      </c>
      <c r="D23" s="6" t="s">
        <v>18</v>
      </c>
      <c r="E23" s="6" t="s">
        <v>18</v>
      </c>
      <c r="F23" s="6" t="s">
        <v>18</v>
      </c>
      <c r="G23" s="6" t="s">
        <v>18</v>
      </c>
      <c r="H23" s="6" t="s">
        <v>18</v>
      </c>
      <c r="I23" s="6" t="s">
        <v>18</v>
      </c>
      <c r="J23" s="6" t="s">
        <v>18</v>
      </c>
      <c r="K23" s="6" t="s">
        <v>18</v>
      </c>
      <c r="L23" s="6" t="s">
        <v>18</v>
      </c>
      <c r="M23" s="6" t="s">
        <v>18</v>
      </c>
      <c r="N23" s="6" t="s">
        <v>18</v>
      </c>
      <c r="O23" s="6" t="s">
        <v>18</v>
      </c>
      <c r="P23" s="6" t="s">
        <v>18</v>
      </c>
      <c r="Q23" s="6" t="s">
        <v>18</v>
      </c>
      <c r="R23" s="6" t="s">
        <v>18</v>
      </c>
      <c r="S23" s="6" t="s">
        <v>18</v>
      </c>
      <c r="T23" s="6" t="s">
        <v>18</v>
      </c>
      <c r="U23" s="6" t="s">
        <v>18</v>
      </c>
      <c r="V23" s="6" t="s">
        <v>18</v>
      </c>
      <c r="W23" s="6" t="s">
        <v>18</v>
      </c>
      <c r="X23" s="6" t="s">
        <v>18</v>
      </c>
      <c r="Y23" s="6" t="s">
        <v>18</v>
      </c>
      <c r="Z23" s="6" t="s">
        <v>18</v>
      </c>
      <c r="AA23" s="6" t="s">
        <v>18</v>
      </c>
      <c r="AB23" s="6" t="s">
        <v>18</v>
      </c>
      <c r="AC23" s="6" t="s">
        <v>18</v>
      </c>
      <c r="AD23" s="6" t="s">
        <v>18</v>
      </c>
      <c r="AE23" s="6" t="s">
        <v>18</v>
      </c>
      <c r="AF23" s="6" t="s">
        <v>18</v>
      </c>
      <c r="AG23" s="6" t="s">
        <v>18</v>
      </c>
      <c r="AH23" s="6" t="s">
        <v>18</v>
      </c>
    </row>
  </sheetData>
  <mergeCells count="12">
    <mergeCell ref="A1:AH1"/>
    <mergeCell ref="R5:U5"/>
    <mergeCell ref="V5:Y5"/>
    <mergeCell ref="Z5:AD5"/>
    <mergeCell ref="A2:A5"/>
    <mergeCell ref="Q2:AF3"/>
    <mergeCell ref="AG2:AH6"/>
    <mergeCell ref="R4:AD4"/>
    <mergeCell ref="G5:J5"/>
    <mergeCell ref="B2:F5"/>
    <mergeCell ref="L5:O5"/>
    <mergeCell ref="G2:P4"/>
  </mergeCells>
  <phoneticPr fontId="1" type="noConversion"/>
  <conditionalFormatting sqref="I7:I9 G7:G9">
    <cfRule type="containsText" dxfId="820" priority="67" operator="containsText" text="신품">
      <formula>NOT(ISERROR(SEARCH("신품",G7)))</formula>
    </cfRule>
    <cfRule type="containsText" dxfId="819" priority="68" operator="containsText" text="중고">
      <formula>NOT(ISERROR(SEARCH("중고",G7)))</formula>
    </cfRule>
  </conditionalFormatting>
  <conditionalFormatting sqref="J7:J9">
    <cfRule type="containsText" dxfId="818" priority="65" operator="containsText" text="신품">
      <formula>NOT(ISERROR(SEARCH("신품",J7)))</formula>
    </cfRule>
    <cfRule type="containsText" dxfId="817" priority="66" operator="containsText" text="중고">
      <formula>NOT(ISERROR(SEARCH("중고",J7)))</formula>
    </cfRule>
  </conditionalFormatting>
  <conditionalFormatting sqref="I10 G10">
    <cfRule type="containsText" dxfId="816" priority="61" operator="containsText" text="신품">
      <formula>NOT(ISERROR(SEARCH("신품",G10)))</formula>
    </cfRule>
    <cfRule type="containsText" dxfId="815" priority="62" operator="containsText" text="중고">
      <formula>NOT(ISERROR(SEARCH("중고",G10)))</formula>
    </cfRule>
  </conditionalFormatting>
  <conditionalFormatting sqref="J10">
    <cfRule type="containsText" dxfId="814" priority="59" operator="containsText" text="신품">
      <formula>NOT(ISERROR(SEARCH("신품",J10)))</formula>
    </cfRule>
    <cfRule type="containsText" dxfId="813" priority="60" operator="containsText" text="중고">
      <formula>NOT(ISERROR(SEARCH("중고",J10)))</formula>
    </cfRule>
  </conditionalFormatting>
  <conditionalFormatting sqref="G11 I11 G13:G16">
    <cfRule type="containsText" dxfId="812" priority="55" operator="containsText" text="신품">
      <formula>NOT(ISERROR(SEARCH("신품",G11)))</formula>
    </cfRule>
    <cfRule type="containsText" dxfId="811" priority="56" operator="containsText" text="중고">
      <formula>NOT(ISERROR(SEARCH("중고",G11)))</formula>
    </cfRule>
  </conditionalFormatting>
  <conditionalFormatting sqref="J11 J13:J16">
    <cfRule type="containsText" dxfId="810" priority="53" operator="containsText" text="신품">
      <formula>NOT(ISERROR(SEARCH("신품",J11)))</formula>
    </cfRule>
    <cfRule type="containsText" dxfId="809" priority="54" operator="containsText" text="중고">
      <formula>NOT(ISERROR(SEARCH("중고",J11)))</formula>
    </cfRule>
  </conditionalFormatting>
  <conditionalFormatting sqref="G12 G17:G22 I12:I22">
    <cfRule type="containsText" dxfId="808" priority="49" operator="containsText" text="신품">
      <formula>NOT(ISERROR(SEARCH("신품",G12)))</formula>
    </cfRule>
    <cfRule type="containsText" dxfId="807" priority="50" operator="containsText" text="중고">
      <formula>NOT(ISERROR(SEARCH("중고",G12)))</formula>
    </cfRule>
  </conditionalFormatting>
  <conditionalFormatting sqref="J12 J17:J22">
    <cfRule type="containsText" dxfId="806" priority="47" operator="containsText" text="신품">
      <formula>NOT(ISERROR(SEARCH("신품",J12)))</formula>
    </cfRule>
    <cfRule type="containsText" dxfId="805" priority="48" operator="containsText" text="중고">
      <formula>NOT(ISERROR(SEARCH("중고",J12)))</formula>
    </cfRule>
  </conditionalFormatting>
  <conditionalFormatting sqref="D7:D15">
    <cfRule type="containsText" dxfId="804" priority="43" operator="containsText" text="완료">
      <formula>NOT(ISERROR(SEARCH("완료",D7)))</formula>
    </cfRule>
    <cfRule type="containsText" dxfId="803" priority="44" operator="containsText" text="중단">
      <formula>NOT(ISERROR(SEARCH("중단",D7)))</formula>
    </cfRule>
  </conditionalFormatting>
  <conditionalFormatting sqref="D10">
    <cfRule type="containsText" dxfId="802" priority="41" operator="containsText" text="완료">
      <formula>NOT(ISERROR(SEARCH("완료",D10)))</formula>
    </cfRule>
    <cfRule type="containsText" dxfId="801" priority="42" operator="containsText" text="중단">
      <formula>NOT(ISERROR(SEARCH("중단",D10)))</formula>
    </cfRule>
  </conditionalFormatting>
  <conditionalFormatting sqref="D11:D15">
    <cfRule type="containsText" dxfId="800" priority="39" operator="containsText" text="완료">
      <formula>NOT(ISERROR(SEARCH("완료",D11)))</formula>
    </cfRule>
    <cfRule type="containsText" dxfId="799" priority="40" operator="containsText" text="중단">
      <formula>NOT(ISERROR(SEARCH("중단",D11)))</formula>
    </cfRule>
  </conditionalFormatting>
  <conditionalFormatting sqref="D12:D15">
    <cfRule type="containsText" dxfId="798" priority="37" operator="containsText" text="완료">
      <formula>NOT(ISERROR(SEARCH("완료",D12)))</formula>
    </cfRule>
    <cfRule type="containsText" dxfId="797" priority="38" operator="containsText" text="중단">
      <formula>NOT(ISERROR(SEARCH("중단",D12)))</formula>
    </cfRule>
  </conditionalFormatting>
  <conditionalFormatting sqref="D23 D7:D15">
    <cfRule type="containsText" dxfId="796" priority="36" operator="containsText" text="진행중">
      <formula>NOT(ISERROR(SEARCH("진행중",D7)))</formula>
    </cfRule>
  </conditionalFormatting>
  <conditionalFormatting sqref="D16:D22">
    <cfRule type="containsText" dxfId="651" priority="29" operator="containsText" text="완료">
      <formula>NOT(ISERROR(SEARCH("완료",D16)))</formula>
    </cfRule>
    <cfRule type="containsText" dxfId="650" priority="30" operator="containsText" text="중단">
      <formula>NOT(ISERROR(SEARCH("중단",D16)))</formula>
    </cfRule>
  </conditionalFormatting>
  <conditionalFormatting sqref="D16:D22">
    <cfRule type="containsText" dxfId="649" priority="27" operator="containsText" text="완료">
      <formula>NOT(ISERROR(SEARCH("완료",D16)))</formula>
    </cfRule>
    <cfRule type="containsText" dxfId="648" priority="28" operator="containsText" text="중단">
      <formula>NOT(ISERROR(SEARCH("중단",D16)))</formula>
    </cfRule>
  </conditionalFormatting>
  <conditionalFormatting sqref="D16:D22">
    <cfRule type="containsText" dxfId="647" priority="26" operator="containsText" text="진행중">
      <formula>NOT(ISERROR(SEARCH("진행중",D16)))</formula>
    </cfRule>
  </conditionalFormatting>
  <conditionalFormatting sqref="L8 L10 L12 L14">
    <cfRule type="containsText" dxfId="49" priority="19" operator="containsText" text="완료">
      <formula>NOT(ISERROR(SEARCH("완료",L8)))</formula>
    </cfRule>
    <cfRule type="containsText" dxfId="48" priority="20" operator="containsText" text="중단">
      <formula>NOT(ISERROR(SEARCH("중단",L8)))</formula>
    </cfRule>
  </conditionalFormatting>
  <conditionalFormatting sqref="L8 L10 L12 L14">
    <cfRule type="containsText" dxfId="47" priority="17" operator="containsText" text="완료">
      <formula>NOT(ISERROR(SEARCH("완료",L8)))</formula>
    </cfRule>
    <cfRule type="containsText" dxfId="46" priority="18" operator="containsText" text="중단">
      <formula>NOT(ISERROR(SEARCH("중단",L8)))</formula>
    </cfRule>
  </conditionalFormatting>
  <conditionalFormatting sqref="L8 L10 L12 L14">
    <cfRule type="containsText" dxfId="45" priority="16" operator="containsText" text="진행중">
      <formula>NOT(ISERROR(SEARCH("진행중",L8)))</formula>
    </cfRule>
  </conditionalFormatting>
  <conditionalFormatting sqref="M8 M10 M12 M14">
    <cfRule type="containsText" dxfId="44" priority="14" operator="containsText" text="완료">
      <formula>NOT(ISERROR(SEARCH("완료",M8)))</formula>
    </cfRule>
    <cfRule type="containsText" dxfId="43" priority="15" operator="containsText" text="중단">
      <formula>NOT(ISERROR(SEARCH("중단",M8)))</formula>
    </cfRule>
  </conditionalFormatting>
  <conditionalFormatting sqref="M8 M10 M12 M14">
    <cfRule type="containsText" dxfId="42" priority="12" operator="containsText" text="완료">
      <formula>NOT(ISERROR(SEARCH("완료",M8)))</formula>
    </cfRule>
    <cfRule type="containsText" dxfId="41" priority="13" operator="containsText" text="중단">
      <formula>NOT(ISERROR(SEARCH("중단",M8)))</formula>
    </cfRule>
  </conditionalFormatting>
  <conditionalFormatting sqref="M8 M10 M12 M14">
    <cfRule type="containsText" dxfId="40" priority="11" operator="containsText" text="진행중">
      <formula>NOT(ISERROR(SEARCH("진행중",M8)))</formula>
    </cfRule>
  </conditionalFormatting>
  <conditionalFormatting sqref="N8:O8 N10:O10 N12:O12 N14:O14 N16:O16">
    <cfRule type="containsText" dxfId="4" priority="4" operator="containsText" text="완료">
      <formula>NOT(ISERROR(SEARCH("완료",N8)))</formula>
    </cfRule>
    <cfRule type="containsText" dxfId="3" priority="5" operator="containsText" text="중단">
      <formula>NOT(ISERROR(SEARCH("중단",N8)))</formula>
    </cfRule>
  </conditionalFormatting>
  <conditionalFormatting sqref="N8:O8 N10:O10 N12:O12 N14:O14 N16:O16">
    <cfRule type="containsText" dxfId="2" priority="2" operator="containsText" text="완료">
      <formula>NOT(ISERROR(SEARCH("완료",N8)))</formula>
    </cfRule>
    <cfRule type="containsText" dxfId="1" priority="3" operator="containsText" text="중단">
      <formula>NOT(ISERROR(SEARCH("중단",N8)))</formula>
    </cfRule>
  </conditionalFormatting>
  <conditionalFormatting sqref="N8:O8 N10:O10 N12:O12 N14:O14 N16:O16">
    <cfRule type="containsText" dxfId="0" priority="1" operator="containsText" text="진행중">
      <formula>NOT(ISERROR(SEARCH("진행중",N8)))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0D3F4-8453-4096-BE49-B4B16DE1FB81}">
  <sheetPr>
    <tabColor theme="0" tint="-0.499984740745262"/>
  </sheetPr>
  <dimension ref="A1:AQ23"/>
  <sheetViews>
    <sheetView tabSelected="1" zoomScale="55" zoomScaleNormal="55" workbookViewId="0">
      <selection activeCell="O16" sqref="O16"/>
    </sheetView>
  </sheetViews>
  <sheetFormatPr defaultRowHeight="17" x14ac:dyDescent="0.45"/>
  <cols>
    <col min="1" max="1" width="11.33203125" bestFit="1" customWidth="1"/>
    <col min="2" max="2" width="11.4140625" style="5" customWidth="1"/>
    <col min="3" max="3" width="44.1640625" customWidth="1"/>
    <col min="4" max="4" width="12.9140625" style="5" bestFit="1" customWidth="1"/>
    <col min="5" max="5" width="23.83203125" customWidth="1"/>
    <col min="6" max="6" width="16.75" customWidth="1"/>
    <col min="7" max="10" width="8.33203125" bestFit="1" customWidth="1"/>
    <col min="11" max="11" width="2.9140625" hidden="1" customWidth="1"/>
    <col min="12" max="13" width="16.33203125" bestFit="1" customWidth="1"/>
    <col min="14" max="14" width="16.5" customWidth="1"/>
    <col min="15" max="15" width="16.33203125" bestFit="1" customWidth="1"/>
    <col min="16" max="16" width="16.33203125" customWidth="1"/>
    <col min="17" max="17" width="28.5" hidden="1" customWidth="1"/>
    <col min="18" max="21" width="14.75" customWidth="1"/>
    <col min="24" max="29" width="9.1640625" customWidth="1"/>
    <col min="30" max="30" width="20.6640625" customWidth="1"/>
    <col min="31" max="31" width="35" customWidth="1"/>
    <col min="32" max="32" width="44.1640625" customWidth="1"/>
    <col min="33" max="33" width="89.25" customWidth="1"/>
    <col min="34" max="34" width="88.6640625" customWidth="1"/>
    <col min="37" max="37" width="22.58203125" bestFit="1" customWidth="1"/>
    <col min="38" max="38" width="34.83203125" customWidth="1"/>
  </cols>
  <sheetData>
    <row r="1" spans="1:43" ht="62.5" customHeight="1" x14ac:dyDescent="0.45">
      <c r="A1" s="66" t="s">
        <v>19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</row>
    <row r="2" spans="1:43" x14ac:dyDescent="0.45">
      <c r="A2" s="54" t="s">
        <v>11</v>
      </c>
      <c r="B2" s="55" t="s">
        <v>92</v>
      </c>
      <c r="C2" s="56"/>
      <c r="D2" s="56"/>
      <c r="E2" s="56"/>
      <c r="F2" s="57"/>
      <c r="G2" s="54" t="s">
        <v>111</v>
      </c>
      <c r="H2" s="54"/>
      <c r="I2" s="54"/>
      <c r="J2" s="54"/>
      <c r="K2" s="54"/>
      <c r="L2" s="54"/>
      <c r="M2" s="54"/>
      <c r="N2" s="54"/>
      <c r="O2" s="54"/>
      <c r="P2" s="54"/>
      <c r="Q2" s="55" t="s">
        <v>26</v>
      </c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7"/>
      <c r="AG2" s="55" t="s">
        <v>10</v>
      </c>
      <c r="AH2" s="57"/>
    </row>
    <row r="3" spans="1:43" x14ac:dyDescent="0.45">
      <c r="A3" s="54"/>
      <c r="B3" s="61"/>
      <c r="C3" s="64"/>
      <c r="D3" s="64"/>
      <c r="E3" s="64"/>
      <c r="F3" s="62"/>
      <c r="G3" s="54"/>
      <c r="H3" s="54"/>
      <c r="I3" s="54"/>
      <c r="J3" s="54"/>
      <c r="K3" s="54"/>
      <c r="L3" s="54"/>
      <c r="M3" s="54"/>
      <c r="N3" s="54"/>
      <c r="O3" s="54"/>
      <c r="P3" s="54"/>
      <c r="Q3" s="58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60"/>
      <c r="AG3" s="61"/>
      <c r="AH3" s="62"/>
    </row>
    <row r="4" spans="1:43" x14ac:dyDescent="0.45">
      <c r="A4" s="54"/>
      <c r="B4" s="61"/>
      <c r="C4" s="64"/>
      <c r="D4" s="64"/>
      <c r="E4" s="64"/>
      <c r="F4" s="62"/>
      <c r="G4" s="54"/>
      <c r="H4" s="54"/>
      <c r="I4" s="54"/>
      <c r="J4" s="54"/>
      <c r="K4" s="54"/>
      <c r="L4" s="54"/>
      <c r="M4" s="54"/>
      <c r="N4" s="54"/>
      <c r="O4" s="54"/>
      <c r="P4" s="54"/>
      <c r="Q4" s="9"/>
      <c r="R4" s="52" t="s">
        <v>33</v>
      </c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3"/>
      <c r="AE4" s="12" t="s">
        <v>34</v>
      </c>
      <c r="AF4" s="12" t="s">
        <v>35</v>
      </c>
      <c r="AG4" s="61"/>
      <c r="AH4" s="62"/>
    </row>
    <row r="5" spans="1:43" x14ac:dyDescent="0.45">
      <c r="A5" s="54"/>
      <c r="B5" s="58"/>
      <c r="C5" s="59"/>
      <c r="D5" s="59"/>
      <c r="E5" s="59"/>
      <c r="F5" s="60"/>
      <c r="G5" s="63" t="s">
        <v>36</v>
      </c>
      <c r="H5" s="63"/>
      <c r="I5" s="63"/>
      <c r="J5" s="63"/>
      <c r="K5" s="42"/>
      <c r="L5" s="58" t="s">
        <v>94</v>
      </c>
      <c r="M5" s="59"/>
      <c r="N5" s="59"/>
      <c r="O5" s="60"/>
      <c r="P5" s="43" t="s">
        <v>93</v>
      </c>
      <c r="Q5" s="11" t="s">
        <v>30</v>
      </c>
      <c r="R5" s="51" t="s">
        <v>44</v>
      </c>
      <c r="S5" s="52"/>
      <c r="T5" s="52"/>
      <c r="U5" s="53"/>
      <c r="V5" s="51" t="s">
        <v>20</v>
      </c>
      <c r="W5" s="52"/>
      <c r="X5" s="52"/>
      <c r="Y5" s="53"/>
      <c r="Z5" s="65" t="s">
        <v>123</v>
      </c>
      <c r="AA5" s="54"/>
      <c r="AB5" s="54"/>
      <c r="AC5" s="54"/>
      <c r="AD5" s="54"/>
      <c r="AE5" s="14"/>
      <c r="AF5" s="12"/>
      <c r="AG5" s="61"/>
      <c r="AH5" s="62"/>
    </row>
    <row r="6" spans="1:43" x14ac:dyDescent="0.45">
      <c r="A6" s="22" t="s">
        <v>27</v>
      </c>
      <c r="B6" s="22" t="s">
        <v>3</v>
      </c>
      <c r="C6" s="41" t="s">
        <v>31</v>
      </c>
      <c r="D6" s="41" t="s">
        <v>21</v>
      </c>
      <c r="E6" s="41" t="s">
        <v>124</v>
      </c>
      <c r="F6" s="41" t="s">
        <v>9</v>
      </c>
      <c r="G6" s="22" t="s">
        <v>4</v>
      </c>
      <c r="H6" s="22" t="s">
        <v>13</v>
      </c>
      <c r="I6" s="22" t="s">
        <v>14</v>
      </c>
      <c r="J6" s="22" t="s">
        <v>5</v>
      </c>
      <c r="K6" s="22" t="s">
        <v>16</v>
      </c>
      <c r="L6" s="22" t="s">
        <v>22</v>
      </c>
      <c r="M6" s="22" t="s">
        <v>23</v>
      </c>
      <c r="N6" s="22" t="s">
        <v>28</v>
      </c>
      <c r="O6" s="22" t="s">
        <v>24</v>
      </c>
      <c r="P6" s="22" t="s">
        <v>29</v>
      </c>
      <c r="Q6" s="10" t="s">
        <v>25</v>
      </c>
      <c r="R6" s="10" t="s">
        <v>4</v>
      </c>
      <c r="S6" s="10" t="s">
        <v>13</v>
      </c>
      <c r="T6" s="10" t="s">
        <v>14</v>
      </c>
      <c r="U6" s="10" t="s">
        <v>5</v>
      </c>
      <c r="V6" s="10" t="s">
        <v>4</v>
      </c>
      <c r="W6" s="10" t="s">
        <v>13</v>
      </c>
      <c r="X6" s="10" t="s">
        <v>14</v>
      </c>
      <c r="Y6" s="10" t="s">
        <v>5</v>
      </c>
      <c r="Z6" s="10" t="s">
        <v>4</v>
      </c>
      <c r="AA6" s="10" t="s">
        <v>13</v>
      </c>
      <c r="AB6" s="10" t="s">
        <v>14</v>
      </c>
      <c r="AC6" s="10" t="s">
        <v>5</v>
      </c>
      <c r="AD6" s="10" t="s">
        <v>39</v>
      </c>
      <c r="AE6" s="15" t="s">
        <v>37</v>
      </c>
      <c r="AF6" s="13" t="s">
        <v>38</v>
      </c>
      <c r="AG6" s="58"/>
      <c r="AH6" s="60"/>
      <c r="AM6" s="1"/>
      <c r="AN6" s="1"/>
      <c r="AO6" s="1"/>
      <c r="AP6" s="1"/>
      <c r="AQ6" s="1"/>
    </row>
    <row r="7" spans="1:43" x14ac:dyDescent="0.45">
      <c r="A7" s="4">
        <v>45971</v>
      </c>
      <c r="B7" s="25">
        <v>1</v>
      </c>
      <c r="C7" s="8" t="str">
        <f t="shared" ref="C7:C22" si="0">IF(B7="","",
  IF(MOD($B7,1)=0,
    "Dimensions: L W H",
    "-"
  )
)</f>
        <v>Dimensions: L W H</v>
      </c>
      <c r="D7" s="7" t="str">
        <f t="shared" ref="D7:D17" si="1">IF(E7="","",
  IF(MOD($B7,1)=0,
    "완료",
    "-"
  )
)</f>
        <v>완료</v>
      </c>
      <c r="E7" s="1">
        <v>19</v>
      </c>
      <c r="F7" s="3"/>
      <c r="G7" s="90" t="s">
        <v>40</v>
      </c>
      <c r="H7" s="1" t="s">
        <v>17</v>
      </c>
      <c r="I7" s="1" t="s">
        <v>17</v>
      </c>
      <c r="J7" s="90" t="s">
        <v>40</v>
      </c>
      <c r="K7" s="1"/>
      <c r="L7" s="25" t="s">
        <v>15</v>
      </c>
      <c r="M7" s="25" t="s">
        <v>2</v>
      </c>
      <c r="N7" s="25">
        <v>160</v>
      </c>
      <c r="O7" s="25" t="s">
        <v>17</v>
      </c>
      <c r="P7" s="25">
        <f>IF(LEN(A7)&gt;0, 종합!$C$27, "")</f>
        <v>2.2599999999999998</v>
      </c>
      <c r="Q7" s="1" t="s">
        <v>17</v>
      </c>
      <c r="R7" s="8" t="str">
        <f t="shared" ref="R7:U10" si="2">IF(MOD($B7,5)=0, "스핀들유격: ","-" )</f>
        <v>-</v>
      </c>
      <c r="S7" s="8" t="str">
        <f t="shared" si="2"/>
        <v>-</v>
      </c>
      <c r="T7" s="8" t="str">
        <f t="shared" si="2"/>
        <v>-</v>
      </c>
      <c r="U7" s="8" t="str">
        <f t="shared" si="2"/>
        <v>-</v>
      </c>
      <c r="V7" s="8" t="str">
        <f t="shared" ref="V7:AC10" si="3">IF(MOD($B7,5)=0, "000-000","-" )</f>
        <v>-</v>
      </c>
      <c r="W7" s="8" t="str">
        <f t="shared" si="3"/>
        <v>-</v>
      </c>
      <c r="X7" s="8" t="str">
        <f t="shared" si="3"/>
        <v>-</v>
      </c>
      <c r="Y7" s="8" t="str">
        <f t="shared" si="3"/>
        <v>-</v>
      </c>
      <c r="Z7" s="8" t="str">
        <f t="shared" si="3"/>
        <v>-</v>
      </c>
      <c r="AA7" s="8" t="str">
        <f t="shared" si="3"/>
        <v>-</v>
      </c>
      <c r="AB7" s="8" t="str">
        <f t="shared" si="3"/>
        <v>-</v>
      </c>
      <c r="AC7" s="8" t="str">
        <f t="shared" si="3"/>
        <v>-</v>
      </c>
      <c r="AD7" s="8" t="str">
        <f>IF(MOD($B7,5)=0, "스핀들소음 :","-" )</f>
        <v>-</v>
      </c>
      <c r="AE7" s="8" t="str">
        <f t="shared" ref="AE7:AE17" si="4">IF(MOD($B7,40)=0, "필터세척 :"&amp; CHAR(10) &amp; "FLOW   (T1, T4 : / T2, T3 : / T4 : )","-" )</f>
        <v>-</v>
      </c>
      <c r="AF7" s="8" t="str">
        <f>IF($B7="","",
  IF(MOD($B7,160)=0,
    "TENSION (XL : / ZL : / XR : / ZR : / Y : )" &amp; CHAR(10) &amp;
    "필터교체",
    "-"
  )
)</f>
        <v>-</v>
      </c>
      <c r="AG7" s="1" t="s">
        <v>17</v>
      </c>
      <c r="AH7" s="1"/>
    </row>
    <row r="8" spans="1:43" x14ac:dyDescent="0.45">
      <c r="A8" s="4">
        <v>45971</v>
      </c>
      <c r="B8" s="25">
        <f>IF(NOT(LEN(A8)=0),B7+1,"")</f>
        <v>2</v>
      </c>
      <c r="C8" s="8" t="str">
        <f t="shared" si="0"/>
        <v>Dimensions: L W H</v>
      </c>
      <c r="D8" s="7" t="str">
        <f t="shared" si="1"/>
        <v>완료</v>
      </c>
      <c r="E8" s="1">
        <v>19</v>
      </c>
      <c r="F8" s="3"/>
      <c r="G8" s="91" t="s">
        <v>40</v>
      </c>
      <c r="H8" s="1" t="s">
        <v>17</v>
      </c>
      <c r="I8" s="1" t="s">
        <v>17</v>
      </c>
      <c r="J8" s="91" t="s">
        <v>40</v>
      </c>
      <c r="K8" s="1"/>
      <c r="L8" s="92" t="str">
        <f t="shared" ref="L8:L17" si="5">IF(NOT(LEN($J8)=0),L7,"")</f>
        <v>VITA</v>
      </c>
      <c r="M8" s="92" t="str">
        <f t="shared" ref="M8:M17" si="6">IF(NOT(LEN($J8)=0),M7,"")</f>
        <v>MARK II</v>
      </c>
      <c r="N8" s="92">
        <f t="shared" ref="N8:P8" si="7">IF(NOT(LEN($J8)=0),N7,"")</f>
        <v>160</v>
      </c>
      <c r="O8" s="92" t="str">
        <f t="shared" si="7"/>
        <v>-</v>
      </c>
      <c r="P8" s="25">
        <f>IF(LEN(A8)&gt;0, 종합!$C$27, "")</f>
        <v>2.2599999999999998</v>
      </c>
      <c r="Q8" s="1" t="s">
        <v>17</v>
      </c>
      <c r="R8" s="8" t="str">
        <f t="shared" si="2"/>
        <v>-</v>
      </c>
      <c r="S8" s="8" t="str">
        <f t="shared" si="2"/>
        <v>-</v>
      </c>
      <c r="T8" s="8" t="str">
        <f t="shared" si="2"/>
        <v>-</v>
      </c>
      <c r="U8" s="8" t="str">
        <f t="shared" si="2"/>
        <v>-</v>
      </c>
      <c r="V8" s="8" t="str">
        <f t="shared" si="3"/>
        <v>-</v>
      </c>
      <c r="W8" s="8" t="str">
        <f t="shared" si="3"/>
        <v>-</v>
      </c>
      <c r="X8" s="8" t="str">
        <f t="shared" si="3"/>
        <v>-</v>
      </c>
      <c r="Y8" s="8" t="str">
        <f t="shared" si="3"/>
        <v>-</v>
      </c>
      <c r="Z8" s="8" t="str">
        <f t="shared" si="3"/>
        <v>-</v>
      </c>
      <c r="AA8" s="8" t="str">
        <f t="shared" si="3"/>
        <v>-</v>
      </c>
      <c r="AB8" s="8" t="str">
        <f t="shared" si="3"/>
        <v>-</v>
      </c>
      <c r="AC8" s="8" t="str">
        <f t="shared" si="3"/>
        <v>-</v>
      </c>
      <c r="AD8" s="8" t="str">
        <f>IF(MOD($B8,5)=0, "스핀들소음 :","-" )</f>
        <v>-</v>
      </c>
      <c r="AE8" s="8" t="str">
        <f t="shared" si="4"/>
        <v>-</v>
      </c>
      <c r="AF8" s="8" t="str">
        <f t="shared" ref="AF8:AF16" si="8">IF($B8="","",
  IF(MOD(B8,160)=0,
    "TENSION (XL : / ZL : / XR : / ZR : / Y : )" &amp; CHAR(10) &amp;
    "필터교체",
    "-"
  )
)</f>
        <v>-</v>
      </c>
      <c r="AG8" s="1" t="s">
        <v>17</v>
      </c>
      <c r="AH8" s="2"/>
    </row>
    <row r="9" spans="1:43" x14ac:dyDescent="0.45">
      <c r="A9" s="4">
        <v>45971</v>
      </c>
      <c r="B9" s="25">
        <f t="shared" ref="B9:B22" si="9">IF(NOT(LEN(A9)=0),B8+1,"")</f>
        <v>3</v>
      </c>
      <c r="C9" s="8" t="str">
        <f t="shared" si="0"/>
        <v>Dimensions: L W H</v>
      </c>
      <c r="D9" s="7" t="str">
        <f t="shared" si="1"/>
        <v>완료</v>
      </c>
      <c r="E9" s="1">
        <v>19</v>
      </c>
      <c r="F9" s="3"/>
      <c r="G9" s="91" t="s">
        <v>40</v>
      </c>
      <c r="H9" s="1" t="s">
        <v>17</v>
      </c>
      <c r="I9" s="1" t="s">
        <v>17</v>
      </c>
      <c r="J9" s="91" t="s">
        <v>40</v>
      </c>
      <c r="K9" s="1"/>
      <c r="L9" s="92" t="str">
        <f t="shared" si="5"/>
        <v>VITA</v>
      </c>
      <c r="M9" s="92" t="str">
        <f t="shared" si="6"/>
        <v>MARK II</v>
      </c>
      <c r="N9" s="92">
        <f t="shared" ref="N9:N18" si="10">IF(NOT(LEN($J9)=0),N8,"")</f>
        <v>160</v>
      </c>
      <c r="O9" s="92" t="str">
        <f t="shared" ref="O9:O18" si="11">IF(NOT(LEN($J9)=0),O8,"")</f>
        <v>-</v>
      </c>
      <c r="P9" s="25">
        <f>IF(LEN(A9)&gt;0, 종합!$C$27, "")</f>
        <v>2.2599999999999998</v>
      </c>
      <c r="Q9" s="1" t="s">
        <v>17</v>
      </c>
      <c r="R9" s="8" t="str">
        <f t="shared" si="2"/>
        <v>-</v>
      </c>
      <c r="S9" s="8" t="str">
        <f t="shared" si="2"/>
        <v>-</v>
      </c>
      <c r="T9" s="8" t="str">
        <f t="shared" si="2"/>
        <v>-</v>
      </c>
      <c r="U9" s="8" t="str">
        <f t="shared" si="2"/>
        <v>-</v>
      </c>
      <c r="V9" s="8" t="str">
        <f t="shared" si="3"/>
        <v>-</v>
      </c>
      <c r="W9" s="8" t="str">
        <f t="shared" si="3"/>
        <v>-</v>
      </c>
      <c r="X9" s="8" t="str">
        <f t="shared" si="3"/>
        <v>-</v>
      </c>
      <c r="Y9" s="8" t="str">
        <f t="shared" si="3"/>
        <v>-</v>
      </c>
      <c r="Z9" s="8" t="str">
        <f t="shared" si="3"/>
        <v>-</v>
      </c>
      <c r="AA9" s="8" t="str">
        <f t="shared" si="3"/>
        <v>-</v>
      </c>
      <c r="AB9" s="8" t="str">
        <f t="shared" si="3"/>
        <v>-</v>
      </c>
      <c r="AC9" s="8" t="str">
        <f t="shared" si="3"/>
        <v>-</v>
      </c>
      <c r="AD9" s="8" t="str">
        <f>IF(MOD($B9,5)=0, "스핀들소음 :","-" )</f>
        <v>-</v>
      </c>
      <c r="AE9" s="8" t="str">
        <f t="shared" si="4"/>
        <v>-</v>
      </c>
      <c r="AF9" s="8" t="str">
        <f t="shared" si="8"/>
        <v>-</v>
      </c>
      <c r="AG9" s="1" t="s">
        <v>17</v>
      </c>
      <c r="AH9" s="2"/>
    </row>
    <row r="10" spans="1:43" x14ac:dyDescent="0.45">
      <c r="A10" s="4">
        <v>45971</v>
      </c>
      <c r="B10" s="25">
        <f t="shared" si="9"/>
        <v>4</v>
      </c>
      <c r="C10" s="8" t="str">
        <f t="shared" si="0"/>
        <v>Dimensions: L W H</v>
      </c>
      <c r="D10" s="7" t="str">
        <f t="shared" si="1"/>
        <v>완료</v>
      </c>
      <c r="E10" s="1">
        <v>21</v>
      </c>
      <c r="F10" s="3"/>
      <c r="G10" s="91" t="s">
        <v>40</v>
      </c>
      <c r="H10" s="1" t="s">
        <v>17</v>
      </c>
      <c r="I10" s="1" t="s">
        <v>17</v>
      </c>
      <c r="J10" s="91" t="s">
        <v>40</v>
      </c>
      <c r="K10" s="1"/>
      <c r="L10" s="92" t="str">
        <f t="shared" si="5"/>
        <v>VITA</v>
      </c>
      <c r="M10" s="92" t="str">
        <f t="shared" si="6"/>
        <v>MARK II</v>
      </c>
      <c r="N10" s="92">
        <f t="shared" si="10"/>
        <v>160</v>
      </c>
      <c r="O10" s="92" t="str">
        <f t="shared" si="11"/>
        <v>-</v>
      </c>
      <c r="P10" s="25">
        <f>IF(LEN(A10)&gt;0, 종합!$C$27, "")</f>
        <v>2.2599999999999998</v>
      </c>
      <c r="Q10" s="1" t="s">
        <v>17</v>
      </c>
      <c r="R10" s="8" t="str">
        <f t="shared" si="2"/>
        <v>-</v>
      </c>
      <c r="S10" s="8" t="str">
        <f t="shared" si="2"/>
        <v>-</v>
      </c>
      <c r="T10" s="8" t="str">
        <f t="shared" si="2"/>
        <v>-</v>
      </c>
      <c r="U10" s="8" t="str">
        <f t="shared" si="2"/>
        <v>-</v>
      </c>
      <c r="V10" s="8" t="str">
        <f t="shared" si="3"/>
        <v>-</v>
      </c>
      <c r="W10" s="8" t="str">
        <f t="shared" si="3"/>
        <v>-</v>
      </c>
      <c r="X10" s="8" t="str">
        <f t="shared" si="3"/>
        <v>-</v>
      </c>
      <c r="Y10" s="8" t="str">
        <f t="shared" si="3"/>
        <v>-</v>
      </c>
      <c r="Z10" s="8" t="str">
        <f t="shared" si="3"/>
        <v>-</v>
      </c>
      <c r="AA10" s="8" t="str">
        <f t="shared" si="3"/>
        <v>-</v>
      </c>
      <c r="AB10" s="8" t="str">
        <f t="shared" si="3"/>
        <v>-</v>
      </c>
      <c r="AC10" s="8" t="str">
        <f t="shared" si="3"/>
        <v>-</v>
      </c>
      <c r="AD10" s="8" t="str">
        <f>IF(MOD($B10,5)=0, "스핀들소음 :","-" )</f>
        <v>-</v>
      </c>
      <c r="AE10" s="8" t="str">
        <f t="shared" si="4"/>
        <v>-</v>
      </c>
      <c r="AF10" s="8" t="str">
        <f t="shared" si="8"/>
        <v>-</v>
      </c>
      <c r="AG10" s="1" t="s">
        <v>17</v>
      </c>
      <c r="AH10" s="2"/>
    </row>
    <row r="11" spans="1:43" x14ac:dyDescent="0.45">
      <c r="A11" s="4">
        <v>45971</v>
      </c>
      <c r="B11" s="25">
        <f t="shared" si="9"/>
        <v>5</v>
      </c>
      <c r="C11" s="8" t="str">
        <f t="shared" si="0"/>
        <v>Dimensions: L W H</v>
      </c>
      <c r="D11" s="7" t="str">
        <f t="shared" si="1"/>
        <v>완료</v>
      </c>
      <c r="E11" s="1">
        <v>21</v>
      </c>
      <c r="F11" s="3"/>
      <c r="G11" s="91" t="s">
        <v>40</v>
      </c>
      <c r="H11" s="1" t="s">
        <v>17</v>
      </c>
      <c r="I11" s="1" t="s">
        <v>17</v>
      </c>
      <c r="J11" s="91" t="s">
        <v>40</v>
      </c>
      <c r="K11" s="1"/>
      <c r="L11" s="92" t="str">
        <f t="shared" si="5"/>
        <v>VITA</v>
      </c>
      <c r="M11" s="92" t="str">
        <f t="shared" si="6"/>
        <v>MARK II</v>
      </c>
      <c r="N11" s="92">
        <f t="shared" si="10"/>
        <v>160</v>
      </c>
      <c r="O11" s="92" t="str">
        <f t="shared" si="11"/>
        <v>-</v>
      </c>
      <c r="P11" s="25">
        <f>IF(LEN(A11)&gt;0, 종합!$C$27, "")</f>
        <v>2.2599999999999998</v>
      </c>
      <c r="Q11" s="1" t="s">
        <v>17</v>
      </c>
      <c r="R11" s="8" t="s">
        <v>45</v>
      </c>
      <c r="S11" s="8" t="s">
        <v>45</v>
      </c>
      <c r="T11" s="8" t="s">
        <v>45</v>
      </c>
      <c r="U11" s="8" t="s">
        <v>45</v>
      </c>
      <c r="V11" s="8" t="s">
        <v>76</v>
      </c>
      <c r="W11" s="8" t="s">
        <v>77</v>
      </c>
      <c r="X11" s="8" t="s">
        <v>78</v>
      </c>
      <c r="Y11" s="8" t="s">
        <v>79</v>
      </c>
      <c r="Z11" s="8" t="s">
        <v>80</v>
      </c>
      <c r="AA11" s="8" t="s">
        <v>81</v>
      </c>
      <c r="AB11" s="8" t="s">
        <v>82</v>
      </c>
      <c r="AC11" s="8" t="s">
        <v>83</v>
      </c>
      <c r="AD11" s="8" t="s">
        <v>67</v>
      </c>
      <c r="AE11" s="8" t="str">
        <f t="shared" si="4"/>
        <v>-</v>
      </c>
      <c r="AF11" s="8" t="str">
        <f t="shared" si="8"/>
        <v>-</v>
      </c>
      <c r="AG11" s="1" t="s">
        <v>17</v>
      </c>
      <c r="AH11" s="2"/>
    </row>
    <row r="12" spans="1:43" x14ac:dyDescent="0.45">
      <c r="A12" s="4">
        <v>45971</v>
      </c>
      <c r="B12" s="25">
        <f t="shared" si="9"/>
        <v>6</v>
      </c>
      <c r="C12" s="8" t="str">
        <f t="shared" si="0"/>
        <v>Dimensions: L W H</v>
      </c>
      <c r="D12" s="7" t="str">
        <f t="shared" si="1"/>
        <v>완료</v>
      </c>
      <c r="E12" s="1">
        <v>19</v>
      </c>
      <c r="F12" s="3"/>
      <c r="G12" s="91" t="s">
        <v>40</v>
      </c>
      <c r="H12" s="1" t="s">
        <v>17</v>
      </c>
      <c r="I12" s="1" t="s">
        <v>17</v>
      </c>
      <c r="J12" s="91" t="s">
        <v>40</v>
      </c>
      <c r="K12" s="1"/>
      <c r="L12" s="92" t="str">
        <f t="shared" si="5"/>
        <v>VITA</v>
      </c>
      <c r="M12" s="92" t="str">
        <f t="shared" si="6"/>
        <v>MARK II</v>
      </c>
      <c r="N12" s="92">
        <f t="shared" si="10"/>
        <v>160</v>
      </c>
      <c r="O12" s="92" t="str">
        <f t="shared" si="11"/>
        <v>-</v>
      </c>
      <c r="P12" s="25">
        <f>IF(LEN(A12)&gt;0, 종합!$C$27, "")</f>
        <v>2.2599999999999998</v>
      </c>
      <c r="Q12" s="1" t="s">
        <v>17</v>
      </c>
      <c r="R12" s="8" t="str">
        <f t="shared" ref="R12:U17" si="12">IF(MOD($B12,5)=0, "스핀들유격: ","-" )</f>
        <v>-</v>
      </c>
      <c r="S12" s="8" t="str">
        <f t="shared" si="12"/>
        <v>-</v>
      </c>
      <c r="T12" s="8" t="str">
        <f t="shared" si="12"/>
        <v>-</v>
      </c>
      <c r="U12" s="8" t="str">
        <f t="shared" si="12"/>
        <v>-</v>
      </c>
      <c r="V12" s="8" t="str">
        <f t="shared" ref="V12:AC17" si="13">IF(MOD($B12,5)=0, "000-000","-" )</f>
        <v>-</v>
      </c>
      <c r="W12" s="8" t="str">
        <f t="shared" si="13"/>
        <v>-</v>
      </c>
      <c r="X12" s="8" t="str">
        <f t="shared" si="13"/>
        <v>-</v>
      </c>
      <c r="Y12" s="8" t="str">
        <f t="shared" si="13"/>
        <v>-</v>
      </c>
      <c r="Z12" s="8" t="str">
        <f t="shared" si="13"/>
        <v>-</v>
      </c>
      <c r="AA12" s="8" t="str">
        <f t="shared" si="13"/>
        <v>-</v>
      </c>
      <c r="AB12" s="8" t="str">
        <f t="shared" si="13"/>
        <v>-</v>
      </c>
      <c r="AC12" s="8" t="str">
        <f t="shared" si="13"/>
        <v>-</v>
      </c>
      <c r="AD12" s="8" t="str">
        <f t="shared" ref="AD12:AD17" si="14">IF(MOD($B12,5)=0, "스핀들소음 :","-" )</f>
        <v>-</v>
      </c>
      <c r="AE12" s="8" t="str">
        <f t="shared" si="4"/>
        <v>-</v>
      </c>
      <c r="AF12" s="8" t="str">
        <f t="shared" si="8"/>
        <v>-</v>
      </c>
      <c r="AG12" s="1" t="s">
        <v>17</v>
      </c>
      <c r="AH12" s="2"/>
    </row>
    <row r="13" spans="1:43" x14ac:dyDescent="0.45">
      <c r="A13" s="4">
        <v>45972</v>
      </c>
      <c r="B13" s="25">
        <f t="shared" si="9"/>
        <v>7</v>
      </c>
      <c r="C13" s="8" t="str">
        <f t="shared" si="0"/>
        <v>Dimensions: L W H</v>
      </c>
      <c r="D13" s="7" t="str">
        <f t="shared" si="1"/>
        <v>완료</v>
      </c>
      <c r="E13" s="1">
        <v>23</v>
      </c>
      <c r="F13" s="3"/>
      <c r="G13" s="89">
        <v>0</v>
      </c>
      <c r="H13" s="1" t="s">
        <v>17</v>
      </c>
      <c r="I13" s="1" t="s">
        <v>17</v>
      </c>
      <c r="J13" s="89">
        <v>0</v>
      </c>
      <c r="K13" s="1"/>
      <c r="L13" s="92" t="str">
        <f t="shared" si="5"/>
        <v>VITA</v>
      </c>
      <c r="M13" s="92" t="str">
        <f t="shared" si="6"/>
        <v>MARK II</v>
      </c>
      <c r="N13" s="92">
        <f t="shared" si="10"/>
        <v>160</v>
      </c>
      <c r="O13" s="92" t="str">
        <f t="shared" si="11"/>
        <v>-</v>
      </c>
      <c r="P13" s="25">
        <f>IF(LEN(A13)&gt;0, 종합!$C$27, "")</f>
        <v>2.2599999999999998</v>
      </c>
      <c r="Q13" s="1" t="s">
        <v>17</v>
      </c>
      <c r="R13" s="8" t="str">
        <f t="shared" si="12"/>
        <v>-</v>
      </c>
      <c r="S13" s="8" t="str">
        <f t="shared" si="12"/>
        <v>-</v>
      </c>
      <c r="T13" s="8" t="str">
        <f t="shared" si="12"/>
        <v>-</v>
      </c>
      <c r="U13" s="8" t="str">
        <f t="shared" si="12"/>
        <v>-</v>
      </c>
      <c r="V13" s="8" t="str">
        <f t="shared" si="13"/>
        <v>-</v>
      </c>
      <c r="W13" s="8" t="str">
        <f t="shared" si="13"/>
        <v>-</v>
      </c>
      <c r="X13" s="8" t="str">
        <f t="shared" si="13"/>
        <v>-</v>
      </c>
      <c r="Y13" s="8" t="str">
        <f t="shared" si="13"/>
        <v>-</v>
      </c>
      <c r="Z13" s="8" t="str">
        <f t="shared" si="13"/>
        <v>-</v>
      </c>
      <c r="AA13" s="8" t="str">
        <f t="shared" si="13"/>
        <v>-</v>
      </c>
      <c r="AB13" s="8" t="str">
        <f t="shared" si="13"/>
        <v>-</v>
      </c>
      <c r="AC13" s="8" t="str">
        <f t="shared" si="13"/>
        <v>-</v>
      </c>
      <c r="AD13" s="8" t="str">
        <f t="shared" si="14"/>
        <v>-</v>
      </c>
      <c r="AE13" s="8" t="str">
        <f t="shared" si="4"/>
        <v>-</v>
      </c>
      <c r="AF13" s="8" t="str">
        <f t="shared" si="8"/>
        <v>-</v>
      </c>
      <c r="AG13" s="1" t="s">
        <v>17</v>
      </c>
      <c r="AH13" s="2"/>
    </row>
    <row r="14" spans="1:43" x14ac:dyDescent="0.45">
      <c r="A14" s="4">
        <v>45972</v>
      </c>
      <c r="B14" s="25">
        <f t="shared" si="9"/>
        <v>8</v>
      </c>
      <c r="C14" s="8" t="str">
        <f t="shared" si="0"/>
        <v>Dimensions: L W H</v>
      </c>
      <c r="D14" s="7" t="str">
        <f t="shared" si="1"/>
        <v>완료</v>
      </c>
      <c r="E14" s="1">
        <v>21</v>
      </c>
      <c r="F14" s="3"/>
      <c r="G14" s="89">
        <f>IF(NOT(LEN($A14)=0),IF(G13+1&gt;15,"버교체요망",G13+1),"")</f>
        <v>1</v>
      </c>
      <c r="H14" s="1" t="s">
        <v>17</v>
      </c>
      <c r="I14" s="1" t="s">
        <v>17</v>
      </c>
      <c r="J14" s="89">
        <f>IF(NOT(LEN($A14)=0),IF(J13+1&gt;15,"버교체요망",J13+1),"")</f>
        <v>1</v>
      </c>
      <c r="K14" s="1"/>
      <c r="L14" s="92" t="str">
        <f t="shared" si="5"/>
        <v>VITA</v>
      </c>
      <c r="M14" s="92" t="str">
        <f t="shared" si="6"/>
        <v>MARK II</v>
      </c>
      <c r="N14" s="92">
        <f t="shared" si="10"/>
        <v>160</v>
      </c>
      <c r="O14" s="92" t="str">
        <f t="shared" si="11"/>
        <v>-</v>
      </c>
      <c r="P14" s="25">
        <f>IF(LEN(A14)&gt;0, 종합!$C$27, "")</f>
        <v>2.2599999999999998</v>
      </c>
      <c r="Q14" s="1" t="s">
        <v>17</v>
      </c>
      <c r="R14" s="8" t="str">
        <f t="shared" si="12"/>
        <v>-</v>
      </c>
      <c r="S14" s="8" t="str">
        <f t="shared" si="12"/>
        <v>-</v>
      </c>
      <c r="T14" s="8" t="str">
        <f t="shared" si="12"/>
        <v>-</v>
      </c>
      <c r="U14" s="8" t="str">
        <f t="shared" si="12"/>
        <v>-</v>
      </c>
      <c r="V14" s="8" t="str">
        <f t="shared" si="13"/>
        <v>-</v>
      </c>
      <c r="W14" s="8" t="str">
        <f t="shared" si="13"/>
        <v>-</v>
      </c>
      <c r="X14" s="8" t="str">
        <f t="shared" si="13"/>
        <v>-</v>
      </c>
      <c r="Y14" s="8" t="str">
        <f t="shared" si="13"/>
        <v>-</v>
      </c>
      <c r="Z14" s="8" t="str">
        <f t="shared" si="13"/>
        <v>-</v>
      </c>
      <c r="AA14" s="8" t="str">
        <f t="shared" si="13"/>
        <v>-</v>
      </c>
      <c r="AB14" s="8" t="str">
        <f t="shared" si="13"/>
        <v>-</v>
      </c>
      <c r="AC14" s="8" t="str">
        <f t="shared" si="13"/>
        <v>-</v>
      </c>
      <c r="AD14" s="8" t="str">
        <f t="shared" si="14"/>
        <v>-</v>
      </c>
      <c r="AE14" s="8" t="str">
        <f t="shared" si="4"/>
        <v>-</v>
      </c>
      <c r="AF14" s="8" t="str">
        <f t="shared" si="8"/>
        <v>-</v>
      </c>
      <c r="AG14" s="1" t="s">
        <v>17</v>
      </c>
      <c r="AH14" s="2"/>
    </row>
    <row r="15" spans="1:43" x14ac:dyDescent="0.45">
      <c r="A15" s="4">
        <v>45972</v>
      </c>
      <c r="B15" s="25">
        <f t="shared" si="9"/>
        <v>9</v>
      </c>
      <c r="C15" s="8" t="str">
        <f t="shared" si="0"/>
        <v>Dimensions: L W H</v>
      </c>
      <c r="D15" s="7" t="str">
        <f t="shared" si="1"/>
        <v>완료</v>
      </c>
      <c r="E15" s="1">
        <v>21</v>
      </c>
      <c r="F15" s="3"/>
      <c r="G15" s="89">
        <f t="shared" ref="G15:G22" si="15">IF(NOT(LEN($A15)=0),IF(G14+1&gt;15,"버교체요망",G14+1),"")</f>
        <v>2</v>
      </c>
      <c r="H15" s="1" t="s">
        <v>17</v>
      </c>
      <c r="I15" s="1" t="s">
        <v>17</v>
      </c>
      <c r="J15" s="89">
        <f t="shared" ref="J15:L22" si="16">IF(NOT(LEN($A15)=0),IF(J14+1&gt;15,"버교체요망",J14+1),"")</f>
        <v>2</v>
      </c>
      <c r="K15" s="1"/>
      <c r="L15" s="92" t="str">
        <f t="shared" si="5"/>
        <v>VITA</v>
      </c>
      <c r="M15" s="92" t="str">
        <f t="shared" si="6"/>
        <v>MARK II</v>
      </c>
      <c r="N15" s="92">
        <f t="shared" si="10"/>
        <v>160</v>
      </c>
      <c r="O15" s="92" t="str">
        <f t="shared" si="11"/>
        <v>-</v>
      </c>
      <c r="P15" s="25">
        <f>IF(LEN(A15)&gt;0, 종합!$C$27, "")</f>
        <v>2.2599999999999998</v>
      </c>
      <c r="Q15" s="1" t="s">
        <v>17</v>
      </c>
      <c r="R15" s="8" t="str">
        <f t="shared" si="12"/>
        <v>-</v>
      </c>
      <c r="S15" s="8" t="str">
        <f t="shared" si="12"/>
        <v>-</v>
      </c>
      <c r="T15" s="8" t="str">
        <f t="shared" si="12"/>
        <v>-</v>
      </c>
      <c r="U15" s="8" t="str">
        <f t="shared" si="12"/>
        <v>-</v>
      </c>
      <c r="V15" s="8" t="str">
        <f t="shared" si="13"/>
        <v>-</v>
      </c>
      <c r="W15" s="8" t="str">
        <f t="shared" si="13"/>
        <v>-</v>
      </c>
      <c r="X15" s="8" t="str">
        <f t="shared" si="13"/>
        <v>-</v>
      </c>
      <c r="Y15" s="8" t="str">
        <f t="shared" si="13"/>
        <v>-</v>
      </c>
      <c r="Z15" s="8" t="str">
        <f t="shared" si="13"/>
        <v>-</v>
      </c>
      <c r="AA15" s="8" t="str">
        <f t="shared" si="13"/>
        <v>-</v>
      </c>
      <c r="AB15" s="8" t="str">
        <f t="shared" si="13"/>
        <v>-</v>
      </c>
      <c r="AC15" s="8" t="str">
        <f t="shared" si="13"/>
        <v>-</v>
      </c>
      <c r="AD15" s="8" t="str">
        <f t="shared" si="14"/>
        <v>-</v>
      </c>
      <c r="AE15" s="8" t="str">
        <f t="shared" si="4"/>
        <v>-</v>
      </c>
      <c r="AF15" s="8" t="str">
        <f t="shared" si="8"/>
        <v>-</v>
      </c>
      <c r="AG15" s="1" t="s">
        <v>17</v>
      </c>
      <c r="AH15" s="2"/>
    </row>
    <row r="16" spans="1:43" x14ac:dyDescent="0.45">
      <c r="A16" s="4">
        <v>45972</v>
      </c>
      <c r="B16" s="25">
        <f t="shared" si="9"/>
        <v>10</v>
      </c>
      <c r="C16" s="8" t="str">
        <f t="shared" si="0"/>
        <v>Dimensions: L W H</v>
      </c>
      <c r="D16" s="7" t="str">
        <f t="shared" si="1"/>
        <v>완료</v>
      </c>
      <c r="E16" s="1">
        <v>21</v>
      </c>
      <c r="F16" s="3"/>
      <c r="G16" s="89">
        <f t="shared" si="15"/>
        <v>3</v>
      </c>
      <c r="H16" s="1" t="s">
        <v>17</v>
      </c>
      <c r="I16" s="1" t="s">
        <v>17</v>
      </c>
      <c r="J16" s="89">
        <f t="shared" si="16"/>
        <v>3</v>
      </c>
      <c r="K16" s="1"/>
      <c r="L16" s="92" t="str">
        <f t="shared" si="5"/>
        <v>VITA</v>
      </c>
      <c r="M16" s="92" t="str">
        <f t="shared" si="6"/>
        <v>MARK II</v>
      </c>
      <c r="N16" s="92">
        <f t="shared" si="10"/>
        <v>160</v>
      </c>
      <c r="O16" s="92" t="str">
        <f t="shared" si="11"/>
        <v>-</v>
      </c>
      <c r="P16" s="25">
        <f>IF(LEN(A16)&gt;0, 종합!$C$27, "")</f>
        <v>2.2599999999999998</v>
      </c>
      <c r="Q16" s="1" t="s">
        <v>17</v>
      </c>
      <c r="R16" s="8" t="str">
        <f t="shared" si="12"/>
        <v xml:space="preserve">스핀들유격: </v>
      </c>
      <c r="S16" s="8" t="str">
        <f t="shared" si="12"/>
        <v xml:space="preserve">스핀들유격: </v>
      </c>
      <c r="T16" s="8" t="str">
        <f t="shared" si="12"/>
        <v xml:space="preserve">스핀들유격: </v>
      </c>
      <c r="U16" s="8" t="str">
        <f t="shared" si="12"/>
        <v xml:space="preserve">스핀들유격: </v>
      </c>
      <c r="V16" s="8" t="str">
        <f t="shared" si="13"/>
        <v>000-000</v>
      </c>
      <c r="W16" s="8" t="str">
        <f t="shared" si="13"/>
        <v>000-000</v>
      </c>
      <c r="X16" s="8" t="str">
        <f t="shared" si="13"/>
        <v>000-000</v>
      </c>
      <c r="Y16" s="8" t="str">
        <f t="shared" si="13"/>
        <v>000-000</v>
      </c>
      <c r="Z16" s="8" t="str">
        <f t="shared" si="13"/>
        <v>000-000</v>
      </c>
      <c r="AA16" s="8" t="str">
        <f t="shared" si="13"/>
        <v>000-000</v>
      </c>
      <c r="AB16" s="8" t="str">
        <f t="shared" si="13"/>
        <v>000-000</v>
      </c>
      <c r="AC16" s="8" t="str">
        <f t="shared" si="13"/>
        <v>000-000</v>
      </c>
      <c r="AD16" s="8" t="str">
        <f t="shared" si="14"/>
        <v>스핀들소음 :</v>
      </c>
      <c r="AE16" s="8" t="str">
        <f t="shared" si="4"/>
        <v>-</v>
      </c>
      <c r="AF16" s="8" t="str">
        <f t="shared" si="8"/>
        <v>-</v>
      </c>
      <c r="AG16" s="1" t="s">
        <v>17</v>
      </c>
      <c r="AH16" s="2"/>
    </row>
    <row r="17" spans="1:34" x14ac:dyDescent="0.45">
      <c r="A17" s="4">
        <v>45973</v>
      </c>
      <c r="B17" s="25">
        <f t="shared" si="9"/>
        <v>11</v>
      </c>
      <c r="C17" s="8" t="str">
        <f t="shared" si="0"/>
        <v>Dimensions: L W H</v>
      </c>
      <c r="D17" s="7" t="str">
        <f t="shared" si="1"/>
        <v>완료</v>
      </c>
      <c r="E17" s="1">
        <v>21</v>
      </c>
      <c r="F17" s="3"/>
      <c r="G17" s="89">
        <f t="shared" si="15"/>
        <v>4</v>
      </c>
      <c r="H17" s="1" t="s">
        <v>17</v>
      </c>
      <c r="I17" s="1" t="s">
        <v>17</v>
      </c>
      <c r="J17" s="89">
        <f t="shared" si="16"/>
        <v>4</v>
      </c>
      <c r="K17" s="1"/>
      <c r="L17" s="92" t="str">
        <f t="shared" si="5"/>
        <v>VITA</v>
      </c>
      <c r="M17" s="92" t="str">
        <f t="shared" si="6"/>
        <v>MARK II</v>
      </c>
      <c r="N17" s="92">
        <f t="shared" si="10"/>
        <v>160</v>
      </c>
      <c r="O17" s="92" t="str">
        <f t="shared" si="11"/>
        <v>-</v>
      </c>
      <c r="P17" s="25">
        <f>IF(LEN(A17)&gt;0, 종합!$C$27, "")</f>
        <v>2.2599999999999998</v>
      </c>
      <c r="Q17" s="1" t="s">
        <v>17</v>
      </c>
      <c r="R17" s="8" t="str">
        <f t="shared" si="12"/>
        <v>-</v>
      </c>
      <c r="S17" s="8" t="str">
        <f t="shared" si="12"/>
        <v>-</v>
      </c>
      <c r="T17" s="8" t="str">
        <f t="shared" si="12"/>
        <v>-</v>
      </c>
      <c r="U17" s="8" t="str">
        <f t="shared" si="12"/>
        <v>-</v>
      </c>
      <c r="V17" s="8" t="str">
        <f t="shared" si="13"/>
        <v>-</v>
      </c>
      <c r="W17" s="8" t="str">
        <f t="shared" si="13"/>
        <v>-</v>
      </c>
      <c r="X17" s="8" t="str">
        <f t="shared" si="13"/>
        <v>-</v>
      </c>
      <c r="Y17" s="8" t="str">
        <f t="shared" si="13"/>
        <v>-</v>
      </c>
      <c r="Z17" s="8" t="str">
        <f t="shared" si="13"/>
        <v>-</v>
      </c>
      <c r="AA17" s="8" t="str">
        <f t="shared" si="13"/>
        <v>-</v>
      </c>
      <c r="AB17" s="8" t="str">
        <f t="shared" si="13"/>
        <v>-</v>
      </c>
      <c r="AC17" s="8" t="str">
        <f t="shared" si="13"/>
        <v>-</v>
      </c>
      <c r="AD17" s="8" t="str">
        <f t="shared" si="14"/>
        <v>-</v>
      </c>
      <c r="AE17" s="8" t="str">
        <f t="shared" si="4"/>
        <v>-</v>
      </c>
      <c r="AF17" s="8" t="str">
        <f t="shared" ref="AF17" si="17">IF($B17="","",
  IF(MOD(B17,160)=0,
    "TENSION (XL : / ZL : / XR : / ZR : / Y : )" &amp; CHAR(10) &amp;
    "필터교체",
    "-"
  )
)</f>
        <v>-</v>
      </c>
      <c r="AG17" s="1" t="s">
        <v>17</v>
      </c>
      <c r="AH17" s="2"/>
    </row>
    <row r="18" spans="1:34" x14ac:dyDescent="0.45">
      <c r="A18" s="4">
        <v>45973</v>
      </c>
      <c r="B18" s="25">
        <f t="shared" si="9"/>
        <v>12</v>
      </c>
      <c r="C18" s="8" t="str">
        <f t="shared" si="0"/>
        <v>Dimensions: L W H</v>
      </c>
      <c r="D18" s="7" t="str">
        <f>IF(NOT(LEN(B18)=0),"진행중","")</f>
        <v>진행중</v>
      </c>
      <c r="E18">
        <v>23</v>
      </c>
      <c r="G18" s="89">
        <f t="shared" si="15"/>
        <v>5</v>
      </c>
      <c r="J18" s="89">
        <f t="shared" si="16"/>
        <v>5</v>
      </c>
      <c r="L18" s="92" t="str">
        <f>IF(NOT(LEN($J18)=0),L17,"")</f>
        <v>VITA</v>
      </c>
      <c r="M18" s="92" t="str">
        <f>IF(NOT(LEN($J18)=0),M17,"")</f>
        <v>MARK II</v>
      </c>
      <c r="N18" s="92">
        <f t="shared" si="10"/>
        <v>160</v>
      </c>
      <c r="O18" s="92" t="str">
        <f t="shared" si="11"/>
        <v>-</v>
      </c>
      <c r="P18" s="25">
        <f>IF(LEN(A18)&gt;0, 종합!$C$27, "")</f>
        <v>2.2599999999999998</v>
      </c>
    </row>
    <row r="19" spans="1:34" x14ac:dyDescent="0.45">
      <c r="B19" s="25" t="str">
        <f t="shared" si="9"/>
        <v/>
      </c>
      <c r="C19" s="8" t="str">
        <f t="shared" si="0"/>
        <v/>
      </c>
      <c r="D19" s="7" t="str">
        <f t="shared" ref="D19:D22" si="18">IF(NOT(LEN(B19)=0),"진행중","")</f>
        <v/>
      </c>
      <c r="G19" s="89" t="str">
        <f t="shared" si="15"/>
        <v/>
      </c>
      <c r="J19" s="89" t="str">
        <f t="shared" si="16"/>
        <v/>
      </c>
    </row>
    <row r="20" spans="1:34" x14ac:dyDescent="0.45">
      <c r="B20" s="25" t="str">
        <f t="shared" si="9"/>
        <v/>
      </c>
      <c r="C20" s="8" t="str">
        <f t="shared" si="0"/>
        <v/>
      </c>
      <c r="D20" s="7" t="str">
        <f t="shared" si="18"/>
        <v/>
      </c>
      <c r="G20" s="89" t="str">
        <f t="shared" si="15"/>
        <v/>
      </c>
      <c r="J20" s="89" t="str">
        <f t="shared" si="16"/>
        <v/>
      </c>
    </row>
    <row r="21" spans="1:34" x14ac:dyDescent="0.45">
      <c r="B21" s="25" t="str">
        <f t="shared" si="9"/>
        <v/>
      </c>
      <c r="C21" s="8" t="str">
        <f t="shared" si="0"/>
        <v/>
      </c>
      <c r="D21" s="7" t="str">
        <f t="shared" si="18"/>
        <v/>
      </c>
      <c r="G21" s="89" t="str">
        <f t="shared" si="15"/>
        <v/>
      </c>
      <c r="J21" s="89" t="str">
        <f t="shared" si="16"/>
        <v/>
      </c>
    </row>
    <row r="22" spans="1:34" x14ac:dyDescent="0.45">
      <c r="B22" s="25" t="str">
        <f t="shared" si="9"/>
        <v/>
      </c>
      <c r="C22" s="8" t="str">
        <f t="shared" si="0"/>
        <v/>
      </c>
      <c r="D22" s="7" t="str">
        <f t="shared" si="18"/>
        <v/>
      </c>
      <c r="G22" s="89" t="str">
        <f t="shared" si="15"/>
        <v/>
      </c>
      <c r="J22" s="89" t="str">
        <f t="shared" si="16"/>
        <v/>
      </c>
    </row>
    <row r="23" spans="1:34" x14ac:dyDescent="0.45">
      <c r="A23" s="6" t="s">
        <v>18</v>
      </c>
      <c r="B23" s="26" t="s">
        <v>18</v>
      </c>
      <c r="C23" s="6" t="s">
        <v>18</v>
      </c>
      <c r="D23" s="6" t="s">
        <v>18</v>
      </c>
      <c r="E23" s="6" t="s">
        <v>18</v>
      </c>
      <c r="F23" s="6" t="s">
        <v>18</v>
      </c>
      <c r="G23" s="6" t="s">
        <v>18</v>
      </c>
      <c r="H23" s="6" t="s">
        <v>18</v>
      </c>
      <c r="I23" s="6" t="s">
        <v>18</v>
      </c>
      <c r="J23" s="6" t="s">
        <v>18</v>
      </c>
      <c r="K23" s="6" t="s">
        <v>18</v>
      </c>
      <c r="L23" s="6" t="s">
        <v>18</v>
      </c>
      <c r="M23" s="6" t="s">
        <v>18</v>
      </c>
      <c r="N23" s="6" t="s">
        <v>18</v>
      </c>
      <c r="O23" s="6" t="s">
        <v>18</v>
      </c>
      <c r="P23" s="6" t="s">
        <v>18</v>
      </c>
      <c r="Q23" s="6" t="s">
        <v>18</v>
      </c>
      <c r="R23" s="6" t="s">
        <v>18</v>
      </c>
      <c r="S23" s="6" t="s">
        <v>18</v>
      </c>
      <c r="T23" s="6" t="s">
        <v>18</v>
      </c>
      <c r="U23" s="6" t="s">
        <v>18</v>
      </c>
      <c r="V23" s="6" t="s">
        <v>18</v>
      </c>
      <c r="W23" s="6" t="s">
        <v>18</v>
      </c>
      <c r="X23" s="6" t="s">
        <v>18</v>
      </c>
      <c r="Y23" s="6" t="s">
        <v>18</v>
      </c>
      <c r="Z23" s="6" t="s">
        <v>18</v>
      </c>
      <c r="AA23" s="6" t="s">
        <v>18</v>
      </c>
      <c r="AB23" s="6" t="s">
        <v>18</v>
      </c>
      <c r="AC23" s="6" t="s">
        <v>18</v>
      </c>
      <c r="AD23" s="6" t="s">
        <v>18</v>
      </c>
      <c r="AE23" s="6" t="s">
        <v>18</v>
      </c>
      <c r="AF23" s="6" t="s">
        <v>18</v>
      </c>
      <c r="AG23" s="6" t="s">
        <v>18</v>
      </c>
      <c r="AH23" s="6" t="s">
        <v>18</v>
      </c>
    </row>
  </sheetData>
  <mergeCells count="12">
    <mergeCell ref="A1:AH1"/>
    <mergeCell ref="Z5:AD5"/>
    <mergeCell ref="R4:AD4"/>
    <mergeCell ref="G5:J5"/>
    <mergeCell ref="A2:A5"/>
    <mergeCell ref="V5:Y5"/>
    <mergeCell ref="AG2:AH6"/>
    <mergeCell ref="R5:U5"/>
    <mergeCell ref="Q2:AF3"/>
    <mergeCell ref="B2:F5"/>
    <mergeCell ref="L5:O5"/>
    <mergeCell ref="G2:P4"/>
  </mergeCells>
  <phoneticPr fontId="1" type="noConversion"/>
  <conditionalFormatting sqref="D7:D17">
    <cfRule type="containsText" dxfId="795" priority="179" operator="containsText" text="완료">
      <formula>NOT(ISERROR(SEARCH("완료",D7)))</formula>
    </cfRule>
    <cfRule type="containsText" dxfId="794" priority="180" operator="containsText" text="중단">
      <formula>NOT(ISERROR(SEARCH("중단",D7)))</formula>
    </cfRule>
  </conditionalFormatting>
  <conditionalFormatting sqref="I7:I10 G7:G10 I14:I15">
    <cfRule type="containsText" dxfId="793" priority="176" operator="containsText" text="신품">
      <formula>NOT(ISERROR(SEARCH("신품",G7)))</formula>
    </cfRule>
    <cfRule type="containsText" dxfId="792" priority="178" operator="containsText" text="중고">
      <formula>NOT(ISERROR(SEARCH("중고",G7)))</formula>
    </cfRule>
  </conditionalFormatting>
  <conditionalFormatting sqref="J7:J10">
    <cfRule type="containsText" dxfId="791" priority="174" operator="containsText" text="신품">
      <formula>NOT(ISERROR(SEARCH("신품",J7)))</formula>
    </cfRule>
    <cfRule type="containsText" dxfId="790" priority="175" operator="containsText" text="중고">
      <formula>NOT(ISERROR(SEARCH("중고",J7)))</formula>
    </cfRule>
  </conditionalFormatting>
  <conditionalFormatting sqref="D11">
    <cfRule type="containsText" dxfId="789" priority="170" operator="containsText" text="완료">
      <formula>NOT(ISERROR(SEARCH("완료",D11)))</formula>
    </cfRule>
    <cfRule type="containsText" dxfId="788" priority="171" operator="containsText" text="중단">
      <formula>NOT(ISERROR(SEARCH("중단",D11)))</formula>
    </cfRule>
  </conditionalFormatting>
  <conditionalFormatting sqref="I11 G11">
    <cfRule type="containsText" dxfId="787" priority="168" operator="containsText" text="신품">
      <formula>NOT(ISERROR(SEARCH("신품",G11)))</formula>
    </cfRule>
    <cfRule type="containsText" dxfId="786" priority="169" operator="containsText" text="중고">
      <formula>NOT(ISERROR(SEARCH("중고",G11)))</formula>
    </cfRule>
  </conditionalFormatting>
  <conditionalFormatting sqref="J11">
    <cfRule type="containsText" dxfId="785" priority="166" operator="containsText" text="신품">
      <formula>NOT(ISERROR(SEARCH("신품",J11)))</formula>
    </cfRule>
    <cfRule type="containsText" dxfId="784" priority="167" operator="containsText" text="중고">
      <formula>NOT(ISERROR(SEARCH("중고",J11)))</formula>
    </cfRule>
  </conditionalFormatting>
  <conditionalFormatting sqref="D12:D17">
    <cfRule type="containsText" dxfId="783" priority="164" operator="containsText" text="완료">
      <formula>NOT(ISERROR(SEARCH("완료",D12)))</formula>
    </cfRule>
    <cfRule type="containsText" dxfId="782" priority="165" operator="containsText" text="중단">
      <formula>NOT(ISERROR(SEARCH("중단",D12)))</formula>
    </cfRule>
  </conditionalFormatting>
  <conditionalFormatting sqref="I12:I15 G12">
    <cfRule type="containsText" dxfId="781" priority="162" operator="containsText" text="신품">
      <formula>NOT(ISERROR(SEARCH("신품",G12)))</formula>
    </cfRule>
    <cfRule type="containsText" dxfId="780" priority="163" operator="containsText" text="중고">
      <formula>NOT(ISERROR(SEARCH("중고",G12)))</formula>
    </cfRule>
  </conditionalFormatting>
  <conditionalFormatting sqref="J12">
    <cfRule type="containsText" dxfId="779" priority="160" operator="containsText" text="신품">
      <formula>NOT(ISERROR(SEARCH("신품",J12)))</formula>
    </cfRule>
    <cfRule type="containsText" dxfId="778" priority="161" operator="containsText" text="중고">
      <formula>NOT(ISERROR(SEARCH("중고",J12)))</formula>
    </cfRule>
  </conditionalFormatting>
  <conditionalFormatting sqref="D13:D17">
    <cfRule type="containsText" dxfId="777" priority="158" operator="containsText" text="완료">
      <formula>NOT(ISERROR(SEARCH("완료",D13)))</formula>
    </cfRule>
    <cfRule type="containsText" dxfId="776" priority="159" operator="containsText" text="중단">
      <formula>NOT(ISERROR(SEARCH("중단",D13)))</formula>
    </cfRule>
  </conditionalFormatting>
  <conditionalFormatting sqref="I13">
    <cfRule type="containsText" dxfId="775" priority="156" operator="containsText" text="신품">
      <formula>NOT(ISERROR(SEARCH("신품",I13)))</formula>
    </cfRule>
    <cfRule type="containsText" dxfId="774" priority="157" operator="containsText" text="중고">
      <formula>NOT(ISERROR(SEARCH("중고",I13)))</formula>
    </cfRule>
  </conditionalFormatting>
  <conditionalFormatting sqref="D23 D7:D17">
    <cfRule type="containsText" dxfId="771" priority="153" operator="containsText" text="진행중">
      <formula>NOT(ISERROR(SEARCH("진행중",D7)))</formula>
    </cfRule>
  </conditionalFormatting>
  <conditionalFormatting sqref="I16:I17">
    <cfRule type="containsText" dxfId="770" priority="151" operator="containsText" text="신품">
      <formula>NOT(ISERROR(SEARCH("신품",I16)))</formula>
    </cfRule>
    <cfRule type="containsText" dxfId="769" priority="152" operator="containsText" text="중고">
      <formula>NOT(ISERROR(SEARCH("중고",I16)))</formula>
    </cfRule>
  </conditionalFormatting>
  <conditionalFormatting sqref="I16:I17">
    <cfRule type="containsText" dxfId="766" priority="147" operator="containsText" text="신품">
      <formula>NOT(ISERROR(SEARCH("신품",I16)))</formula>
    </cfRule>
    <cfRule type="containsText" dxfId="765" priority="148" operator="containsText" text="중고">
      <formula>NOT(ISERROR(SEARCH("중고",I16)))</formula>
    </cfRule>
  </conditionalFormatting>
  <conditionalFormatting sqref="D8:D22">
    <cfRule type="containsText" dxfId="758" priority="139" operator="containsText" text="완료">
      <formula>NOT(ISERROR(SEARCH("완료",D8)))</formula>
    </cfRule>
    <cfRule type="containsText" dxfId="757" priority="140" operator="containsText" text="중단">
      <formula>NOT(ISERROR(SEARCH("중단",D8)))</formula>
    </cfRule>
  </conditionalFormatting>
  <conditionalFormatting sqref="D8:D22">
    <cfRule type="containsText" dxfId="756" priority="137" operator="containsText" text="완료">
      <formula>NOT(ISERROR(SEARCH("완료",D8)))</formula>
    </cfRule>
    <cfRule type="containsText" dxfId="755" priority="138" operator="containsText" text="중단">
      <formula>NOT(ISERROR(SEARCH("중단",D8)))</formula>
    </cfRule>
  </conditionalFormatting>
  <conditionalFormatting sqref="D8:D22">
    <cfRule type="containsText" dxfId="754" priority="136" operator="containsText" text="진행중">
      <formula>NOT(ISERROR(SEARCH("진행중",D8)))</formula>
    </cfRule>
  </conditionalFormatting>
  <conditionalFormatting sqref="G14:G22">
    <cfRule type="containsText" dxfId="624" priority="129" operator="containsText" text="완료">
      <formula>NOT(ISERROR(SEARCH("완료",G14)))</formula>
    </cfRule>
    <cfRule type="containsText" dxfId="623" priority="130" operator="containsText" text="중단">
      <formula>NOT(ISERROR(SEARCH("중단",G14)))</formula>
    </cfRule>
  </conditionalFormatting>
  <conditionalFormatting sqref="G14:G22">
    <cfRule type="containsText" dxfId="622" priority="127" operator="containsText" text="완료">
      <formula>NOT(ISERROR(SEARCH("완료",G14)))</formula>
    </cfRule>
    <cfRule type="containsText" dxfId="621" priority="128" operator="containsText" text="중단">
      <formula>NOT(ISERROR(SEARCH("중단",G14)))</formula>
    </cfRule>
  </conditionalFormatting>
  <conditionalFormatting sqref="G14:G22">
    <cfRule type="containsText" dxfId="620" priority="126" operator="containsText" text="진행중">
      <formula>NOT(ISERROR(SEARCH("진행중",G14)))</formula>
    </cfRule>
  </conditionalFormatting>
  <conditionalFormatting sqref="J14:J22">
    <cfRule type="containsText" dxfId="426" priority="84" operator="containsText" text="완료">
      <formula>NOT(ISERROR(SEARCH("완료",J14)))</formula>
    </cfRule>
    <cfRule type="containsText" dxfId="425" priority="85" operator="containsText" text="중단">
      <formula>NOT(ISERROR(SEARCH("중단",J14)))</formula>
    </cfRule>
  </conditionalFormatting>
  <conditionalFormatting sqref="J14:J22">
    <cfRule type="containsText" dxfId="424" priority="82" operator="containsText" text="완료">
      <formula>NOT(ISERROR(SEARCH("완료",J14)))</formula>
    </cfRule>
    <cfRule type="containsText" dxfId="423" priority="83" operator="containsText" text="중단">
      <formula>NOT(ISERROR(SEARCH("중단",J14)))</formula>
    </cfRule>
  </conditionalFormatting>
  <conditionalFormatting sqref="J14:J22">
    <cfRule type="containsText" dxfId="422" priority="81" operator="containsText" text="진행중">
      <formula>NOT(ISERROR(SEARCH("진행중",J14)))</formula>
    </cfRule>
  </conditionalFormatting>
  <conditionalFormatting sqref="G13">
    <cfRule type="containsText" dxfId="404" priority="79" operator="containsText" text="완료">
      <formula>NOT(ISERROR(SEARCH("완료",G13)))</formula>
    </cfRule>
    <cfRule type="containsText" dxfId="403" priority="80" operator="containsText" text="중단">
      <formula>NOT(ISERROR(SEARCH("중단",G13)))</formula>
    </cfRule>
  </conditionalFormatting>
  <conditionalFormatting sqref="G13">
    <cfRule type="containsText" dxfId="402" priority="77" operator="containsText" text="완료">
      <formula>NOT(ISERROR(SEARCH("완료",G13)))</formula>
    </cfRule>
    <cfRule type="containsText" dxfId="401" priority="78" operator="containsText" text="중단">
      <formula>NOT(ISERROR(SEARCH("중단",G13)))</formula>
    </cfRule>
  </conditionalFormatting>
  <conditionalFormatting sqref="G13">
    <cfRule type="containsText" dxfId="400" priority="76" operator="containsText" text="진행중">
      <formula>NOT(ISERROR(SEARCH("진행중",G13)))</formula>
    </cfRule>
  </conditionalFormatting>
  <conditionalFormatting sqref="J13">
    <cfRule type="containsText" dxfId="382" priority="74" operator="containsText" text="완료">
      <formula>NOT(ISERROR(SEARCH("완료",J13)))</formula>
    </cfRule>
    <cfRule type="containsText" dxfId="381" priority="75" operator="containsText" text="중단">
      <formula>NOT(ISERROR(SEARCH("중단",J13)))</formula>
    </cfRule>
  </conditionalFormatting>
  <conditionalFormatting sqref="J13">
    <cfRule type="containsText" dxfId="380" priority="72" operator="containsText" text="완료">
      <formula>NOT(ISERROR(SEARCH("완료",J13)))</formula>
    </cfRule>
    <cfRule type="containsText" dxfId="379" priority="73" operator="containsText" text="중단">
      <formula>NOT(ISERROR(SEARCH("중단",J13)))</formula>
    </cfRule>
  </conditionalFormatting>
  <conditionalFormatting sqref="J13">
    <cfRule type="containsText" dxfId="378" priority="71" operator="containsText" text="진행중">
      <formula>NOT(ISERROR(SEARCH("진행중",J13)))</formula>
    </cfRule>
  </conditionalFormatting>
  <conditionalFormatting sqref="L18">
    <cfRule type="containsText" dxfId="338" priority="64" operator="containsText" text="완료">
      <formula>NOT(ISERROR(SEARCH("완료",L18)))</formula>
    </cfRule>
    <cfRule type="containsText" dxfId="337" priority="65" operator="containsText" text="중단">
      <formula>NOT(ISERROR(SEARCH("중단",L18)))</formula>
    </cfRule>
  </conditionalFormatting>
  <conditionalFormatting sqref="L18">
    <cfRule type="containsText" dxfId="336" priority="62" operator="containsText" text="완료">
      <formula>NOT(ISERROR(SEARCH("완료",L18)))</formula>
    </cfRule>
    <cfRule type="containsText" dxfId="335" priority="63" operator="containsText" text="중단">
      <formula>NOT(ISERROR(SEARCH("중단",L18)))</formula>
    </cfRule>
  </conditionalFormatting>
  <conditionalFormatting sqref="L18">
    <cfRule type="containsText" dxfId="334" priority="61" operator="containsText" text="진행중">
      <formula>NOT(ISERROR(SEARCH("진행중",L18)))</formula>
    </cfRule>
  </conditionalFormatting>
  <conditionalFormatting sqref="M18">
    <cfRule type="containsText" dxfId="294" priority="54" operator="containsText" text="완료">
      <formula>NOT(ISERROR(SEARCH("완료",M18)))</formula>
    </cfRule>
    <cfRule type="containsText" dxfId="293" priority="55" operator="containsText" text="중단">
      <formula>NOT(ISERROR(SEARCH("중단",M18)))</formula>
    </cfRule>
  </conditionalFormatting>
  <conditionalFormatting sqref="M18">
    <cfRule type="containsText" dxfId="292" priority="52" operator="containsText" text="완료">
      <formula>NOT(ISERROR(SEARCH("완료",M18)))</formula>
    </cfRule>
    <cfRule type="containsText" dxfId="291" priority="53" operator="containsText" text="중단">
      <formula>NOT(ISERROR(SEARCH("중단",M18)))</formula>
    </cfRule>
  </conditionalFormatting>
  <conditionalFormatting sqref="M18">
    <cfRule type="containsText" dxfId="290" priority="51" operator="containsText" text="진행중">
      <formula>NOT(ISERROR(SEARCH("진행중",M18)))</formula>
    </cfRule>
  </conditionalFormatting>
  <conditionalFormatting sqref="L8:L17">
    <cfRule type="containsText" dxfId="140" priority="19" operator="containsText" text="완료">
      <formula>NOT(ISERROR(SEARCH("완료",L8)))</formula>
    </cfRule>
    <cfRule type="containsText" dxfId="139" priority="20" operator="containsText" text="중단">
      <formula>NOT(ISERROR(SEARCH("중단",L8)))</formula>
    </cfRule>
  </conditionalFormatting>
  <conditionalFormatting sqref="L8:L17">
    <cfRule type="containsText" dxfId="138" priority="17" operator="containsText" text="완료">
      <formula>NOT(ISERROR(SEARCH("완료",L8)))</formula>
    </cfRule>
    <cfRule type="containsText" dxfId="137" priority="18" operator="containsText" text="중단">
      <formula>NOT(ISERROR(SEARCH("중단",L8)))</formula>
    </cfRule>
  </conditionalFormatting>
  <conditionalFormatting sqref="L8:L17">
    <cfRule type="containsText" dxfId="136" priority="16" operator="containsText" text="진행중">
      <formula>NOT(ISERROR(SEARCH("진행중",L8)))</formula>
    </cfRule>
  </conditionalFormatting>
  <conditionalFormatting sqref="M8:M17">
    <cfRule type="containsText" dxfId="135" priority="14" operator="containsText" text="완료">
      <formula>NOT(ISERROR(SEARCH("완료",M8)))</formula>
    </cfRule>
    <cfRule type="containsText" dxfId="134" priority="15" operator="containsText" text="중단">
      <formula>NOT(ISERROR(SEARCH("중단",M8)))</formula>
    </cfRule>
  </conditionalFormatting>
  <conditionalFormatting sqref="M8:M17">
    <cfRule type="containsText" dxfId="133" priority="12" operator="containsText" text="완료">
      <formula>NOT(ISERROR(SEARCH("완료",M8)))</formula>
    </cfRule>
    <cfRule type="containsText" dxfId="132" priority="13" operator="containsText" text="중단">
      <formula>NOT(ISERROR(SEARCH("중단",M8)))</formula>
    </cfRule>
  </conditionalFormatting>
  <conditionalFormatting sqref="M8:M17">
    <cfRule type="containsText" dxfId="131" priority="11" operator="containsText" text="진행중">
      <formula>NOT(ISERROR(SEARCH("진행중",M8)))</formula>
    </cfRule>
  </conditionalFormatting>
  <conditionalFormatting sqref="N8:O18">
    <cfRule type="containsText" dxfId="14" priority="4" operator="containsText" text="완료">
      <formula>NOT(ISERROR(SEARCH("완료",N8)))</formula>
    </cfRule>
    <cfRule type="containsText" dxfId="13" priority="5" operator="containsText" text="중단">
      <formula>NOT(ISERROR(SEARCH("중단",N8)))</formula>
    </cfRule>
  </conditionalFormatting>
  <conditionalFormatting sqref="N8:O18">
    <cfRule type="containsText" dxfId="12" priority="2" operator="containsText" text="완료">
      <formula>NOT(ISERROR(SEARCH("완료",N8)))</formula>
    </cfRule>
    <cfRule type="containsText" dxfId="11" priority="3" operator="containsText" text="중단">
      <formula>NOT(ISERROR(SEARCH("중단",N8)))</formula>
    </cfRule>
  </conditionalFormatting>
  <conditionalFormatting sqref="N8:O18">
    <cfRule type="containsText" dxfId="10" priority="1" operator="containsText" text="진행중">
      <formula>NOT(ISERROR(SEARCH("진행중",N8)))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7ECAD-04AF-49A6-A664-FE5E3EFF57FF}">
  <sheetPr>
    <tabColor theme="0" tint="-0.499984740745262"/>
  </sheetPr>
  <dimension ref="A1:AQ23"/>
  <sheetViews>
    <sheetView zoomScale="55" zoomScaleNormal="55" workbookViewId="0">
      <selection activeCell="S10" sqref="S10"/>
    </sheetView>
  </sheetViews>
  <sheetFormatPr defaultRowHeight="17" x14ac:dyDescent="0.45"/>
  <cols>
    <col min="1" max="1" width="11.33203125" bestFit="1" customWidth="1"/>
    <col min="2" max="2" width="11.4140625" style="5" customWidth="1"/>
    <col min="3" max="3" width="44.1640625" customWidth="1"/>
    <col min="4" max="4" width="12.9140625" style="5" bestFit="1" customWidth="1"/>
    <col min="5" max="5" width="23.83203125" customWidth="1"/>
    <col min="6" max="6" width="16.75" customWidth="1"/>
    <col min="7" max="10" width="8.33203125" bestFit="1" customWidth="1"/>
    <col min="11" max="11" width="2.9140625" hidden="1" customWidth="1"/>
    <col min="12" max="13" width="16.33203125" bestFit="1" customWidth="1"/>
    <col min="14" max="14" width="16.5" customWidth="1"/>
    <col min="15" max="15" width="16.33203125" bestFit="1" customWidth="1"/>
    <col min="16" max="16" width="16.33203125" customWidth="1"/>
    <col min="17" max="17" width="28.5" hidden="1" customWidth="1"/>
    <col min="18" max="21" width="14.75" customWidth="1"/>
    <col min="24" max="29" width="9.1640625" customWidth="1"/>
    <col min="30" max="30" width="20.6640625" customWidth="1"/>
    <col min="31" max="31" width="35" customWidth="1"/>
    <col min="32" max="32" width="44.1640625" customWidth="1"/>
    <col min="33" max="33" width="89.25" customWidth="1"/>
    <col min="34" max="34" width="88.6640625" customWidth="1"/>
    <col min="37" max="37" width="22.58203125" bestFit="1" customWidth="1"/>
    <col min="38" max="38" width="34.83203125" customWidth="1"/>
  </cols>
  <sheetData>
    <row r="1" spans="1:43" ht="62.5" customHeight="1" x14ac:dyDescent="0.45">
      <c r="A1" s="66" t="s">
        <v>19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</row>
    <row r="2" spans="1:43" x14ac:dyDescent="0.45">
      <c r="A2" s="54" t="s">
        <v>11</v>
      </c>
      <c r="B2" s="55" t="s">
        <v>92</v>
      </c>
      <c r="C2" s="56"/>
      <c r="D2" s="56"/>
      <c r="E2" s="56"/>
      <c r="F2" s="57"/>
      <c r="G2" s="54" t="s">
        <v>111</v>
      </c>
      <c r="H2" s="54"/>
      <c r="I2" s="54"/>
      <c r="J2" s="54"/>
      <c r="K2" s="54"/>
      <c r="L2" s="54"/>
      <c r="M2" s="54"/>
      <c r="N2" s="54"/>
      <c r="O2" s="54"/>
      <c r="P2" s="54"/>
      <c r="Q2" s="55" t="s">
        <v>26</v>
      </c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7"/>
      <c r="AG2" s="55" t="s">
        <v>10</v>
      </c>
      <c r="AH2" s="57"/>
    </row>
    <row r="3" spans="1:43" x14ac:dyDescent="0.45">
      <c r="A3" s="54"/>
      <c r="B3" s="61"/>
      <c r="C3" s="64"/>
      <c r="D3" s="64"/>
      <c r="E3" s="64"/>
      <c r="F3" s="62"/>
      <c r="G3" s="54"/>
      <c r="H3" s="54"/>
      <c r="I3" s="54"/>
      <c r="J3" s="54"/>
      <c r="K3" s="54"/>
      <c r="L3" s="54"/>
      <c r="M3" s="54"/>
      <c r="N3" s="54"/>
      <c r="O3" s="54"/>
      <c r="P3" s="54"/>
      <c r="Q3" s="58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60"/>
      <c r="AG3" s="61"/>
      <c r="AH3" s="62"/>
    </row>
    <row r="4" spans="1:43" x14ac:dyDescent="0.45">
      <c r="A4" s="54"/>
      <c r="B4" s="61"/>
      <c r="C4" s="64"/>
      <c r="D4" s="64"/>
      <c r="E4" s="64"/>
      <c r="F4" s="62"/>
      <c r="G4" s="54"/>
      <c r="H4" s="54"/>
      <c r="I4" s="54"/>
      <c r="J4" s="54"/>
      <c r="K4" s="54"/>
      <c r="L4" s="54"/>
      <c r="M4" s="54"/>
      <c r="N4" s="54"/>
      <c r="O4" s="54"/>
      <c r="P4" s="54"/>
      <c r="Q4" s="19"/>
      <c r="R4" s="52" t="s">
        <v>33</v>
      </c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3"/>
      <c r="AE4" s="12" t="s">
        <v>34</v>
      </c>
      <c r="AF4" s="12" t="s">
        <v>35</v>
      </c>
      <c r="AG4" s="61"/>
      <c r="AH4" s="62"/>
    </row>
    <row r="5" spans="1:43" x14ac:dyDescent="0.45">
      <c r="A5" s="54"/>
      <c r="B5" s="58"/>
      <c r="C5" s="59"/>
      <c r="D5" s="59"/>
      <c r="E5" s="59"/>
      <c r="F5" s="60"/>
      <c r="G5" s="63" t="s">
        <v>36</v>
      </c>
      <c r="H5" s="63"/>
      <c r="I5" s="63"/>
      <c r="J5" s="63"/>
      <c r="K5" s="42"/>
      <c r="L5" s="58" t="s">
        <v>94</v>
      </c>
      <c r="M5" s="59"/>
      <c r="N5" s="59"/>
      <c r="O5" s="60"/>
      <c r="P5" s="43" t="s">
        <v>93</v>
      </c>
      <c r="Q5" s="18" t="s">
        <v>30</v>
      </c>
      <c r="R5" s="51" t="s">
        <v>44</v>
      </c>
      <c r="S5" s="52"/>
      <c r="T5" s="52"/>
      <c r="U5" s="53"/>
      <c r="V5" s="51" t="s">
        <v>20</v>
      </c>
      <c r="W5" s="52"/>
      <c r="X5" s="52"/>
      <c r="Y5" s="53"/>
      <c r="Z5" s="65" t="s">
        <v>123</v>
      </c>
      <c r="AA5" s="54"/>
      <c r="AB5" s="54"/>
      <c r="AC5" s="54"/>
      <c r="AD5" s="54"/>
      <c r="AE5" s="14"/>
      <c r="AF5" s="12"/>
      <c r="AG5" s="61"/>
      <c r="AH5" s="62"/>
    </row>
    <row r="6" spans="1:43" x14ac:dyDescent="0.45">
      <c r="A6" s="22" t="s">
        <v>27</v>
      </c>
      <c r="B6" s="22" t="s">
        <v>3</v>
      </c>
      <c r="C6" s="41" t="s">
        <v>31</v>
      </c>
      <c r="D6" s="41" t="s">
        <v>21</v>
      </c>
      <c r="E6" s="41" t="s">
        <v>124</v>
      </c>
      <c r="F6" s="41" t="s">
        <v>9</v>
      </c>
      <c r="G6" s="22" t="s">
        <v>4</v>
      </c>
      <c r="H6" s="22" t="s">
        <v>13</v>
      </c>
      <c r="I6" s="22" t="s">
        <v>14</v>
      </c>
      <c r="J6" s="22" t="s">
        <v>5</v>
      </c>
      <c r="K6" s="22" t="s">
        <v>16</v>
      </c>
      <c r="L6" s="22" t="s">
        <v>22</v>
      </c>
      <c r="M6" s="22" t="s">
        <v>23</v>
      </c>
      <c r="N6" s="22" t="s">
        <v>28</v>
      </c>
      <c r="O6" s="22" t="s">
        <v>24</v>
      </c>
      <c r="P6" s="22" t="s">
        <v>29</v>
      </c>
      <c r="Q6" s="20" t="s">
        <v>25</v>
      </c>
      <c r="R6" s="20" t="s">
        <v>4</v>
      </c>
      <c r="S6" s="20" t="s">
        <v>13</v>
      </c>
      <c r="T6" s="20" t="s">
        <v>14</v>
      </c>
      <c r="U6" s="20" t="s">
        <v>5</v>
      </c>
      <c r="V6" s="20" t="s">
        <v>4</v>
      </c>
      <c r="W6" s="20" t="s">
        <v>13</v>
      </c>
      <c r="X6" s="20" t="s">
        <v>14</v>
      </c>
      <c r="Y6" s="20" t="s">
        <v>5</v>
      </c>
      <c r="Z6" s="20" t="s">
        <v>4</v>
      </c>
      <c r="AA6" s="20" t="s">
        <v>13</v>
      </c>
      <c r="AB6" s="20" t="s">
        <v>14</v>
      </c>
      <c r="AC6" s="20" t="s">
        <v>5</v>
      </c>
      <c r="AD6" s="20" t="s">
        <v>39</v>
      </c>
      <c r="AE6" s="15" t="s">
        <v>37</v>
      </c>
      <c r="AF6" s="13" t="s">
        <v>38</v>
      </c>
      <c r="AG6" s="58"/>
      <c r="AH6" s="60"/>
      <c r="AM6" s="1"/>
      <c r="AN6" s="1"/>
      <c r="AO6" s="1"/>
      <c r="AP6" s="1"/>
      <c r="AQ6" s="1"/>
    </row>
    <row r="7" spans="1:43" x14ac:dyDescent="0.45">
      <c r="A7" s="4">
        <v>45971</v>
      </c>
      <c r="B7" s="25">
        <v>1</v>
      </c>
      <c r="C7" s="8" t="str">
        <f t="shared" ref="C7:C16" si="0">IF(B7="","",
  IF(MOD($B7,1)=0,
    "Dimensions: L W H",
    "-"
  )
)</f>
        <v>Dimensions: L W H</v>
      </c>
      <c r="D7" s="7" t="str">
        <f t="shared" ref="D7:D17" si="1">IF(E7="","",
  IF(MOD($B7,1)=0,
    "완료",
    "-"
  )
)</f>
        <v>완료</v>
      </c>
      <c r="E7" s="1">
        <v>19</v>
      </c>
      <c r="F7" s="3"/>
      <c r="G7" s="91" t="s">
        <v>40</v>
      </c>
      <c r="H7" s="1" t="s">
        <v>17</v>
      </c>
      <c r="I7" s="1" t="s">
        <v>17</v>
      </c>
      <c r="J7" s="91" t="s">
        <v>40</v>
      </c>
      <c r="K7" s="1"/>
      <c r="L7" s="25" t="s">
        <v>15</v>
      </c>
      <c r="M7" s="25" t="s">
        <v>2</v>
      </c>
      <c r="N7" s="25">
        <v>160</v>
      </c>
      <c r="O7" s="25" t="s">
        <v>17</v>
      </c>
      <c r="P7" s="25">
        <f>IF(LEN(A7)&gt;0, 종합!$C$27, "")</f>
        <v>2.2599999999999998</v>
      </c>
      <c r="Q7" s="1" t="s">
        <v>17</v>
      </c>
      <c r="R7" s="8" t="str">
        <f t="shared" ref="R7:U10" si="2">IF(MOD($B7,5)=0, "스핀들유격: ","-" )</f>
        <v>-</v>
      </c>
      <c r="S7" s="8" t="str">
        <f t="shared" si="2"/>
        <v>-</v>
      </c>
      <c r="T7" s="8" t="str">
        <f t="shared" si="2"/>
        <v>-</v>
      </c>
      <c r="U7" s="8" t="str">
        <f t="shared" si="2"/>
        <v>-</v>
      </c>
      <c r="V7" s="8" t="str">
        <f t="shared" ref="V7:AC10" si="3">IF(MOD($B7,5)=0, "000-000","-" )</f>
        <v>-</v>
      </c>
      <c r="W7" s="8" t="str">
        <f t="shared" si="3"/>
        <v>-</v>
      </c>
      <c r="X7" s="8" t="str">
        <f t="shared" si="3"/>
        <v>-</v>
      </c>
      <c r="Y7" s="8" t="str">
        <f t="shared" si="3"/>
        <v>-</v>
      </c>
      <c r="Z7" s="8" t="str">
        <f t="shared" si="3"/>
        <v>-</v>
      </c>
      <c r="AA7" s="8" t="str">
        <f t="shared" si="3"/>
        <v>-</v>
      </c>
      <c r="AB7" s="8" t="str">
        <f t="shared" si="3"/>
        <v>-</v>
      </c>
      <c r="AC7" s="8" t="str">
        <f t="shared" si="3"/>
        <v>-</v>
      </c>
      <c r="AD7" s="8" t="str">
        <f>IF(MOD($B7,5)=0, "스핀들소음 :","-" )</f>
        <v>-</v>
      </c>
      <c r="AE7" s="8" t="str">
        <f t="shared" ref="AE7:AE17" si="4">IF(MOD($B7,40)=0, "필터세척 :"&amp; CHAR(10) &amp; "FLOW   (T1, T4 : / T2, T3 : / T4 : )","-" )</f>
        <v>-</v>
      </c>
      <c r="AF7" s="8" t="str">
        <f>IF($B7="","",
  IF(MOD($B7,160)=0,
    "TENSION (XL : / ZL : / XR : / ZR : / Y : )" &amp; CHAR(10) &amp;
    "필터교체",
    "-"
  )
)</f>
        <v>-</v>
      </c>
      <c r="AG7" s="1" t="s">
        <v>17</v>
      </c>
      <c r="AH7" s="1"/>
    </row>
    <row r="8" spans="1:43" x14ac:dyDescent="0.45">
      <c r="A8" s="4">
        <v>45971</v>
      </c>
      <c r="B8" s="25">
        <f>IF(NOT(LEN(A8)=0),B7+1,"")</f>
        <v>2</v>
      </c>
      <c r="C8" s="8" t="str">
        <f t="shared" si="0"/>
        <v>Dimensions: L W H</v>
      </c>
      <c r="D8" s="7" t="str">
        <f t="shared" si="1"/>
        <v>완료</v>
      </c>
      <c r="E8" s="1">
        <v>19</v>
      </c>
      <c r="F8" s="3"/>
      <c r="G8" s="91" t="s">
        <v>40</v>
      </c>
      <c r="H8" s="1" t="s">
        <v>17</v>
      </c>
      <c r="I8" s="1" t="s">
        <v>17</v>
      </c>
      <c r="J8" s="91" t="s">
        <v>40</v>
      </c>
      <c r="K8" s="1"/>
      <c r="L8" s="93" t="str">
        <f t="shared" ref="L8:L17" si="5">IF(NOT(LEN($J8)=0),L7,"")</f>
        <v>VITA</v>
      </c>
      <c r="M8" s="93" t="str">
        <f t="shared" ref="M8:M17" si="6">IF(NOT(LEN($J8)=0),M7,"")</f>
        <v>MARK II</v>
      </c>
      <c r="N8" s="93">
        <f t="shared" ref="N8:N17" si="7">IF(NOT(LEN($J8)=0),N7,"")</f>
        <v>160</v>
      </c>
      <c r="O8" s="93" t="str">
        <f>IF(NOT(LEN($J8)=0),O7,"")</f>
        <v>-</v>
      </c>
      <c r="P8" s="25">
        <f>IF(LEN(A8)&gt;0, 종합!$C$27, "")</f>
        <v>2.2599999999999998</v>
      </c>
      <c r="Q8" s="1" t="s">
        <v>17</v>
      </c>
      <c r="R8" s="8" t="str">
        <f t="shared" si="2"/>
        <v>-</v>
      </c>
      <c r="S8" s="8" t="str">
        <f t="shared" si="2"/>
        <v>-</v>
      </c>
      <c r="T8" s="8" t="str">
        <f t="shared" si="2"/>
        <v>-</v>
      </c>
      <c r="U8" s="8" t="str">
        <f t="shared" si="2"/>
        <v>-</v>
      </c>
      <c r="V8" s="8" t="str">
        <f t="shared" si="3"/>
        <v>-</v>
      </c>
      <c r="W8" s="8" t="str">
        <f t="shared" si="3"/>
        <v>-</v>
      </c>
      <c r="X8" s="8" t="str">
        <f t="shared" si="3"/>
        <v>-</v>
      </c>
      <c r="Y8" s="8" t="str">
        <f t="shared" si="3"/>
        <v>-</v>
      </c>
      <c r="Z8" s="8" t="str">
        <f t="shared" si="3"/>
        <v>-</v>
      </c>
      <c r="AA8" s="8" t="str">
        <f t="shared" si="3"/>
        <v>-</v>
      </c>
      <c r="AB8" s="8" t="str">
        <f t="shared" si="3"/>
        <v>-</v>
      </c>
      <c r="AC8" s="8" t="str">
        <f t="shared" si="3"/>
        <v>-</v>
      </c>
      <c r="AD8" s="8" t="str">
        <f>IF(MOD($B8,5)=0, "스핀들소음 :","-" )</f>
        <v>-</v>
      </c>
      <c r="AE8" s="8" t="str">
        <f t="shared" si="4"/>
        <v>-</v>
      </c>
      <c r="AF8" s="8" t="str">
        <f t="shared" ref="AF8:AF16" si="8">IF($B8="","",
  IF(MOD(B8,160)=0,
    "TENSION (XL : / ZL : / XR : / ZR : / Y : )" &amp; CHAR(10) &amp;
    "필터교체",
    "-"
  )
)</f>
        <v>-</v>
      </c>
      <c r="AG8" s="1" t="s">
        <v>17</v>
      </c>
      <c r="AH8" s="2"/>
    </row>
    <row r="9" spans="1:43" x14ac:dyDescent="0.45">
      <c r="A9" s="4">
        <v>45971</v>
      </c>
      <c r="B9" s="25">
        <f t="shared" ref="B9:B22" si="9">IF(NOT(LEN(A9)=0),B8+1,"")</f>
        <v>3</v>
      </c>
      <c r="C9" s="8" t="str">
        <f t="shared" si="0"/>
        <v>Dimensions: L W H</v>
      </c>
      <c r="D9" s="7" t="str">
        <f t="shared" si="1"/>
        <v>완료</v>
      </c>
      <c r="E9" s="1">
        <v>19</v>
      </c>
      <c r="F9" s="3"/>
      <c r="G9" s="91" t="s">
        <v>40</v>
      </c>
      <c r="H9" s="1" t="s">
        <v>17</v>
      </c>
      <c r="I9" s="1" t="s">
        <v>17</v>
      </c>
      <c r="J9" s="91" t="s">
        <v>40</v>
      </c>
      <c r="K9" s="1"/>
      <c r="L9" s="93" t="str">
        <f t="shared" si="5"/>
        <v>VITA</v>
      </c>
      <c r="M9" s="93" t="str">
        <f t="shared" si="6"/>
        <v>MARK II</v>
      </c>
      <c r="N9" s="93">
        <f t="shared" ref="N9:N18" si="10">IF(NOT(LEN($J9)=0),N8,"")</f>
        <v>160</v>
      </c>
      <c r="O9" s="93" t="str">
        <f t="shared" ref="O9:O18" si="11">IF(NOT(LEN($J9)=0),O8,"")</f>
        <v>-</v>
      </c>
      <c r="P9" s="25">
        <f>IF(LEN(A9)&gt;0, 종합!$C$27, "")</f>
        <v>2.2599999999999998</v>
      </c>
      <c r="Q9" s="1" t="s">
        <v>17</v>
      </c>
      <c r="R9" s="8" t="str">
        <f t="shared" si="2"/>
        <v>-</v>
      </c>
      <c r="S9" s="8" t="str">
        <f t="shared" si="2"/>
        <v>-</v>
      </c>
      <c r="T9" s="8" t="str">
        <f t="shared" si="2"/>
        <v>-</v>
      </c>
      <c r="U9" s="8" t="str">
        <f t="shared" si="2"/>
        <v>-</v>
      </c>
      <c r="V9" s="8" t="str">
        <f t="shared" si="3"/>
        <v>-</v>
      </c>
      <c r="W9" s="8" t="str">
        <f t="shared" si="3"/>
        <v>-</v>
      </c>
      <c r="X9" s="8" t="str">
        <f t="shared" si="3"/>
        <v>-</v>
      </c>
      <c r="Y9" s="8" t="str">
        <f t="shared" si="3"/>
        <v>-</v>
      </c>
      <c r="Z9" s="8" t="str">
        <f t="shared" si="3"/>
        <v>-</v>
      </c>
      <c r="AA9" s="8" t="str">
        <f t="shared" si="3"/>
        <v>-</v>
      </c>
      <c r="AB9" s="8" t="str">
        <f t="shared" si="3"/>
        <v>-</v>
      </c>
      <c r="AC9" s="8" t="str">
        <f t="shared" si="3"/>
        <v>-</v>
      </c>
      <c r="AD9" s="8" t="str">
        <f>IF(MOD($B9,5)=0, "스핀들소음 :","-" )</f>
        <v>-</v>
      </c>
      <c r="AE9" s="8" t="str">
        <f t="shared" si="4"/>
        <v>-</v>
      </c>
      <c r="AF9" s="8" t="str">
        <f t="shared" si="8"/>
        <v>-</v>
      </c>
      <c r="AG9" s="1" t="s">
        <v>17</v>
      </c>
      <c r="AH9" s="2"/>
    </row>
    <row r="10" spans="1:43" x14ac:dyDescent="0.45">
      <c r="A10" s="4">
        <v>45971</v>
      </c>
      <c r="B10" s="25">
        <f t="shared" si="9"/>
        <v>4</v>
      </c>
      <c r="C10" s="8" t="str">
        <f t="shared" si="0"/>
        <v>Dimensions: L W H</v>
      </c>
      <c r="D10" s="7" t="str">
        <f t="shared" si="1"/>
        <v>완료</v>
      </c>
      <c r="E10" s="1">
        <v>21</v>
      </c>
      <c r="F10" s="3"/>
      <c r="G10" s="91" t="s">
        <v>40</v>
      </c>
      <c r="H10" s="1" t="s">
        <v>17</v>
      </c>
      <c r="I10" s="1" t="s">
        <v>17</v>
      </c>
      <c r="J10" s="91" t="s">
        <v>40</v>
      </c>
      <c r="K10" s="1"/>
      <c r="L10" s="93" t="str">
        <f t="shared" si="5"/>
        <v>VITA</v>
      </c>
      <c r="M10" s="93" t="str">
        <f t="shared" si="6"/>
        <v>MARK II</v>
      </c>
      <c r="N10" s="93">
        <f t="shared" si="10"/>
        <v>160</v>
      </c>
      <c r="O10" s="93" t="str">
        <f t="shared" si="11"/>
        <v>-</v>
      </c>
      <c r="P10" s="25">
        <f>IF(LEN(A10)&gt;0, 종합!$C$27, "")</f>
        <v>2.2599999999999998</v>
      </c>
      <c r="Q10" s="1" t="s">
        <v>17</v>
      </c>
      <c r="R10" s="8" t="str">
        <f t="shared" si="2"/>
        <v>-</v>
      </c>
      <c r="S10" s="8" t="str">
        <f t="shared" si="2"/>
        <v>-</v>
      </c>
      <c r="T10" s="8" t="str">
        <f t="shared" si="2"/>
        <v>-</v>
      </c>
      <c r="U10" s="8" t="str">
        <f t="shared" si="2"/>
        <v>-</v>
      </c>
      <c r="V10" s="8" t="str">
        <f t="shared" si="3"/>
        <v>-</v>
      </c>
      <c r="W10" s="8" t="str">
        <f t="shared" si="3"/>
        <v>-</v>
      </c>
      <c r="X10" s="8" t="str">
        <f t="shared" si="3"/>
        <v>-</v>
      </c>
      <c r="Y10" s="8" t="str">
        <f t="shared" si="3"/>
        <v>-</v>
      </c>
      <c r="Z10" s="8" t="str">
        <f t="shared" si="3"/>
        <v>-</v>
      </c>
      <c r="AA10" s="8" t="str">
        <f t="shared" si="3"/>
        <v>-</v>
      </c>
      <c r="AB10" s="8" t="str">
        <f t="shared" si="3"/>
        <v>-</v>
      </c>
      <c r="AC10" s="8" t="str">
        <f t="shared" si="3"/>
        <v>-</v>
      </c>
      <c r="AD10" s="8" t="str">
        <f>IF(MOD($B10,5)=0, "스핀들소음 :","-" )</f>
        <v>-</v>
      </c>
      <c r="AE10" s="8" t="str">
        <f t="shared" si="4"/>
        <v>-</v>
      </c>
      <c r="AF10" s="8" t="str">
        <f t="shared" si="8"/>
        <v>-</v>
      </c>
      <c r="AG10" s="1" t="s">
        <v>17</v>
      </c>
      <c r="AH10" s="2"/>
    </row>
    <row r="11" spans="1:43" x14ac:dyDescent="0.45">
      <c r="A11" s="4">
        <v>45971</v>
      </c>
      <c r="B11" s="25">
        <f t="shared" si="9"/>
        <v>5</v>
      </c>
      <c r="C11" s="8" t="str">
        <f t="shared" si="0"/>
        <v>Dimensions: L W H</v>
      </c>
      <c r="D11" s="7" t="str">
        <f t="shared" si="1"/>
        <v>완료</v>
      </c>
      <c r="E11" s="1">
        <v>21</v>
      </c>
      <c r="F11" s="3"/>
      <c r="G11" s="91" t="s">
        <v>40</v>
      </c>
      <c r="H11" s="1" t="s">
        <v>17</v>
      </c>
      <c r="I11" s="1" t="s">
        <v>17</v>
      </c>
      <c r="J11" s="91" t="s">
        <v>40</v>
      </c>
      <c r="K11" s="1"/>
      <c r="L11" s="93" t="str">
        <f t="shared" si="5"/>
        <v>VITA</v>
      </c>
      <c r="M11" s="93" t="str">
        <f t="shared" si="6"/>
        <v>MARK II</v>
      </c>
      <c r="N11" s="93">
        <f t="shared" si="10"/>
        <v>160</v>
      </c>
      <c r="O11" s="93" t="str">
        <f t="shared" si="11"/>
        <v>-</v>
      </c>
      <c r="P11" s="25">
        <f>IF(LEN(A11)&gt;0, 종합!$C$27, "")</f>
        <v>2.2599999999999998</v>
      </c>
      <c r="Q11" s="1" t="s">
        <v>17</v>
      </c>
      <c r="R11" s="8" t="s">
        <v>45</v>
      </c>
      <c r="S11" s="8" t="s">
        <v>45</v>
      </c>
      <c r="T11" s="8" t="s">
        <v>45</v>
      </c>
      <c r="U11" s="8" t="s">
        <v>45</v>
      </c>
      <c r="V11" s="8" t="s">
        <v>84</v>
      </c>
      <c r="W11" s="8" t="s">
        <v>85</v>
      </c>
      <c r="X11" s="8" t="s">
        <v>86</v>
      </c>
      <c r="Y11" s="8" t="s">
        <v>87</v>
      </c>
      <c r="Z11" s="8" t="s">
        <v>88</v>
      </c>
      <c r="AA11" s="8" t="s">
        <v>89</v>
      </c>
      <c r="AB11" s="8" t="s">
        <v>90</v>
      </c>
      <c r="AC11" s="8" t="s">
        <v>91</v>
      </c>
      <c r="AD11" s="8" t="s">
        <v>67</v>
      </c>
      <c r="AE11" s="8" t="str">
        <f t="shared" si="4"/>
        <v>-</v>
      </c>
      <c r="AF11" s="8" t="str">
        <f t="shared" si="8"/>
        <v>-</v>
      </c>
      <c r="AG11" s="1" t="s">
        <v>17</v>
      </c>
      <c r="AH11" s="2"/>
    </row>
    <row r="12" spans="1:43" x14ac:dyDescent="0.45">
      <c r="A12" s="4">
        <v>45971</v>
      </c>
      <c r="B12" s="25">
        <f t="shared" si="9"/>
        <v>6</v>
      </c>
      <c r="C12" s="8" t="str">
        <f t="shared" si="0"/>
        <v>Dimensions: L W H</v>
      </c>
      <c r="D12" s="7" t="str">
        <f t="shared" si="1"/>
        <v>완료</v>
      </c>
      <c r="E12" s="1">
        <v>19</v>
      </c>
      <c r="F12" s="3"/>
      <c r="G12" s="91" t="s">
        <v>40</v>
      </c>
      <c r="H12" s="1" t="s">
        <v>17</v>
      </c>
      <c r="I12" s="1" t="s">
        <v>17</v>
      </c>
      <c r="J12" s="91" t="s">
        <v>40</v>
      </c>
      <c r="K12" s="1"/>
      <c r="L12" s="93" t="str">
        <f t="shared" si="5"/>
        <v>VITA</v>
      </c>
      <c r="M12" s="93" t="str">
        <f t="shared" si="6"/>
        <v>MARK II</v>
      </c>
      <c r="N12" s="93">
        <f t="shared" si="10"/>
        <v>160</v>
      </c>
      <c r="O12" s="93" t="str">
        <f t="shared" si="11"/>
        <v>-</v>
      </c>
      <c r="P12" s="25">
        <f>IF(LEN(A12)&gt;0, 종합!$C$27, "")</f>
        <v>2.2599999999999998</v>
      </c>
      <c r="Q12" s="1" t="s">
        <v>17</v>
      </c>
      <c r="R12" s="8" t="str">
        <f t="shared" ref="R12:U17" si="12">IF(MOD($B12,5)=0, "스핀들유격: ","-" )</f>
        <v>-</v>
      </c>
      <c r="S12" s="8" t="str">
        <f t="shared" si="12"/>
        <v>-</v>
      </c>
      <c r="T12" s="8" t="str">
        <f t="shared" si="12"/>
        <v>-</v>
      </c>
      <c r="U12" s="8" t="str">
        <f t="shared" si="12"/>
        <v>-</v>
      </c>
      <c r="V12" s="8" t="str">
        <f t="shared" ref="V12:AC17" si="13">IF(MOD($B12,5)=0, "000-000","-" )</f>
        <v>-</v>
      </c>
      <c r="W12" s="8" t="str">
        <f t="shared" si="13"/>
        <v>-</v>
      </c>
      <c r="X12" s="8" t="str">
        <f t="shared" si="13"/>
        <v>-</v>
      </c>
      <c r="Y12" s="8" t="str">
        <f t="shared" si="13"/>
        <v>-</v>
      </c>
      <c r="Z12" s="8" t="str">
        <f t="shared" si="13"/>
        <v>-</v>
      </c>
      <c r="AA12" s="8" t="str">
        <f t="shared" si="13"/>
        <v>-</v>
      </c>
      <c r="AB12" s="8" t="str">
        <f t="shared" si="13"/>
        <v>-</v>
      </c>
      <c r="AC12" s="8" t="str">
        <f t="shared" si="13"/>
        <v>-</v>
      </c>
      <c r="AD12" s="8" t="str">
        <f>IF(MOD($B12,5)=0, "스핀들소음 :","-" )</f>
        <v>-</v>
      </c>
      <c r="AE12" s="8" t="str">
        <f t="shared" si="4"/>
        <v>-</v>
      </c>
      <c r="AF12" s="8" t="str">
        <f t="shared" si="8"/>
        <v>-</v>
      </c>
      <c r="AG12" s="1" t="s">
        <v>17</v>
      </c>
      <c r="AH12" s="2"/>
    </row>
    <row r="13" spans="1:43" x14ac:dyDescent="0.45">
      <c r="A13" s="4">
        <v>45972</v>
      </c>
      <c r="B13" s="25">
        <f t="shared" si="9"/>
        <v>7</v>
      </c>
      <c r="C13" s="8" t="str">
        <f t="shared" si="0"/>
        <v>Dimensions: L W H</v>
      </c>
      <c r="D13" s="7" t="str">
        <f t="shared" si="1"/>
        <v>완료</v>
      </c>
      <c r="E13" s="1">
        <v>23</v>
      </c>
      <c r="F13" s="3"/>
      <c r="G13" s="89">
        <v>0</v>
      </c>
      <c r="H13" s="1" t="s">
        <v>17</v>
      </c>
      <c r="I13" s="1" t="s">
        <v>17</v>
      </c>
      <c r="J13" s="89">
        <v>0</v>
      </c>
      <c r="K13" s="1"/>
      <c r="L13" s="93" t="str">
        <f t="shared" si="5"/>
        <v>VITA</v>
      </c>
      <c r="M13" s="93" t="str">
        <f t="shared" si="6"/>
        <v>MARK II</v>
      </c>
      <c r="N13" s="93">
        <f t="shared" si="10"/>
        <v>160</v>
      </c>
      <c r="O13" s="93" t="str">
        <f t="shared" si="11"/>
        <v>-</v>
      </c>
      <c r="P13" s="25">
        <f>IF(LEN(A13)&gt;0, 종합!$C$27, "")</f>
        <v>2.2599999999999998</v>
      </c>
      <c r="Q13" s="1" t="s">
        <v>17</v>
      </c>
      <c r="R13" s="8" t="str">
        <f t="shared" si="12"/>
        <v>-</v>
      </c>
      <c r="S13" s="8" t="str">
        <f t="shared" si="12"/>
        <v>-</v>
      </c>
      <c r="T13" s="8" t="str">
        <f t="shared" si="12"/>
        <v>-</v>
      </c>
      <c r="U13" s="8" t="str">
        <f t="shared" si="12"/>
        <v>-</v>
      </c>
      <c r="V13" s="8" t="str">
        <f t="shared" si="13"/>
        <v>-</v>
      </c>
      <c r="W13" s="8" t="str">
        <f t="shared" si="13"/>
        <v>-</v>
      </c>
      <c r="X13" s="8" t="str">
        <f t="shared" si="13"/>
        <v>-</v>
      </c>
      <c r="Y13" s="8" t="str">
        <f t="shared" si="13"/>
        <v>-</v>
      </c>
      <c r="Z13" s="8" t="str">
        <f t="shared" si="13"/>
        <v>-</v>
      </c>
      <c r="AA13" s="8" t="str">
        <f t="shared" si="13"/>
        <v>-</v>
      </c>
      <c r="AB13" s="8" t="str">
        <f t="shared" si="13"/>
        <v>-</v>
      </c>
      <c r="AC13" s="8" t="str">
        <f t="shared" si="13"/>
        <v>-</v>
      </c>
      <c r="AD13" s="8" t="str">
        <f>IF(MOD($B13,5)=0, "스핀들소음 :","-" )</f>
        <v>-</v>
      </c>
      <c r="AE13" s="8" t="str">
        <f t="shared" si="4"/>
        <v>-</v>
      </c>
      <c r="AF13" s="8" t="str">
        <f t="shared" si="8"/>
        <v>-</v>
      </c>
      <c r="AG13" s="1" t="s">
        <v>17</v>
      </c>
      <c r="AH13" s="2"/>
    </row>
    <row r="14" spans="1:43" x14ac:dyDescent="0.45">
      <c r="A14" s="4">
        <v>45972</v>
      </c>
      <c r="B14" s="25">
        <f t="shared" si="9"/>
        <v>8</v>
      </c>
      <c r="C14" s="8" t="str">
        <f t="shared" si="0"/>
        <v>Dimensions: L W H</v>
      </c>
      <c r="D14" s="7" t="str">
        <f t="shared" si="1"/>
        <v>완료</v>
      </c>
      <c r="E14" s="1">
        <v>21</v>
      </c>
      <c r="F14" s="3"/>
      <c r="G14" s="89">
        <f>IF(NOT(LEN($A14)=0),IF(G13+1&gt;15,"버교체요망",G13+1),"")</f>
        <v>1</v>
      </c>
      <c r="H14" s="1" t="s">
        <v>17</v>
      </c>
      <c r="I14" s="1" t="s">
        <v>17</v>
      </c>
      <c r="J14" s="89">
        <f>IF(NOT(LEN($A14)=0),IF(J13+1&gt;15,"버교체요망",J13+1),"")</f>
        <v>1</v>
      </c>
      <c r="K14" s="1"/>
      <c r="L14" s="93" t="str">
        <f t="shared" si="5"/>
        <v>VITA</v>
      </c>
      <c r="M14" s="93" t="str">
        <f t="shared" si="6"/>
        <v>MARK II</v>
      </c>
      <c r="N14" s="93">
        <f t="shared" si="10"/>
        <v>160</v>
      </c>
      <c r="O14" s="93" t="str">
        <f t="shared" si="11"/>
        <v>-</v>
      </c>
      <c r="P14" s="25">
        <f>IF(LEN(A14)&gt;0, 종합!$C$27, "")</f>
        <v>2.2599999999999998</v>
      </c>
      <c r="Q14" s="1" t="s">
        <v>17</v>
      </c>
      <c r="R14" s="8" t="str">
        <f t="shared" si="12"/>
        <v>-</v>
      </c>
      <c r="S14" s="8" t="str">
        <f t="shared" si="12"/>
        <v>-</v>
      </c>
      <c r="T14" s="8" t="str">
        <f t="shared" si="12"/>
        <v>-</v>
      </c>
      <c r="U14" s="8" t="str">
        <f t="shared" si="12"/>
        <v>-</v>
      </c>
      <c r="V14" s="8" t="str">
        <f t="shared" si="13"/>
        <v>-</v>
      </c>
      <c r="W14" s="8" t="str">
        <f t="shared" si="13"/>
        <v>-</v>
      </c>
      <c r="X14" s="8" t="str">
        <f t="shared" si="13"/>
        <v>-</v>
      </c>
      <c r="Y14" s="8" t="str">
        <f t="shared" si="13"/>
        <v>-</v>
      </c>
      <c r="Z14" s="8" t="str">
        <f t="shared" si="13"/>
        <v>-</v>
      </c>
      <c r="AA14" s="8" t="str">
        <f t="shared" si="13"/>
        <v>-</v>
      </c>
      <c r="AB14" s="8" t="str">
        <f t="shared" si="13"/>
        <v>-</v>
      </c>
      <c r="AC14" s="8" t="str">
        <f t="shared" si="13"/>
        <v>-</v>
      </c>
      <c r="AD14" s="8" t="str">
        <f>IF(MOD($B14,5)=0, "스핀들소음 :","-" )</f>
        <v>-</v>
      </c>
      <c r="AE14" s="8" t="str">
        <f t="shared" si="4"/>
        <v>-</v>
      </c>
      <c r="AF14" s="8" t="str">
        <f t="shared" si="8"/>
        <v>-</v>
      </c>
      <c r="AG14" s="1" t="s">
        <v>17</v>
      </c>
      <c r="AH14" s="2"/>
    </row>
    <row r="15" spans="1:43" x14ac:dyDescent="0.45">
      <c r="A15" s="4">
        <v>45972</v>
      </c>
      <c r="B15" s="25">
        <f t="shared" si="9"/>
        <v>9</v>
      </c>
      <c r="C15" s="8" t="str">
        <f t="shared" si="0"/>
        <v>Dimensions: L W H</v>
      </c>
      <c r="D15" s="7" t="str">
        <f t="shared" si="1"/>
        <v>완료</v>
      </c>
      <c r="E15" s="1">
        <v>21</v>
      </c>
      <c r="F15" s="3"/>
      <c r="G15" s="89">
        <f t="shared" ref="G15:G22" si="14">IF(NOT(LEN($A15)=0),IF(G14+1&gt;15,"버교체요망",G14+1),"")</f>
        <v>2</v>
      </c>
      <c r="H15" s="1" t="s">
        <v>17</v>
      </c>
      <c r="I15" s="1" t="s">
        <v>17</v>
      </c>
      <c r="J15" s="89">
        <f t="shared" ref="J15:L22" si="15">IF(NOT(LEN($A15)=0),IF(J14+1&gt;15,"버교체요망",J14+1),"")</f>
        <v>2</v>
      </c>
      <c r="K15" s="1"/>
      <c r="L15" s="93" t="str">
        <f t="shared" si="5"/>
        <v>VITA</v>
      </c>
      <c r="M15" s="93" t="str">
        <f t="shared" si="6"/>
        <v>MARK II</v>
      </c>
      <c r="N15" s="93">
        <f t="shared" si="10"/>
        <v>160</v>
      </c>
      <c r="O15" s="93" t="str">
        <f t="shared" si="11"/>
        <v>-</v>
      </c>
      <c r="P15" s="25">
        <f>IF(LEN(A15)&gt;0, 종합!$C$27, "")</f>
        <v>2.2599999999999998</v>
      </c>
      <c r="Q15" s="1" t="s">
        <v>17</v>
      </c>
      <c r="R15" s="8" t="str">
        <f t="shared" si="12"/>
        <v>-</v>
      </c>
      <c r="S15" s="8" t="str">
        <f t="shared" si="12"/>
        <v>-</v>
      </c>
      <c r="T15" s="8" t="str">
        <f t="shared" si="12"/>
        <v>-</v>
      </c>
      <c r="U15" s="8" t="str">
        <f t="shared" si="12"/>
        <v>-</v>
      </c>
      <c r="V15" s="8" t="str">
        <f t="shared" si="13"/>
        <v>-</v>
      </c>
      <c r="W15" s="8" t="str">
        <f t="shared" si="13"/>
        <v>-</v>
      </c>
      <c r="X15" s="8" t="str">
        <f t="shared" si="13"/>
        <v>-</v>
      </c>
      <c r="Y15" s="8" t="str">
        <f t="shared" si="13"/>
        <v>-</v>
      </c>
      <c r="Z15" s="8" t="str">
        <f t="shared" si="13"/>
        <v>-</v>
      </c>
      <c r="AA15" s="8" t="str">
        <f t="shared" si="13"/>
        <v>-</v>
      </c>
      <c r="AB15" s="8" t="str">
        <f t="shared" si="13"/>
        <v>-</v>
      </c>
      <c r="AC15" s="8" t="str">
        <f t="shared" si="13"/>
        <v>-</v>
      </c>
      <c r="AD15" s="8" t="str">
        <f>IF(MOD($B15,5)=0, "스핀들소음 :","-" )</f>
        <v>-</v>
      </c>
      <c r="AE15" s="8" t="str">
        <f t="shared" si="4"/>
        <v>-</v>
      </c>
      <c r="AF15" s="8" t="str">
        <f t="shared" si="8"/>
        <v>-</v>
      </c>
      <c r="AG15" s="1" t="s">
        <v>17</v>
      </c>
      <c r="AH15" s="2"/>
    </row>
    <row r="16" spans="1:43" x14ac:dyDescent="0.45">
      <c r="A16" s="4">
        <v>45972</v>
      </c>
      <c r="B16" s="25">
        <f t="shared" si="9"/>
        <v>10</v>
      </c>
      <c r="C16" s="8" t="str">
        <f t="shared" si="0"/>
        <v>Dimensions: L W H</v>
      </c>
      <c r="D16" s="7" t="str">
        <f t="shared" si="1"/>
        <v>완료</v>
      </c>
      <c r="E16" s="1">
        <v>21</v>
      </c>
      <c r="F16" s="3"/>
      <c r="G16" s="89">
        <f t="shared" si="14"/>
        <v>3</v>
      </c>
      <c r="H16" s="1" t="s">
        <v>17</v>
      </c>
      <c r="I16" s="1" t="s">
        <v>17</v>
      </c>
      <c r="J16" s="89">
        <f t="shared" si="15"/>
        <v>3</v>
      </c>
      <c r="K16" s="1"/>
      <c r="L16" s="93" t="str">
        <f t="shared" si="5"/>
        <v>VITA</v>
      </c>
      <c r="M16" s="93" t="str">
        <f t="shared" si="6"/>
        <v>MARK II</v>
      </c>
      <c r="N16" s="93">
        <f t="shared" si="10"/>
        <v>160</v>
      </c>
      <c r="O16" s="93" t="str">
        <f t="shared" si="11"/>
        <v>-</v>
      </c>
      <c r="P16" s="25">
        <f>IF(LEN(A16)&gt;0, 종합!$C$27, "")</f>
        <v>2.2599999999999998</v>
      </c>
      <c r="Q16" s="1" t="s">
        <v>17</v>
      </c>
      <c r="R16" s="8" t="str">
        <f t="shared" si="12"/>
        <v xml:space="preserve">스핀들유격: </v>
      </c>
      <c r="S16" s="8" t="str">
        <f t="shared" si="12"/>
        <v xml:space="preserve">스핀들유격: </v>
      </c>
      <c r="T16" s="8" t="str">
        <f t="shared" si="12"/>
        <v xml:space="preserve">스핀들유격: </v>
      </c>
      <c r="U16" s="8" t="str">
        <f t="shared" si="12"/>
        <v xml:space="preserve">스핀들유격: </v>
      </c>
      <c r="V16" s="8" t="str">
        <f t="shared" si="13"/>
        <v>000-000</v>
      </c>
      <c r="W16" s="8" t="str">
        <f t="shared" si="13"/>
        <v>000-000</v>
      </c>
      <c r="X16" s="8" t="str">
        <f t="shared" si="13"/>
        <v>000-000</v>
      </c>
      <c r="Y16" s="8" t="str">
        <f t="shared" si="13"/>
        <v>000-000</v>
      </c>
      <c r="Z16" s="8" t="str">
        <f t="shared" si="13"/>
        <v>000-000</v>
      </c>
      <c r="AA16" s="8" t="str">
        <f t="shared" si="13"/>
        <v>000-000</v>
      </c>
      <c r="AB16" s="8" t="str">
        <f t="shared" si="13"/>
        <v>000-000</v>
      </c>
      <c r="AC16" s="8" t="str">
        <f t="shared" si="13"/>
        <v>000-000</v>
      </c>
      <c r="AD16" s="8" t="str">
        <f>IF(MOD($B16,5)=0, "스핀들소음 :","-" )</f>
        <v>스핀들소음 :</v>
      </c>
      <c r="AE16" s="8" t="str">
        <f t="shared" si="4"/>
        <v>-</v>
      </c>
      <c r="AF16" s="8" t="str">
        <f t="shared" si="8"/>
        <v>-</v>
      </c>
      <c r="AG16" s="86" t="s">
        <v>116</v>
      </c>
      <c r="AH16" s="2"/>
    </row>
    <row r="17" spans="1:34" x14ac:dyDescent="0.45">
      <c r="A17" s="4">
        <v>45973</v>
      </c>
      <c r="B17" s="25">
        <f t="shared" si="9"/>
        <v>11</v>
      </c>
      <c r="C17" s="8" t="str">
        <f t="shared" ref="C17:C22" si="16">IF(B17="","",
  IF(MOD($B17,1)=0,
    "Dimensions: L W H",
    "-"
  )
)</f>
        <v>Dimensions: L W H</v>
      </c>
      <c r="D17" s="7" t="str">
        <f t="shared" si="1"/>
        <v>완료</v>
      </c>
      <c r="E17" s="1">
        <v>23</v>
      </c>
      <c r="F17" s="3"/>
      <c r="G17" s="89">
        <f t="shared" si="14"/>
        <v>4</v>
      </c>
      <c r="H17" s="1" t="s">
        <v>17</v>
      </c>
      <c r="I17" s="1" t="s">
        <v>17</v>
      </c>
      <c r="J17" s="89">
        <f t="shared" si="15"/>
        <v>4</v>
      </c>
      <c r="K17" s="1"/>
      <c r="L17" s="93" t="str">
        <f t="shared" si="5"/>
        <v>VITA</v>
      </c>
      <c r="M17" s="93" t="str">
        <f t="shared" si="6"/>
        <v>MARK II</v>
      </c>
      <c r="N17" s="93">
        <f t="shared" si="10"/>
        <v>160</v>
      </c>
      <c r="O17" s="93" t="str">
        <f t="shared" si="11"/>
        <v>-</v>
      </c>
      <c r="P17" s="25">
        <f>IF(LEN(A17)&gt;0, 종합!$C$27, "")</f>
        <v>2.2599999999999998</v>
      </c>
      <c r="Q17" s="1" t="s">
        <v>17</v>
      </c>
      <c r="R17" s="8" t="str">
        <f t="shared" si="12"/>
        <v>-</v>
      </c>
      <c r="S17" s="8" t="str">
        <f t="shared" si="12"/>
        <v>-</v>
      </c>
      <c r="T17" s="8" t="str">
        <f t="shared" si="12"/>
        <v>-</v>
      </c>
      <c r="U17" s="8" t="str">
        <f t="shared" si="12"/>
        <v>-</v>
      </c>
      <c r="V17" s="8" t="str">
        <f t="shared" si="13"/>
        <v>-</v>
      </c>
      <c r="W17" s="8" t="str">
        <f t="shared" si="13"/>
        <v>-</v>
      </c>
      <c r="X17" s="8" t="str">
        <f t="shared" si="13"/>
        <v>-</v>
      </c>
      <c r="Y17" s="8" t="str">
        <f t="shared" si="13"/>
        <v>-</v>
      </c>
      <c r="Z17" s="8" t="str">
        <f t="shared" si="13"/>
        <v>-</v>
      </c>
      <c r="AA17" s="8" t="str">
        <f t="shared" si="13"/>
        <v>-</v>
      </c>
      <c r="AB17" s="8" t="str">
        <f t="shared" si="13"/>
        <v>-</v>
      </c>
      <c r="AC17" s="8" t="str">
        <f t="shared" si="13"/>
        <v>-</v>
      </c>
      <c r="AD17" s="8" t="str">
        <f>IF(MOD($B17,5)=0, "스핀들소음 :","-" )</f>
        <v>-</v>
      </c>
      <c r="AE17" s="8" t="str">
        <f t="shared" si="4"/>
        <v>-</v>
      </c>
      <c r="AF17" s="8" t="str">
        <f t="shared" ref="AF17" si="17">IF($B17="","",
  IF(MOD(B17,160)=0,
    "TENSION (XL : / ZL : / XR : / ZR : / Y : )" &amp; CHAR(10) &amp;
    "필터교체",
    "-"
  )
)</f>
        <v>-</v>
      </c>
      <c r="AG17" s="87" t="s">
        <v>128</v>
      </c>
      <c r="AH17" s="2"/>
    </row>
    <row r="18" spans="1:34" x14ac:dyDescent="0.45">
      <c r="A18" s="4">
        <v>45973</v>
      </c>
      <c r="B18" s="25">
        <f t="shared" si="9"/>
        <v>12</v>
      </c>
      <c r="C18" s="8" t="str">
        <f t="shared" si="16"/>
        <v>Dimensions: L W H</v>
      </c>
      <c r="D18" s="7" t="str">
        <f>IF(NOT(LEN(B18)=0),"진행중","")</f>
        <v>진행중</v>
      </c>
      <c r="E18" s="1">
        <v>21</v>
      </c>
      <c r="F18" s="1"/>
      <c r="G18" s="89">
        <f t="shared" si="14"/>
        <v>5</v>
      </c>
      <c r="H18" s="1"/>
      <c r="I18" s="1"/>
      <c r="J18" s="89">
        <f t="shared" si="15"/>
        <v>5</v>
      </c>
      <c r="K18" s="1"/>
      <c r="L18" s="93" t="str">
        <f>IF(NOT(LEN($J18)=0),L17,"")</f>
        <v>VITA</v>
      </c>
      <c r="M18" s="93" t="str">
        <f>IF(NOT(LEN($J18)=0),M17,"")</f>
        <v>MARK II</v>
      </c>
      <c r="N18" s="93">
        <f t="shared" si="10"/>
        <v>160</v>
      </c>
      <c r="O18" s="93" t="str">
        <f t="shared" si="11"/>
        <v>-</v>
      </c>
      <c r="P18" s="25">
        <f>IF(LEN(A18)&gt;0, 종합!$C$27, "")</f>
        <v>2.2599999999999998</v>
      </c>
      <c r="Q18" s="1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1"/>
      <c r="AH18" s="2"/>
    </row>
    <row r="19" spans="1:34" x14ac:dyDescent="0.45">
      <c r="A19" s="24"/>
      <c r="B19" s="25" t="str">
        <f t="shared" si="9"/>
        <v/>
      </c>
      <c r="C19" s="8" t="str">
        <f t="shared" si="16"/>
        <v/>
      </c>
      <c r="D19" s="7" t="str">
        <f t="shared" ref="D19:D22" si="18">IF(NOT(LEN(B19)=0),"진행중","")</f>
        <v/>
      </c>
      <c r="E19" s="1"/>
      <c r="F19" s="1"/>
      <c r="G19" s="89" t="str">
        <f t="shared" si="14"/>
        <v/>
      </c>
      <c r="H19" s="1"/>
      <c r="I19" s="1"/>
      <c r="J19" s="89" t="str">
        <f t="shared" si="15"/>
        <v/>
      </c>
      <c r="K19" s="1"/>
      <c r="L19" s="1"/>
      <c r="M19" s="1"/>
      <c r="N19" s="1"/>
      <c r="O19" s="1"/>
      <c r="P19" s="1"/>
      <c r="Q19" s="1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1"/>
      <c r="AH19" s="2"/>
    </row>
    <row r="20" spans="1:34" x14ac:dyDescent="0.45">
      <c r="A20" s="24"/>
      <c r="B20" s="25" t="str">
        <f t="shared" si="9"/>
        <v/>
      </c>
      <c r="C20" s="8" t="str">
        <f t="shared" si="16"/>
        <v/>
      </c>
      <c r="D20" s="7" t="str">
        <f t="shared" si="18"/>
        <v/>
      </c>
      <c r="E20" s="1"/>
      <c r="F20" s="1"/>
      <c r="G20" s="89" t="str">
        <f t="shared" si="14"/>
        <v/>
      </c>
      <c r="H20" s="1"/>
      <c r="I20" s="1"/>
      <c r="J20" s="89" t="str">
        <f t="shared" si="15"/>
        <v/>
      </c>
      <c r="K20" s="1"/>
      <c r="L20" s="1"/>
      <c r="M20" s="1"/>
      <c r="N20" s="1"/>
      <c r="O20" s="1"/>
      <c r="P20" s="1"/>
      <c r="Q20" s="1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1"/>
      <c r="AH20" s="2"/>
    </row>
    <row r="21" spans="1:34" x14ac:dyDescent="0.45">
      <c r="B21" s="25" t="str">
        <f t="shared" si="9"/>
        <v/>
      </c>
      <c r="C21" s="8" t="str">
        <f t="shared" si="16"/>
        <v/>
      </c>
      <c r="D21" s="7" t="str">
        <f t="shared" si="18"/>
        <v/>
      </c>
      <c r="G21" s="89" t="str">
        <f t="shared" si="14"/>
        <v/>
      </c>
      <c r="J21" s="89" t="str">
        <f t="shared" si="15"/>
        <v/>
      </c>
    </row>
    <row r="22" spans="1:34" x14ac:dyDescent="0.45">
      <c r="B22" s="25" t="str">
        <f t="shared" si="9"/>
        <v/>
      </c>
      <c r="C22" s="8" t="str">
        <f t="shared" si="16"/>
        <v/>
      </c>
      <c r="D22" s="7" t="str">
        <f t="shared" si="18"/>
        <v/>
      </c>
      <c r="G22" s="89" t="str">
        <f t="shared" si="14"/>
        <v/>
      </c>
      <c r="J22" s="89" t="str">
        <f t="shared" si="15"/>
        <v/>
      </c>
    </row>
    <row r="23" spans="1:34" x14ac:dyDescent="0.45">
      <c r="A23" s="6" t="s">
        <v>18</v>
      </c>
      <c r="B23" s="26" t="s">
        <v>18</v>
      </c>
      <c r="C23" s="6" t="s">
        <v>18</v>
      </c>
      <c r="D23" s="6" t="s">
        <v>18</v>
      </c>
      <c r="E23" s="6" t="s">
        <v>18</v>
      </c>
      <c r="F23" s="6" t="s">
        <v>18</v>
      </c>
      <c r="G23" s="6" t="s">
        <v>18</v>
      </c>
      <c r="H23" s="6" t="s">
        <v>18</v>
      </c>
      <c r="I23" s="6" t="s">
        <v>18</v>
      </c>
      <c r="J23" s="6" t="s">
        <v>18</v>
      </c>
      <c r="K23" s="6" t="s">
        <v>18</v>
      </c>
      <c r="L23" s="6" t="s">
        <v>18</v>
      </c>
      <c r="M23" s="6" t="s">
        <v>18</v>
      </c>
      <c r="N23" s="6" t="s">
        <v>18</v>
      </c>
      <c r="O23" s="6" t="s">
        <v>18</v>
      </c>
      <c r="P23" s="6" t="s">
        <v>18</v>
      </c>
      <c r="Q23" s="6" t="s">
        <v>18</v>
      </c>
      <c r="R23" s="6" t="s">
        <v>18</v>
      </c>
      <c r="S23" s="6" t="s">
        <v>18</v>
      </c>
      <c r="T23" s="6" t="s">
        <v>18</v>
      </c>
      <c r="U23" s="6" t="s">
        <v>18</v>
      </c>
      <c r="V23" s="6" t="s">
        <v>18</v>
      </c>
      <c r="W23" s="6" t="s">
        <v>18</v>
      </c>
      <c r="X23" s="6" t="s">
        <v>18</v>
      </c>
      <c r="Y23" s="6" t="s">
        <v>18</v>
      </c>
      <c r="Z23" s="6" t="s">
        <v>18</v>
      </c>
      <c r="AA23" s="6" t="s">
        <v>18</v>
      </c>
      <c r="AB23" s="6" t="s">
        <v>18</v>
      </c>
      <c r="AC23" s="6" t="s">
        <v>18</v>
      </c>
      <c r="AD23" s="6" t="s">
        <v>18</v>
      </c>
      <c r="AE23" s="6" t="s">
        <v>18</v>
      </c>
      <c r="AF23" s="6" t="s">
        <v>18</v>
      </c>
      <c r="AG23" s="6" t="s">
        <v>18</v>
      </c>
      <c r="AH23" s="6" t="s">
        <v>18</v>
      </c>
    </row>
  </sheetData>
  <mergeCells count="12">
    <mergeCell ref="A1:AH1"/>
    <mergeCell ref="R5:U5"/>
    <mergeCell ref="V5:Y5"/>
    <mergeCell ref="Z5:AD5"/>
    <mergeCell ref="A2:A5"/>
    <mergeCell ref="Q2:AF3"/>
    <mergeCell ref="AG2:AH6"/>
    <mergeCell ref="R4:AD4"/>
    <mergeCell ref="G5:J5"/>
    <mergeCell ref="B2:F5"/>
    <mergeCell ref="L5:O5"/>
    <mergeCell ref="G2:P4"/>
  </mergeCells>
  <phoneticPr fontId="1" type="noConversion"/>
  <conditionalFormatting sqref="I7:I9 G7:G9 I14:I20">
    <cfRule type="containsText" dxfId="753" priority="218" operator="containsText" text="신품">
      <formula>NOT(ISERROR(SEARCH("신품",G7)))</formula>
    </cfRule>
    <cfRule type="containsText" dxfId="752" priority="219" operator="containsText" text="중고">
      <formula>NOT(ISERROR(SEARCH("중고",G7)))</formula>
    </cfRule>
  </conditionalFormatting>
  <conditionalFormatting sqref="J7:J9">
    <cfRule type="containsText" dxfId="751" priority="216" operator="containsText" text="신품">
      <formula>NOT(ISERROR(SEARCH("신품",J7)))</formula>
    </cfRule>
    <cfRule type="containsText" dxfId="750" priority="217" operator="containsText" text="중고">
      <formula>NOT(ISERROR(SEARCH("중고",J7)))</formula>
    </cfRule>
  </conditionalFormatting>
  <conditionalFormatting sqref="I10 G10">
    <cfRule type="containsText" dxfId="749" priority="212" operator="containsText" text="신품">
      <formula>NOT(ISERROR(SEARCH("신품",G10)))</formula>
    </cfRule>
    <cfRule type="containsText" dxfId="748" priority="213" operator="containsText" text="중고">
      <formula>NOT(ISERROR(SEARCH("중고",G10)))</formula>
    </cfRule>
  </conditionalFormatting>
  <conditionalFormatting sqref="J10">
    <cfRule type="containsText" dxfId="747" priority="210" operator="containsText" text="신품">
      <formula>NOT(ISERROR(SEARCH("신품",J10)))</formula>
    </cfRule>
    <cfRule type="containsText" dxfId="746" priority="211" operator="containsText" text="중고">
      <formula>NOT(ISERROR(SEARCH("중고",J10)))</formula>
    </cfRule>
  </conditionalFormatting>
  <conditionalFormatting sqref="G11 I11">
    <cfRule type="containsText" dxfId="745" priority="206" operator="containsText" text="신품">
      <formula>NOT(ISERROR(SEARCH("신품",G11)))</formula>
    </cfRule>
    <cfRule type="containsText" dxfId="744" priority="207" operator="containsText" text="중고">
      <formula>NOT(ISERROR(SEARCH("중고",G11)))</formula>
    </cfRule>
  </conditionalFormatting>
  <conditionalFormatting sqref="J11">
    <cfRule type="containsText" dxfId="743" priority="204" operator="containsText" text="신품">
      <formula>NOT(ISERROR(SEARCH("신품",J11)))</formula>
    </cfRule>
    <cfRule type="containsText" dxfId="742" priority="205" operator="containsText" text="중고">
      <formula>NOT(ISERROR(SEARCH("중고",J11)))</formula>
    </cfRule>
  </conditionalFormatting>
  <conditionalFormatting sqref="I12:I20 G12">
    <cfRule type="containsText" dxfId="741" priority="200" operator="containsText" text="신품">
      <formula>NOT(ISERROR(SEARCH("신품",G12)))</formula>
    </cfRule>
    <cfRule type="containsText" dxfId="740" priority="201" operator="containsText" text="중고">
      <formula>NOT(ISERROR(SEARCH("중고",G12)))</formula>
    </cfRule>
  </conditionalFormatting>
  <conditionalFormatting sqref="J12">
    <cfRule type="containsText" dxfId="739" priority="198" operator="containsText" text="신품">
      <formula>NOT(ISERROR(SEARCH("신품",J12)))</formula>
    </cfRule>
    <cfRule type="containsText" dxfId="738" priority="199" operator="containsText" text="중고">
      <formula>NOT(ISERROR(SEARCH("중고",J12)))</formula>
    </cfRule>
  </conditionalFormatting>
  <conditionalFormatting sqref="I13">
    <cfRule type="containsText" dxfId="737" priority="194" operator="containsText" text="신품">
      <formula>NOT(ISERROR(SEARCH("신품",I13)))</formula>
    </cfRule>
    <cfRule type="containsText" dxfId="736" priority="195" operator="containsText" text="중고">
      <formula>NOT(ISERROR(SEARCH("중고",I13)))</formula>
    </cfRule>
  </conditionalFormatting>
  <conditionalFormatting sqref="D7:D22">
    <cfRule type="containsText" dxfId="733" priority="190" operator="containsText" text="완료">
      <formula>NOT(ISERROR(SEARCH("완료",D7)))</formula>
    </cfRule>
    <cfRule type="containsText" dxfId="732" priority="191" operator="containsText" text="중단">
      <formula>NOT(ISERROR(SEARCH("중단",D7)))</formula>
    </cfRule>
  </conditionalFormatting>
  <conditionalFormatting sqref="D11">
    <cfRule type="containsText" dxfId="731" priority="188" operator="containsText" text="완료">
      <formula>NOT(ISERROR(SEARCH("완료",D11)))</formula>
    </cfRule>
    <cfRule type="containsText" dxfId="730" priority="189" operator="containsText" text="중단">
      <formula>NOT(ISERROR(SEARCH("중단",D11)))</formula>
    </cfRule>
  </conditionalFormatting>
  <conditionalFormatting sqref="D8:D22">
    <cfRule type="containsText" dxfId="729" priority="186" operator="containsText" text="완료">
      <formula>NOT(ISERROR(SEARCH("완료",D8)))</formula>
    </cfRule>
    <cfRule type="containsText" dxfId="728" priority="187" operator="containsText" text="중단">
      <formula>NOT(ISERROR(SEARCH("중단",D8)))</formula>
    </cfRule>
  </conditionalFormatting>
  <conditionalFormatting sqref="D8:D22">
    <cfRule type="containsText" dxfId="727" priority="184" operator="containsText" text="완료">
      <formula>NOT(ISERROR(SEARCH("완료",D8)))</formula>
    </cfRule>
    <cfRule type="containsText" dxfId="726" priority="185" operator="containsText" text="중단">
      <formula>NOT(ISERROR(SEARCH("중단",D8)))</formula>
    </cfRule>
  </conditionalFormatting>
  <conditionalFormatting sqref="D7:D23">
    <cfRule type="containsText" dxfId="725" priority="183" operator="containsText" text="진행중">
      <formula>NOT(ISERROR(SEARCH("진행중",D7)))</formula>
    </cfRule>
  </conditionalFormatting>
  <conditionalFormatting sqref="G14:G22">
    <cfRule type="containsText" dxfId="609" priority="174" operator="containsText" text="완료">
      <formula>NOT(ISERROR(SEARCH("완료",G14)))</formula>
    </cfRule>
    <cfRule type="containsText" dxfId="608" priority="175" operator="containsText" text="중단">
      <formula>NOT(ISERROR(SEARCH("중단",G14)))</formula>
    </cfRule>
  </conditionalFormatting>
  <conditionalFormatting sqref="G14:G22">
    <cfRule type="containsText" dxfId="607" priority="172" operator="containsText" text="완료">
      <formula>NOT(ISERROR(SEARCH("완료",G14)))</formula>
    </cfRule>
    <cfRule type="containsText" dxfId="606" priority="173" operator="containsText" text="중단">
      <formula>NOT(ISERROR(SEARCH("중단",G14)))</formula>
    </cfRule>
  </conditionalFormatting>
  <conditionalFormatting sqref="G14:G22">
    <cfRule type="containsText" dxfId="605" priority="170" operator="containsText" text="완료">
      <formula>NOT(ISERROR(SEARCH("완료",G14)))</formula>
    </cfRule>
    <cfRule type="containsText" dxfId="604" priority="171" operator="containsText" text="중단">
      <formula>NOT(ISERROR(SEARCH("중단",G14)))</formula>
    </cfRule>
  </conditionalFormatting>
  <conditionalFormatting sqref="G14:G22">
    <cfRule type="containsText" dxfId="603" priority="169" operator="containsText" text="진행중">
      <formula>NOT(ISERROR(SEARCH("진행중",G14)))</formula>
    </cfRule>
  </conditionalFormatting>
  <conditionalFormatting sqref="J14:J22">
    <cfRule type="containsText" dxfId="411" priority="111" operator="containsText" text="완료">
      <formula>NOT(ISERROR(SEARCH("완료",J14)))</formula>
    </cfRule>
    <cfRule type="containsText" dxfId="410" priority="112" operator="containsText" text="중단">
      <formula>NOT(ISERROR(SEARCH("중단",J14)))</formula>
    </cfRule>
  </conditionalFormatting>
  <conditionalFormatting sqref="J14:J22">
    <cfRule type="containsText" dxfId="409" priority="109" operator="containsText" text="완료">
      <formula>NOT(ISERROR(SEARCH("완료",J14)))</formula>
    </cfRule>
    <cfRule type="containsText" dxfId="408" priority="110" operator="containsText" text="중단">
      <formula>NOT(ISERROR(SEARCH("중단",J14)))</formula>
    </cfRule>
  </conditionalFormatting>
  <conditionalFormatting sqref="J14:J22">
    <cfRule type="containsText" dxfId="407" priority="107" operator="containsText" text="완료">
      <formula>NOT(ISERROR(SEARCH("완료",J14)))</formula>
    </cfRule>
    <cfRule type="containsText" dxfId="406" priority="108" operator="containsText" text="중단">
      <formula>NOT(ISERROR(SEARCH("중단",J14)))</formula>
    </cfRule>
  </conditionalFormatting>
  <conditionalFormatting sqref="J14:J22">
    <cfRule type="containsText" dxfId="405" priority="106" operator="containsText" text="진행중">
      <formula>NOT(ISERROR(SEARCH("진행중",J14)))</formula>
    </cfRule>
  </conditionalFormatting>
  <conditionalFormatting sqref="G13">
    <cfRule type="containsText" dxfId="389" priority="104" operator="containsText" text="완료">
      <formula>NOT(ISERROR(SEARCH("완료",G13)))</formula>
    </cfRule>
    <cfRule type="containsText" dxfId="388" priority="105" operator="containsText" text="중단">
      <formula>NOT(ISERROR(SEARCH("중단",G13)))</formula>
    </cfRule>
  </conditionalFormatting>
  <conditionalFormatting sqref="G13">
    <cfRule type="containsText" dxfId="387" priority="102" operator="containsText" text="완료">
      <formula>NOT(ISERROR(SEARCH("완료",G13)))</formula>
    </cfRule>
    <cfRule type="containsText" dxfId="386" priority="103" operator="containsText" text="중단">
      <formula>NOT(ISERROR(SEARCH("중단",G13)))</formula>
    </cfRule>
  </conditionalFormatting>
  <conditionalFormatting sqref="G13">
    <cfRule type="containsText" dxfId="385" priority="100" operator="containsText" text="완료">
      <formula>NOT(ISERROR(SEARCH("완료",G13)))</formula>
    </cfRule>
    <cfRule type="containsText" dxfId="384" priority="101" operator="containsText" text="중단">
      <formula>NOT(ISERROR(SEARCH("중단",G13)))</formula>
    </cfRule>
  </conditionalFormatting>
  <conditionalFormatting sqref="G13">
    <cfRule type="containsText" dxfId="383" priority="99" operator="containsText" text="진행중">
      <formula>NOT(ISERROR(SEARCH("진행중",G13)))</formula>
    </cfRule>
  </conditionalFormatting>
  <conditionalFormatting sqref="J13">
    <cfRule type="containsText" dxfId="367" priority="97" operator="containsText" text="완료">
      <formula>NOT(ISERROR(SEARCH("완료",J13)))</formula>
    </cfRule>
    <cfRule type="containsText" dxfId="366" priority="98" operator="containsText" text="중단">
      <formula>NOT(ISERROR(SEARCH("중단",J13)))</formula>
    </cfRule>
  </conditionalFormatting>
  <conditionalFormatting sqref="J13">
    <cfRule type="containsText" dxfId="365" priority="95" operator="containsText" text="완료">
      <formula>NOT(ISERROR(SEARCH("완료",J13)))</formula>
    </cfRule>
    <cfRule type="containsText" dxfId="364" priority="96" operator="containsText" text="중단">
      <formula>NOT(ISERROR(SEARCH("중단",J13)))</formula>
    </cfRule>
  </conditionalFormatting>
  <conditionalFormatting sqref="J13">
    <cfRule type="containsText" dxfId="363" priority="93" operator="containsText" text="완료">
      <formula>NOT(ISERROR(SEARCH("완료",J13)))</formula>
    </cfRule>
    <cfRule type="containsText" dxfId="362" priority="94" operator="containsText" text="중단">
      <formula>NOT(ISERROR(SEARCH("중단",J13)))</formula>
    </cfRule>
  </conditionalFormatting>
  <conditionalFormatting sqref="J13">
    <cfRule type="containsText" dxfId="361" priority="92" operator="containsText" text="진행중">
      <formula>NOT(ISERROR(SEARCH("진행중",J13)))</formula>
    </cfRule>
  </conditionalFormatting>
  <conditionalFormatting sqref="L18">
    <cfRule type="containsText" dxfId="323" priority="83" operator="containsText" text="완료">
      <formula>NOT(ISERROR(SEARCH("완료",L18)))</formula>
    </cfRule>
    <cfRule type="containsText" dxfId="322" priority="84" operator="containsText" text="중단">
      <formula>NOT(ISERROR(SEARCH("중단",L18)))</formula>
    </cfRule>
  </conditionalFormatting>
  <conditionalFormatting sqref="L18">
    <cfRule type="containsText" dxfId="321" priority="81" operator="containsText" text="완료">
      <formula>NOT(ISERROR(SEARCH("완료",L18)))</formula>
    </cfRule>
    <cfRule type="containsText" dxfId="320" priority="82" operator="containsText" text="중단">
      <formula>NOT(ISERROR(SEARCH("중단",L18)))</formula>
    </cfRule>
  </conditionalFormatting>
  <conditionalFormatting sqref="L18">
    <cfRule type="containsText" dxfId="319" priority="79" operator="containsText" text="완료">
      <formula>NOT(ISERROR(SEARCH("완료",L18)))</formula>
    </cfRule>
    <cfRule type="containsText" dxfId="318" priority="80" operator="containsText" text="중단">
      <formula>NOT(ISERROR(SEARCH("중단",L18)))</formula>
    </cfRule>
  </conditionalFormatting>
  <conditionalFormatting sqref="L18">
    <cfRule type="containsText" dxfId="317" priority="78" operator="containsText" text="진행중">
      <formula>NOT(ISERROR(SEARCH("진행중",L18)))</formula>
    </cfRule>
  </conditionalFormatting>
  <conditionalFormatting sqref="M18">
    <cfRule type="containsText" dxfId="279" priority="69" operator="containsText" text="완료">
      <formula>NOT(ISERROR(SEARCH("완료",M18)))</formula>
    </cfRule>
    <cfRule type="containsText" dxfId="278" priority="70" operator="containsText" text="중단">
      <formula>NOT(ISERROR(SEARCH("중단",M18)))</formula>
    </cfRule>
  </conditionalFormatting>
  <conditionalFormatting sqref="M18">
    <cfRule type="containsText" dxfId="277" priority="67" operator="containsText" text="완료">
      <formula>NOT(ISERROR(SEARCH("완료",M18)))</formula>
    </cfRule>
    <cfRule type="containsText" dxfId="276" priority="68" operator="containsText" text="중단">
      <formula>NOT(ISERROR(SEARCH("중단",M18)))</formula>
    </cfRule>
  </conditionalFormatting>
  <conditionalFormatting sqref="M18">
    <cfRule type="containsText" dxfId="275" priority="65" operator="containsText" text="완료">
      <formula>NOT(ISERROR(SEARCH("완료",M18)))</formula>
    </cfRule>
    <cfRule type="containsText" dxfId="274" priority="66" operator="containsText" text="중단">
      <formula>NOT(ISERROR(SEARCH("중단",M18)))</formula>
    </cfRule>
  </conditionalFormatting>
  <conditionalFormatting sqref="M18">
    <cfRule type="containsText" dxfId="273" priority="64" operator="containsText" text="진행중">
      <formula>NOT(ISERROR(SEARCH("진행중",M18)))</formula>
    </cfRule>
  </conditionalFormatting>
  <conditionalFormatting sqref="O8:O18">
    <cfRule type="containsText" dxfId="213" priority="48" operator="containsText" text="완료">
      <formula>NOT(ISERROR(SEARCH("완료",O8)))</formula>
    </cfRule>
    <cfRule type="containsText" dxfId="212" priority="49" operator="containsText" text="중단">
      <formula>NOT(ISERROR(SEARCH("중단",O8)))</formula>
    </cfRule>
  </conditionalFormatting>
  <conditionalFormatting sqref="O8:O18">
    <cfRule type="containsText" dxfId="211" priority="46" operator="containsText" text="완료">
      <formula>NOT(ISERROR(SEARCH("완료",O8)))</formula>
    </cfRule>
    <cfRule type="containsText" dxfId="210" priority="47" operator="containsText" text="중단">
      <formula>NOT(ISERROR(SEARCH("중단",O8)))</formula>
    </cfRule>
  </conditionalFormatting>
  <conditionalFormatting sqref="O8:O18">
    <cfRule type="containsText" dxfId="209" priority="44" operator="containsText" text="완료">
      <formula>NOT(ISERROR(SEARCH("완료",O8)))</formula>
    </cfRule>
    <cfRule type="containsText" dxfId="208" priority="45" operator="containsText" text="중단">
      <formula>NOT(ISERROR(SEARCH("중단",O8)))</formula>
    </cfRule>
  </conditionalFormatting>
  <conditionalFormatting sqref="O8:O18">
    <cfRule type="containsText" dxfId="207" priority="43" operator="containsText" text="진행중">
      <formula>NOT(ISERROR(SEARCH("진행중",O8)))</formula>
    </cfRule>
  </conditionalFormatting>
  <conditionalFormatting sqref="L8:L17">
    <cfRule type="containsText" dxfId="95" priority="20" operator="containsText" text="완료">
      <formula>NOT(ISERROR(SEARCH("완료",L8)))</formula>
    </cfRule>
    <cfRule type="containsText" dxfId="94" priority="21" operator="containsText" text="중단">
      <formula>NOT(ISERROR(SEARCH("중단",L8)))</formula>
    </cfRule>
  </conditionalFormatting>
  <conditionalFormatting sqref="L8:L17">
    <cfRule type="containsText" dxfId="93" priority="18" operator="containsText" text="완료">
      <formula>NOT(ISERROR(SEARCH("완료",L8)))</formula>
    </cfRule>
    <cfRule type="containsText" dxfId="92" priority="19" operator="containsText" text="중단">
      <formula>NOT(ISERROR(SEARCH("중단",L8)))</formula>
    </cfRule>
  </conditionalFormatting>
  <conditionalFormatting sqref="L8:L17">
    <cfRule type="containsText" dxfId="91" priority="16" operator="containsText" text="완료">
      <formula>NOT(ISERROR(SEARCH("완료",L8)))</formula>
    </cfRule>
    <cfRule type="containsText" dxfId="90" priority="17" operator="containsText" text="중단">
      <formula>NOT(ISERROR(SEARCH("중단",L8)))</formula>
    </cfRule>
  </conditionalFormatting>
  <conditionalFormatting sqref="L8:L17">
    <cfRule type="containsText" dxfId="89" priority="15" operator="containsText" text="진행중">
      <formula>NOT(ISERROR(SEARCH("진행중",L8)))</formula>
    </cfRule>
  </conditionalFormatting>
  <conditionalFormatting sqref="M8:M17">
    <cfRule type="containsText" dxfId="88" priority="13" operator="containsText" text="완료">
      <formula>NOT(ISERROR(SEARCH("완료",M8)))</formula>
    </cfRule>
    <cfRule type="containsText" dxfId="87" priority="14" operator="containsText" text="중단">
      <formula>NOT(ISERROR(SEARCH("중단",M8)))</formula>
    </cfRule>
  </conditionalFormatting>
  <conditionalFormatting sqref="M8:M17">
    <cfRule type="containsText" dxfId="86" priority="11" operator="containsText" text="완료">
      <formula>NOT(ISERROR(SEARCH("완료",M8)))</formula>
    </cfRule>
    <cfRule type="containsText" dxfId="85" priority="12" operator="containsText" text="중단">
      <formula>NOT(ISERROR(SEARCH("중단",M8)))</formula>
    </cfRule>
  </conditionalFormatting>
  <conditionalFormatting sqref="M8:M17">
    <cfRule type="containsText" dxfId="84" priority="9" operator="containsText" text="완료">
      <formula>NOT(ISERROR(SEARCH("완료",M8)))</formula>
    </cfRule>
    <cfRule type="containsText" dxfId="83" priority="10" operator="containsText" text="중단">
      <formula>NOT(ISERROR(SEARCH("중단",M8)))</formula>
    </cfRule>
  </conditionalFormatting>
  <conditionalFormatting sqref="M8:M17">
    <cfRule type="containsText" dxfId="82" priority="8" operator="containsText" text="진행중">
      <formula>NOT(ISERROR(SEARCH("진행중",M8)))</formula>
    </cfRule>
  </conditionalFormatting>
  <conditionalFormatting sqref="N8:N18">
    <cfRule type="containsText" dxfId="81" priority="6" operator="containsText" text="완료">
      <formula>NOT(ISERROR(SEARCH("완료",N8)))</formula>
    </cfRule>
    <cfRule type="containsText" dxfId="80" priority="7" operator="containsText" text="중단">
      <formula>NOT(ISERROR(SEARCH("중단",N8)))</formula>
    </cfRule>
  </conditionalFormatting>
  <conditionalFormatting sqref="N8:N18">
    <cfRule type="containsText" dxfId="79" priority="4" operator="containsText" text="완료">
      <formula>NOT(ISERROR(SEARCH("완료",N8)))</formula>
    </cfRule>
    <cfRule type="containsText" dxfId="78" priority="5" operator="containsText" text="중단">
      <formula>NOT(ISERROR(SEARCH("중단",N8)))</formula>
    </cfRule>
  </conditionalFormatting>
  <conditionalFormatting sqref="N8:N18">
    <cfRule type="containsText" dxfId="77" priority="2" operator="containsText" text="완료">
      <formula>NOT(ISERROR(SEARCH("완료",N8)))</formula>
    </cfRule>
    <cfRule type="containsText" dxfId="76" priority="3" operator="containsText" text="중단">
      <formula>NOT(ISERROR(SEARCH("중단",N8)))</formula>
    </cfRule>
  </conditionalFormatting>
  <conditionalFormatting sqref="N8:N18">
    <cfRule type="containsText" dxfId="75" priority="1" operator="containsText" text="진행중">
      <formula>NOT(ISERROR(SEARCH("진행중",N8)))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4F5C6-700E-4F01-A83E-39E941B73FA2}">
  <sheetPr>
    <tabColor theme="0" tint="-0.499984740745262"/>
  </sheetPr>
  <dimension ref="A1:AQ23"/>
  <sheetViews>
    <sheetView zoomScale="55" zoomScaleNormal="55" workbookViewId="0">
      <selection activeCell="S10" sqref="S10"/>
    </sheetView>
  </sheetViews>
  <sheetFormatPr defaultRowHeight="17" x14ac:dyDescent="0.45"/>
  <cols>
    <col min="1" max="1" width="11.33203125" bestFit="1" customWidth="1"/>
    <col min="2" max="2" width="11.4140625" style="5" customWidth="1"/>
    <col min="3" max="3" width="44.1640625" customWidth="1"/>
    <col min="4" max="4" width="12.9140625" style="5" bestFit="1" customWidth="1"/>
    <col min="5" max="5" width="23.83203125" customWidth="1"/>
    <col min="6" max="6" width="16.75" customWidth="1"/>
    <col min="7" max="10" width="8.33203125" bestFit="1" customWidth="1"/>
    <col min="11" max="11" width="2.9140625" hidden="1" customWidth="1"/>
    <col min="12" max="13" width="16.33203125" bestFit="1" customWidth="1"/>
    <col min="14" max="14" width="16.5" customWidth="1"/>
    <col min="15" max="15" width="16.33203125" bestFit="1" customWidth="1"/>
    <col min="16" max="16" width="16.33203125" customWidth="1"/>
    <col min="17" max="17" width="28.5" hidden="1" customWidth="1"/>
    <col min="18" max="21" width="14.75" customWidth="1"/>
    <col min="24" max="29" width="9.1640625" customWidth="1"/>
    <col min="30" max="30" width="20.6640625" customWidth="1"/>
    <col min="31" max="31" width="35" customWidth="1"/>
    <col min="32" max="32" width="44.1640625" customWidth="1"/>
    <col min="33" max="33" width="89.25" customWidth="1"/>
    <col min="34" max="34" width="88.6640625" customWidth="1"/>
    <col min="37" max="37" width="22.58203125" bestFit="1" customWidth="1"/>
    <col min="38" max="38" width="34.83203125" customWidth="1"/>
  </cols>
  <sheetData>
    <row r="1" spans="1:43" ht="62.5" customHeight="1" x14ac:dyDescent="0.45">
      <c r="A1" s="66" t="s">
        <v>19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</row>
    <row r="2" spans="1:43" x14ac:dyDescent="0.45">
      <c r="A2" s="54" t="s">
        <v>11</v>
      </c>
      <c r="B2" s="55" t="s">
        <v>92</v>
      </c>
      <c r="C2" s="56"/>
      <c r="D2" s="56"/>
      <c r="E2" s="56"/>
      <c r="F2" s="57"/>
      <c r="G2" s="54" t="s">
        <v>111</v>
      </c>
      <c r="H2" s="54"/>
      <c r="I2" s="54"/>
      <c r="J2" s="54"/>
      <c r="K2" s="54"/>
      <c r="L2" s="54"/>
      <c r="M2" s="54"/>
      <c r="N2" s="54"/>
      <c r="O2" s="54"/>
      <c r="P2" s="54"/>
      <c r="Q2" s="55" t="s">
        <v>26</v>
      </c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7"/>
      <c r="AG2" s="55" t="s">
        <v>10</v>
      </c>
      <c r="AH2" s="57"/>
    </row>
    <row r="3" spans="1:43" x14ac:dyDescent="0.45">
      <c r="A3" s="54"/>
      <c r="B3" s="61"/>
      <c r="C3" s="64"/>
      <c r="D3" s="64"/>
      <c r="E3" s="64"/>
      <c r="F3" s="62"/>
      <c r="G3" s="54"/>
      <c r="H3" s="54"/>
      <c r="I3" s="54"/>
      <c r="J3" s="54"/>
      <c r="K3" s="54"/>
      <c r="L3" s="54"/>
      <c r="M3" s="54"/>
      <c r="N3" s="54"/>
      <c r="O3" s="54"/>
      <c r="P3" s="54"/>
      <c r="Q3" s="58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60"/>
      <c r="AG3" s="61"/>
      <c r="AH3" s="62"/>
    </row>
    <row r="4" spans="1:43" x14ac:dyDescent="0.45">
      <c r="A4" s="54"/>
      <c r="B4" s="61"/>
      <c r="C4" s="64"/>
      <c r="D4" s="64"/>
      <c r="E4" s="64"/>
      <c r="F4" s="62"/>
      <c r="G4" s="54"/>
      <c r="H4" s="54"/>
      <c r="I4" s="54"/>
      <c r="J4" s="54"/>
      <c r="K4" s="54"/>
      <c r="L4" s="54"/>
      <c r="M4" s="54"/>
      <c r="N4" s="54"/>
      <c r="O4" s="54"/>
      <c r="P4" s="54"/>
      <c r="Q4" s="19"/>
      <c r="R4" s="52" t="s">
        <v>33</v>
      </c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3"/>
      <c r="AE4" s="12" t="s">
        <v>34</v>
      </c>
      <c r="AF4" s="12" t="s">
        <v>35</v>
      </c>
      <c r="AG4" s="61"/>
      <c r="AH4" s="62"/>
    </row>
    <row r="5" spans="1:43" x14ac:dyDescent="0.45">
      <c r="A5" s="54"/>
      <c r="B5" s="58"/>
      <c r="C5" s="59"/>
      <c r="D5" s="59"/>
      <c r="E5" s="59"/>
      <c r="F5" s="60"/>
      <c r="G5" s="63" t="s">
        <v>36</v>
      </c>
      <c r="H5" s="63"/>
      <c r="I5" s="63"/>
      <c r="J5" s="63"/>
      <c r="K5" s="42"/>
      <c r="L5" s="58" t="s">
        <v>94</v>
      </c>
      <c r="M5" s="59"/>
      <c r="N5" s="59"/>
      <c r="O5" s="60"/>
      <c r="P5" s="43" t="s">
        <v>93</v>
      </c>
      <c r="Q5" s="18" t="s">
        <v>30</v>
      </c>
      <c r="R5" s="51" t="s">
        <v>44</v>
      </c>
      <c r="S5" s="52"/>
      <c r="T5" s="52"/>
      <c r="U5" s="53"/>
      <c r="V5" s="51" t="s">
        <v>20</v>
      </c>
      <c r="W5" s="52"/>
      <c r="X5" s="52"/>
      <c r="Y5" s="53"/>
      <c r="Z5" s="65" t="s">
        <v>123</v>
      </c>
      <c r="AA5" s="54"/>
      <c r="AB5" s="54"/>
      <c r="AC5" s="54"/>
      <c r="AD5" s="54"/>
      <c r="AE5" s="14"/>
      <c r="AF5" s="12"/>
      <c r="AG5" s="61"/>
      <c r="AH5" s="62"/>
    </row>
    <row r="6" spans="1:43" x14ac:dyDescent="0.45">
      <c r="A6" s="22" t="s">
        <v>27</v>
      </c>
      <c r="B6" s="22" t="s">
        <v>3</v>
      </c>
      <c r="C6" s="41" t="s">
        <v>31</v>
      </c>
      <c r="D6" s="41" t="s">
        <v>21</v>
      </c>
      <c r="E6" s="41" t="s">
        <v>124</v>
      </c>
      <c r="F6" s="41" t="s">
        <v>9</v>
      </c>
      <c r="G6" s="22" t="s">
        <v>4</v>
      </c>
      <c r="H6" s="22" t="s">
        <v>13</v>
      </c>
      <c r="I6" s="22" t="s">
        <v>14</v>
      </c>
      <c r="J6" s="22" t="s">
        <v>5</v>
      </c>
      <c r="K6" s="22" t="s">
        <v>16</v>
      </c>
      <c r="L6" s="22" t="s">
        <v>22</v>
      </c>
      <c r="M6" s="22" t="s">
        <v>23</v>
      </c>
      <c r="N6" s="22" t="s">
        <v>28</v>
      </c>
      <c r="O6" s="22" t="s">
        <v>24</v>
      </c>
      <c r="P6" s="22" t="s">
        <v>29</v>
      </c>
      <c r="Q6" s="20" t="s">
        <v>25</v>
      </c>
      <c r="R6" s="20" t="s">
        <v>4</v>
      </c>
      <c r="S6" s="20" t="s">
        <v>13</v>
      </c>
      <c r="T6" s="20" t="s">
        <v>14</v>
      </c>
      <c r="U6" s="20" t="s">
        <v>5</v>
      </c>
      <c r="V6" s="20" t="s">
        <v>4</v>
      </c>
      <c r="W6" s="20" t="s">
        <v>13</v>
      </c>
      <c r="X6" s="20" t="s">
        <v>14</v>
      </c>
      <c r="Y6" s="20" t="s">
        <v>5</v>
      </c>
      <c r="Z6" s="20" t="s">
        <v>4</v>
      </c>
      <c r="AA6" s="20" t="s">
        <v>13</v>
      </c>
      <c r="AB6" s="20" t="s">
        <v>14</v>
      </c>
      <c r="AC6" s="20" t="s">
        <v>5</v>
      </c>
      <c r="AD6" s="20" t="s">
        <v>39</v>
      </c>
      <c r="AE6" s="15" t="s">
        <v>37</v>
      </c>
      <c r="AF6" s="13" t="s">
        <v>38</v>
      </c>
      <c r="AG6" s="58"/>
      <c r="AH6" s="60"/>
      <c r="AM6" s="1"/>
      <c r="AN6" s="1"/>
      <c r="AO6" s="1"/>
      <c r="AP6" s="1"/>
      <c r="AQ6" s="1"/>
    </row>
    <row r="7" spans="1:43" x14ac:dyDescent="0.45">
      <c r="A7" s="4">
        <v>45971</v>
      </c>
      <c r="B7" s="25">
        <v>1</v>
      </c>
      <c r="C7" s="8" t="str">
        <f t="shared" ref="C7:C22" si="0">IF(B7="","",
  IF(MOD($B7,1)=0,
    "Dimensions: L W H",
    "-"
  )
)</f>
        <v>Dimensions: L W H</v>
      </c>
      <c r="D7" s="7" t="str">
        <f t="shared" ref="D7:D17" si="1">IF(E7="","",
  IF(MOD($B7,1)=0,
    "완료",
    "-"
  )
)</f>
        <v>완료</v>
      </c>
      <c r="E7" s="1">
        <v>19</v>
      </c>
      <c r="F7" s="3"/>
      <c r="G7" s="91" t="s">
        <v>40</v>
      </c>
      <c r="H7" s="1" t="s">
        <v>17</v>
      </c>
      <c r="I7" s="1" t="s">
        <v>17</v>
      </c>
      <c r="J7" s="91" t="s">
        <v>40</v>
      </c>
      <c r="K7" s="1"/>
      <c r="L7" s="25" t="s">
        <v>15</v>
      </c>
      <c r="M7" s="25" t="s">
        <v>2</v>
      </c>
      <c r="N7" s="25">
        <v>160</v>
      </c>
      <c r="O7" s="25" t="s">
        <v>17</v>
      </c>
      <c r="P7" s="25">
        <f>IF(LEN(A7)&gt;0, 종합!$C$27, "")</f>
        <v>2.2599999999999998</v>
      </c>
      <c r="Q7" s="1" t="s">
        <v>17</v>
      </c>
      <c r="R7" s="8" t="str">
        <f t="shared" ref="R7:U10" si="2">IF(MOD($B7,5)=0, "스핀들유격: ","-" )</f>
        <v>-</v>
      </c>
      <c r="S7" s="8" t="str">
        <f t="shared" si="2"/>
        <v>-</v>
      </c>
      <c r="T7" s="8" t="str">
        <f t="shared" si="2"/>
        <v>-</v>
      </c>
      <c r="U7" s="8" t="str">
        <f t="shared" si="2"/>
        <v>-</v>
      </c>
      <c r="V7" s="8" t="str">
        <f t="shared" ref="V7:AC10" si="3">IF(MOD($B7,5)=0, "000-000","-" )</f>
        <v>-</v>
      </c>
      <c r="W7" s="8" t="str">
        <f t="shared" si="3"/>
        <v>-</v>
      </c>
      <c r="X7" s="8" t="str">
        <f t="shared" si="3"/>
        <v>-</v>
      </c>
      <c r="Y7" s="8" t="str">
        <f t="shared" si="3"/>
        <v>-</v>
      </c>
      <c r="Z7" s="8" t="str">
        <f t="shared" si="3"/>
        <v>-</v>
      </c>
      <c r="AA7" s="8" t="str">
        <f t="shared" si="3"/>
        <v>-</v>
      </c>
      <c r="AB7" s="8" t="str">
        <f t="shared" si="3"/>
        <v>-</v>
      </c>
      <c r="AC7" s="8" t="str">
        <f t="shared" si="3"/>
        <v>-</v>
      </c>
      <c r="AD7" s="8" t="str">
        <f>IF(MOD($B7,5)=0, "스핀들소음 :","-" )</f>
        <v>-</v>
      </c>
      <c r="AE7" s="8" t="str">
        <f t="shared" ref="AE7:AE17" si="4">IF(MOD($B7,40)=0, "필터세척 :"&amp; CHAR(10) &amp; "FLOW   (T1, T4 : / T2, T3 : / T4 : )","-" )</f>
        <v>-</v>
      </c>
      <c r="AF7" s="8" t="str">
        <f>IF($B7="","",
  IF(MOD($B7,160)=0,
    "TENSION (XL : / ZL : / XR : / ZR : / Y : )" &amp; CHAR(10) &amp;
    "필터교체",
    "-"
  )
)</f>
        <v>-</v>
      </c>
      <c r="AG7" s="1" t="s">
        <v>17</v>
      </c>
      <c r="AH7" s="1"/>
    </row>
    <row r="8" spans="1:43" x14ac:dyDescent="0.45">
      <c r="A8" s="4">
        <v>45971</v>
      </c>
      <c r="B8" s="25">
        <f>IF(NOT(LEN(A8)=0),B7+1,"")</f>
        <v>2</v>
      </c>
      <c r="C8" s="8" t="str">
        <f t="shared" si="0"/>
        <v>Dimensions: L W H</v>
      </c>
      <c r="D8" s="7" t="str">
        <f t="shared" si="1"/>
        <v>완료</v>
      </c>
      <c r="E8" s="1">
        <v>19</v>
      </c>
      <c r="F8" s="3"/>
      <c r="G8" s="91" t="s">
        <v>40</v>
      </c>
      <c r="H8" s="1" t="s">
        <v>17</v>
      </c>
      <c r="I8" s="1" t="s">
        <v>17</v>
      </c>
      <c r="J8" s="91" t="s">
        <v>40</v>
      </c>
      <c r="K8" s="1"/>
      <c r="L8" s="93" t="str">
        <f t="shared" ref="L8:L17" si="5">IF(NOT(LEN($J8)=0),L7,"")</f>
        <v>VITA</v>
      </c>
      <c r="M8" s="93" t="str">
        <f t="shared" ref="M8:M17" si="6">IF(NOT(LEN($J8)=0),M7,"")</f>
        <v>MARK II</v>
      </c>
      <c r="N8" s="93">
        <f t="shared" ref="N8:N17" si="7">IF(NOT(LEN($J8)=0),N7,"")</f>
        <v>160</v>
      </c>
      <c r="O8" s="93" t="str">
        <f>IF(NOT(LEN($J8)=0),O7,"")</f>
        <v>-</v>
      </c>
      <c r="P8" s="25">
        <f>IF(LEN(A8)&gt;0, 종합!$C$27, "")</f>
        <v>2.2599999999999998</v>
      </c>
      <c r="Q8" s="1" t="s">
        <v>17</v>
      </c>
      <c r="R8" s="8" t="str">
        <f t="shared" si="2"/>
        <v>-</v>
      </c>
      <c r="S8" s="8" t="str">
        <f t="shared" si="2"/>
        <v>-</v>
      </c>
      <c r="T8" s="8" t="str">
        <f t="shared" si="2"/>
        <v>-</v>
      </c>
      <c r="U8" s="8" t="str">
        <f t="shared" si="2"/>
        <v>-</v>
      </c>
      <c r="V8" s="8" t="str">
        <f t="shared" si="3"/>
        <v>-</v>
      </c>
      <c r="W8" s="8" t="str">
        <f t="shared" si="3"/>
        <v>-</v>
      </c>
      <c r="X8" s="8" t="str">
        <f t="shared" si="3"/>
        <v>-</v>
      </c>
      <c r="Y8" s="8" t="str">
        <f t="shared" si="3"/>
        <v>-</v>
      </c>
      <c r="Z8" s="8" t="str">
        <f t="shared" si="3"/>
        <v>-</v>
      </c>
      <c r="AA8" s="8" t="str">
        <f t="shared" si="3"/>
        <v>-</v>
      </c>
      <c r="AB8" s="8" t="str">
        <f t="shared" si="3"/>
        <v>-</v>
      </c>
      <c r="AC8" s="8" t="str">
        <f t="shared" si="3"/>
        <v>-</v>
      </c>
      <c r="AD8" s="8" t="str">
        <f>IF(MOD($B8,5)=0, "스핀들소음 :","-" )</f>
        <v>-</v>
      </c>
      <c r="AE8" s="8" t="str">
        <f t="shared" si="4"/>
        <v>-</v>
      </c>
      <c r="AF8" s="8" t="str">
        <f t="shared" ref="AF8:AF16" si="8">IF($B8="","",
  IF(MOD(B8,160)=0,
    "TENSION (XL : / ZL : / XR : / ZR : / Y : )" &amp; CHAR(10) &amp;
    "필터교체",
    "-"
  )
)</f>
        <v>-</v>
      </c>
      <c r="AG8" s="1" t="s">
        <v>17</v>
      </c>
      <c r="AH8" s="2"/>
    </row>
    <row r="9" spans="1:43" x14ac:dyDescent="0.45">
      <c r="A9" s="4">
        <v>45971</v>
      </c>
      <c r="B9" s="25">
        <f t="shared" ref="B9:B22" si="9">IF(NOT(LEN(A9)=0),B8+1,"")</f>
        <v>3</v>
      </c>
      <c r="C9" s="8" t="str">
        <f t="shared" si="0"/>
        <v>Dimensions: L W H</v>
      </c>
      <c r="D9" s="7" t="str">
        <f t="shared" si="1"/>
        <v>완료</v>
      </c>
      <c r="E9" s="1">
        <v>19</v>
      </c>
      <c r="F9" s="3"/>
      <c r="G9" s="91" t="s">
        <v>40</v>
      </c>
      <c r="H9" s="1" t="s">
        <v>17</v>
      </c>
      <c r="I9" s="1" t="s">
        <v>17</v>
      </c>
      <c r="J9" s="91" t="s">
        <v>40</v>
      </c>
      <c r="K9" s="1"/>
      <c r="L9" s="93" t="str">
        <f t="shared" si="5"/>
        <v>VITA</v>
      </c>
      <c r="M9" s="93" t="str">
        <f t="shared" si="6"/>
        <v>MARK II</v>
      </c>
      <c r="N9" s="93">
        <f t="shared" ref="N9:N18" si="10">IF(NOT(LEN($J9)=0),N8,"")</f>
        <v>160</v>
      </c>
      <c r="O9" s="93" t="str">
        <f t="shared" ref="O9:O18" si="11">IF(NOT(LEN($J9)=0),O8,"")</f>
        <v>-</v>
      </c>
      <c r="P9" s="25">
        <f>IF(LEN(A9)&gt;0, 종합!$C$27, "")</f>
        <v>2.2599999999999998</v>
      </c>
      <c r="Q9" s="1" t="s">
        <v>17</v>
      </c>
      <c r="R9" s="8" t="str">
        <f t="shared" si="2"/>
        <v>-</v>
      </c>
      <c r="S9" s="8" t="str">
        <f t="shared" si="2"/>
        <v>-</v>
      </c>
      <c r="T9" s="8" t="str">
        <f t="shared" si="2"/>
        <v>-</v>
      </c>
      <c r="U9" s="8" t="str">
        <f t="shared" si="2"/>
        <v>-</v>
      </c>
      <c r="V9" s="8" t="str">
        <f t="shared" si="3"/>
        <v>-</v>
      </c>
      <c r="W9" s="8" t="str">
        <f t="shared" si="3"/>
        <v>-</v>
      </c>
      <c r="X9" s="8" t="str">
        <f t="shared" si="3"/>
        <v>-</v>
      </c>
      <c r="Y9" s="8" t="str">
        <f t="shared" si="3"/>
        <v>-</v>
      </c>
      <c r="Z9" s="8" t="str">
        <f t="shared" si="3"/>
        <v>-</v>
      </c>
      <c r="AA9" s="8" t="str">
        <f t="shared" si="3"/>
        <v>-</v>
      </c>
      <c r="AB9" s="8" t="str">
        <f t="shared" si="3"/>
        <v>-</v>
      </c>
      <c r="AC9" s="8" t="str">
        <f t="shared" si="3"/>
        <v>-</v>
      </c>
      <c r="AD9" s="8" t="str">
        <f>IF(MOD($B9,5)=0, "스핀들소음 :","-" )</f>
        <v>-</v>
      </c>
      <c r="AE9" s="8" t="str">
        <f t="shared" si="4"/>
        <v>-</v>
      </c>
      <c r="AF9" s="8" t="str">
        <f t="shared" si="8"/>
        <v>-</v>
      </c>
      <c r="AG9" s="1" t="s">
        <v>17</v>
      </c>
      <c r="AH9" s="2"/>
    </row>
    <row r="10" spans="1:43" x14ac:dyDescent="0.45">
      <c r="A10" s="4">
        <v>45971</v>
      </c>
      <c r="B10" s="25">
        <f t="shared" si="9"/>
        <v>4</v>
      </c>
      <c r="C10" s="8" t="str">
        <f t="shared" si="0"/>
        <v>Dimensions: L W H</v>
      </c>
      <c r="D10" s="7" t="str">
        <f t="shared" si="1"/>
        <v>완료</v>
      </c>
      <c r="E10" s="1">
        <v>21</v>
      </c>
      <c r="F10" s="3"/>
      <c r="G10" s="91" t="s">
        <v>40</v>
      </c>
      <c r="H10" s="1" t="s">
        <v>17</v>
      </c>
      <c r="I10" s="1" t="s">
        <v>17</v>
      </c>
      <c r="J10" s="91" t="s">
        <v>40</v>
      </c>
      <c r="K10" s="1"/>
      <c r="L10" s="93" t="str">
        <f t="shared" si="5"/>
        <v>VITA</v>
      </c>
      <c r="M10" s="93" t="str">
        <f t="shared" si="6"/>
        <v>MARK II</v>
      </c>
      <c r="N10" s="93">
        <f t="shared" si="10"/>
        <v>160</v>
      </c>
      <c r="O10" s="93" t="str">
        <f t="shared" si="11"/>
        <v>-</v>
      </c>
      <c r="P10" s="25">
        <f>IF(LEN(A10)&gt;0, 종합!$C$27, "")</f>
        <v>2.2599999999999998</v>
      </c>
      <c r="Q10" s="1" t="s">
        <v>17</v>
      </c>
      <c r="R10" s="8" t="str">
        <f t="shared" si="2"/>
        <v>-</v>
      </c>
      <c r="S10" s="8" t="str">
        <f t="shared" si="2"/>
        <v>-</v>
      </c>
      <c r="T10" s="8" t="str">
        <f t="shared" si="2"/>
        <v>-</v>
      </c>
      <c r="U10" s="8" t="str">
        <f t="shared" si="2"/>
        <v>-</v>
      </c>
      <c r="V10" s="8" t="str">
        <f t="shared" si="3"/>
        <v>-</v>
      </c>
      <c r="W10" s="8" t="str">
        <f t="shared" si="3"/>
        <v>-</v>
      </c>
      <c r="X10" s="8" t="str">
        <f t="shared" si="3"/>
        <v>-</v>
      </c>
      <c r="Y10" s="8" t="str">
        <f t="shared" si="3"/>
        <v>-</v>
      </c>
      <c r="Z10" s="8" t="str">
        <f t="shared" si="3"/>
        <v>-</v>
      </c>
      <c r="AA10" s="8" t="str">
        <f t="shared" si="3"/>
        <v>-</v>
      </c>
      <c r="AB10" s="8" t="str">
        <f t="shared" si="3"/>
        <v>-</v>
      </c>
      <c r="AC10" s="8" t="str">
        <f t="shared" si="3"/>
        <v>-</v>
      </c>
      <c r="AD10" s="8" t="str">
        <f>IF(MOD($B10,5)=0, "스핀들소음 :","-" )</f>
        <v>-</v>
      </c>
      <c r="AE10" s="8" t="str">
        <f t="shared" si="4"/>
        <v>-</v>
      </c>
      <c r="AF10" s="8" t="str">
        <f t="shared" si="8"/>
        <v>-</v>
      </c>
      <c r="AG10" s="1" t="s">
        <v>17</v>
      </c>
      <c r="AH10" s="2"/>
    </row>
    <row r="11" spans="1:43" x14ac:dyDescent="0.45">
      <c r="A11" s="4">
        <v>45971</v>
      </c>
      <c r="B11" s="25">
        <f t="shared" si="9"/>
        <v>5</v>
      </c>
      <c r="C11" s="8" t="str">
        <f t="shared" si="0"/>
        <v>Dimensions: L W H</v>
      </c>
      <c r="D11" s="7" t="str">
        <f t="shared" si="1"/>
        <v>완료</v>
      </c>
      <c r="E11" s="1">
        <v>21</v>
      </c>
      <c r="F11" s="3"/>
      <c r="G11" s="91" t="s">
        <v>40</v>
      </c>
      <c r="H11" s="1" t="s">
        <v>17</v>
      </c>
      <c r="I11" s="1" t="s">
        <v>17</v>
      </c>
      <c r="J11" s="91" t="s">
        <v>40</v>
      </c>
      <c r="K11" s="1"/>
      <c r="L11" s="93" t="str">
        <f t="shared" si="5"/>
        <v>VITA</v>
      </c>
      <c r="M11" s="93" t="str">
        <f t="shared" si="6"/>
        <v>MARK II</v>
      </c>
      <c r="N11" s="93">
        <f t="shared" si="10"/>
        <v>160</v>
      </c>
      <c r="O11" s="93" t="str">
        <f t="shared" si="11"/>
        <v>-</v>
      </c>
      <c r="P11" s="25">
        <f>IF(LEN(A11)&gt;0, 종합!$C$27, "")</f>
        <v>2.2599999999999998</v>
      </c>
      <c r="Q11" s="1" t="s">
        <v>17</v>
      </c>
      <c r="R11" s="8" t="s">
        <v>45</v>
      </c>
      <c r="S11" s="8" t="s">
        <v>45</v>
      </c>
      <c r="T11" s="8" t="s">
        <v>45</v>
      </c>
      <c r="U11" s="8" t="s">
        <v>45</v>
      </c>
      <c r="V11" s="8" t="s">
        <v>46</v>
      </c>
      <c r="W11" s="8" t="s">
        <v>47</v>
      </c>
      <c r="X11" s="8" t="s">
        <v>48</v>
      </c>
      <c r="Y11" s="8" t="s">
        <v>49</v>
      </c>
      <c r="Z11" s="8" t="str">
        <f t="shared" ref="Z11:AC17" si="12">IF(MOD($B11,5)=0, "000-000","-" )</f>
        <v>000-000</v>
      </c>
      <c r="AA11" s="8" t="str">
        <f t="shared" si="12"/>
        <v>000-000</v>
      </c>
      <c r="AB11" s="8" t="str">
        <f t="shared" si="12"/>
        <v>000-000</v>
      </c>
      <c r="AC11" s="8" t="str">
        <f t="shared" si="12"/>
        <v>000-000</v>
      </c>
      <c r="AD11" s="8" t="s">
        <v>67</v>
      </c>
      <c r="AE11" s="8" t="str">
        <f t="shared" si="4"/>
        <v>-</v>
      </c>
      <c r="AF11" s="8" t="str">
        <f t="shared" si="8"/>
        <v>-</v>
      </c>
      <c r="AG11" s="1" t="s">
        <v>17</v>
      </c>
      <c r="AH11" s="2"/>
    </row>
    <row r="12" spans="1:43" x14ac:dyDescent="0.45">
      <c r="A12" s="4">
        <v>45971</v>
      </c>
      <c r="B12" s="25">
        <f t="shared" si="9"/>
        <v>6</v>
      </c>
      <c r="C12" s="8" t="str">
        <f t="shared" si="0"/>
        <v>Dimensions: L W H</v>
      </c>
      <c r="D12" s="7" t="str">
        <f t="shared" si="1"/>
        <v>완료</v>
      </c>
      <c r="E12" s="1">
        <v>19</v>
      </c>
      <c r="F12" s="3"/>
      <c r="G12" s="91" t="s">
        <v>40</v>
      </c>
      <c r="H12" s="1" t="s">
        <v>17</v>
      </c>
      <c r="I12" s="1" t="s">
        <v>17</v>
      </c>
      <c r="J12" s="91" t="s">
        <v>40</v>
      </c>
      <c r="K12" s="1"/>
      <c r="L12" s="93" t="str">
        <f t="shared" si="5"/>
        <v>VITA</v>
      </c>
      <c r="M12" s="93" t="str">
        <f t="shared" si="6"/>
        <v>MARK II</v>
      </c>
      <c r="N12" s="93">
        <f t="shared" si="10"/>
        <v>160</v>
      </c>
      <c r="O12" s="93" t="str">
        <f t="shared" si="11"/>
        <v>-</v>
      </c>
      <c r="P12" s="25">
        <f>IF(LEN(A12)&gt;0, 종합!$C$27, "")</f>
        <v>2.2599999999999998</v>
      </c>
      <c r="Q12" s="1" t="s">
        <v>17</v>
      </c>
      <c r="R12" s="8" t="str">
        <f t="shared" ref="R12:U17" si="13">IF(MOD($B12,5)=0, "스핀들유격: ","-" )</f>
        <v>-</v>
      </c>
      <c r="S12" s="8" t="str">
        <f t="shared" si="13"/>
        <v>-</v>
      </c>
      <c r="T12" s="8" t="str">
        <f t="shared" si="13"/>
        <v>-</v>
      </c>
      <c r="U12" s="8" t="str">
        <f t="shared" si="13"/>
        <v>-</v>
      </c>
      <c r="V12" s="8" t="str">
        <f t="shared" ref="V12:Y17" si="14">IF(MOD($B12,5)=0, "000-000","-" )</f>
        <v>-</v>
      </c>
      <c r="W12" s="8" t="str">
        <f t="shared" si="14"/>
        <v>-</v>
      </c>
      <c r="X12" s="8" t="str">
        <f t="shared" si="14"/>
        <v>-</v>
      </c>
      <c r="Y12" s="8" t="str">
        <f t="shared" si="14"/>
        <v>-</v>
      </c>
      <c r="Z12" s="8" t="str">
        <f t="shared" si="12"/>
        <v>-</v>
      </c>
      <c r="AA12" s="8" t="str">
        <f t="shared" si="12"/>
        <v>-</v>
      </c>
      <c r="AB12" s="8" t="str">
        <f t="shared" si="12"/>
        <v>-</v>
      </c>
      <c r="AC12" s="8" t="str">
        <f t="shared" si="12"/>
        <v>-</v>
      </c>
      <c r="AD12" s="8" t="str">
        <f t="shared" ref="AD12:AD17" si="15">IF(MOD($B12,5)=0, "스핀들소음 :","-" )</f>
        <v>-</v>
      </c>
      <c r="AE12" s="8" t="str">
        <f t="shared" si="4"/>
        <v>-</v>
      </c>
      <c r="AF12" s="8" t="str">
        <f t="shared" si="8"/>
        <v>-</v>
      </c>
      <c r="AG12" s="1" t="s">
        <v>17</v>
      </c>
      <c r="AH12" s="2"/>
    </row>
    <row r="13" spans="1:43" x14ac:dyDescent="0.45">
      <c r="A13" s="4">
        <v>45972</v>
      </c>
      <c r="B13" s="25">
        <f t="shared" si="9"/>
        <v>7</v>
      </c>
      <c r="C13" s="8" t="str">
        <f t="shared" si="0"/>
        <v>Dimensions: L W H</v>
      </c>
      <c r="D13" s="7" t="str">
        <f t="shared" si="1"/>
        <v>완료</v>
      </c>
      <c r="E13" s="1">
        <v>23</v>
      </c>
      <c r="F13" s="3"/>
      <c r="G13" s="89">
        <v>0</v>
      </c>
      <c r="H13" s="1" t="s">
        <v>17</v>
      </c>
      <c r="I13" s="1" t="s">
        <v>17</v>
      </c>
      <c r="J13" s="89">
        <v>0</v>
      </c>
      <c r="K13" s="1"/>
      <c r="L13" s="93" t="str">
        <f t="shared" si="5"/>
        <v>VITA</v>
      </c>
      <c r="M13" s="93" t="str">
        <f t="shared" si="6"/>
        <v>MARK II</v>
      </c>
      <c r="N13" s="93">
        <f t="shared" si="10"/>
        <v>160</v>
      </c>
      <c r="O13" s="93" t="str">
        <f t="shared" si="11"/>
        <v>-</v>
      </c>
      <c r="P13" s="25">
        <f>IF(LEN(A13)&gt;0, 종합!$C$27, "")</f>
        <v>2.2599999999999998</v>
      </c>
      <c r="Q13" s="1" t="s">
        <v>17</v>
      </c>
      <c r="R13" s="8" t="str">
        <f t="shared" si="13"/>
        <v>-</v>
      </c>
      <c r="S13" s="8" t="str">
        <f t="shared" si="13"/>
        <v>-</v>
      </c>
      <c r="T13" s="8" t="str">
        <f t="shared" si="13"/>
        <v>-</v>
      </c>
      <c r="U13" s="8" t="str">
        <f t="shared" si="13"/>
        <v>-</v>
      </c>
      <c r="V13" s="8" t="str">
        <f t="shared" si="14"/>
        <v>-</v>
      </c>
      <c r="W13" s="8" t="str">
        <f t="shared" si="14"/>
        <v>-</v>
      </c>
      <c r="X13" s="8" t="str">
        <f t="shared" si="14"/>
        <v>-</v>
      </c>
      <c r="Y13" s="8" t="str">
        <f t="shared" si="14"/>
        <v>-</v>
      </c>
      <c r="Z13" s="8" t="str">
        <f t="shared" si="12"/>
        <v>-</v>
      </c>
      <c r="AA13" s="8" t="str">
        <f t="shared" si="12"/>
        <v>-</v>
      </c>
      <c r="AB13" s="8" t="str">
        <f t="shared" si="12"/>
        <v>-</v>
      </c>
      <c r="AC13" s="8" t="str">
        <f t="shared" si="12"/>
        <v>-</v>
      </c>
      <c r="AD13" s="8" t="str">
        <f t="shared" si="15"/>
        <v>-</v>
      </c>
      <c r="AE13" s="8" t="str">
        <f t="shared" si="4"/>
        <v>-</v>
      </c>
      <c r="AF13" s="8" t="str">
        <f t="shared" si="8"/>
        <v>-</v>
      </c>
      <c r="AG13" s="1" t="s">
        <v>17</v>
      </c>
      <c r="AH13" s="2"/>
    </row>
    <row r="14" spans="1:43" x14ac:dyDescent="0.45">
      <c r="A14" s="4">
        <v>45972</v>
      </c>
      <c r="B14" s="25">
        <f t="shared" si="9"/>
        <v>8</v>
      </c>
      <c r="C14" s="8" t="str">
        <f t="shared" si="0"/>
        <v>Dimensions: L W H</v>
      </c>
      <c r="D14" s="7" t="str">
        <f t="shared" si="1"/>
        <v>완료</v>
      </c>
      <c r="E14" s="1">
        <v>21</v>
      </c>
      <c r="F14" s="3"/>
      <c r="G14" s="89">
        <f>IF(NOT(LEN($A14)=0),IF(G13+1&gt;15,"버교체요망",G13+1),"")</f>
        <v>1</v>
      </c>
      <c r="H14" s="1" t="s">
        <v>17</v>
      </c>
      <c r="I14" s="1" t="s">
        <v>17</v>
      </c>
      <c r="J14" s="89">
        <f>IF(NOT(LEN($A14)=0),IF(J13+1&gt;15,"버교체요망",J13+1),"")</f>
        <v>1</v>
      </c>
      <c r="K14" s="1"/>
      <c r="L14" s="93" t="str">
        <f t="shared" si="5"/>
        <v>VITA</v>
      </c>
      <c r="M14" s="93" t="str">
        <f t="shared" si="6"/>
        <v>MARK II</v>
      </c>
      <c r="N14" s="93">
        <f t="shared" si="10"/>
        <v>160</v>
      </c>
      <c r="O14" s="93" t="str">
        <f t="shared" si="11"/>
        <v>-</v>
      </c>
      <c r="P14" s="25">
        <f>IF(LEN(A14)&gt;0, 종합!$C$27, "")</f>
        <v>2.2599999999999998</v>
      </c>
      <c r="Q14" s="1" t="s">
        <v>17</v>
      </c>
      <c r="R14" s="8" t="str">
        <f t="shared" si="13"/>
        <v>-</v>
      </c>
      <c r="S14" s="8" t="str">
        <f t="shared" si="13"/>
        <v>-</v>
      </c>
      <c r="T14" s="8" t="str">
        <f t="shared" si="13"/>
        <v>-</v>
      </c>
      <c r="U14" s="8" t="str">
        <f t="shared" si="13"/>
        <v>-</v>
      </c>
      <c r="V14" s="8" t="str">
        <f t="shared" si="14"/>
        <v>-</v>
      </c>
      <c r="W14" s="8" t="str">
        <f t="shared" si="14"/>
        <v>-</v>
      </c>
      <c r="X14" s="8" t="str">
        <f t="shared" si="14"/>
        <v>-</v>
      </c>
      <c r="Y14" s="8" t="str">
        <f t="shared" si="14"/>
        <v>-</v>
      </c>
      <c r="Z14" s="8" t="str">
        <f t="shared" si="12"/>
        <v>-</v>
      </c>
      <c r="AA14" s="8" t="str">
        <f t="shared" si="12"/>
        <v>-</v>
      </c>
      <c r="AB14" s="8" t="str">
        <f t="shared" si="12"/>
        <v>-</v>
      </c>
      <c r="AC14" s="8" t="str">
        <f t="shared" si="12"/>
        <v>-</v>
      </c>
      <c r="AD14" s="8" t="str">
        <f t="shared" si="15"/>
        <v>-</v>
      </c>
      <c r="AE14" s="8" t="str">
        <f t="shared" si="4"/>
        <v>-</v>
      </c>
      <c r="AF14" s="8" t="str">
        <f t="shared" si="8"/>
        <v>-</v>
      </c>
      <c r="AG14" s="1" t="s">
        <v>17</v>
      </c>
      <c r="AH14" s="2"/>
    </row>
    <row r="15" spans="1:43" x14ac:dyDescent="0.45">
      <c r="A15" s="4">
        <v>45972</v>
      </c>
      <c r="B15" s="25">
        <f t="shared" si="9"/>
        <v>9</v>
      </c>
      <c r="C15" s="8" t="str">
        <f t="shared" si="0"/>
        <v>Dimensions: L W H</v>
      </c>
      <c r="D15" s="7" t="str">
        <f t="shared" si="1"/>
        <v>완료</v>
      </c>
      <c r="E15" s="1">
        <v>21</v>
      </c>
      <c r="F15" s="3"/>
      <c r="G15" s="89">
        <f t="shared" ref="G15:G22" si="16">IF(NOT(LEN($A15)=0),IF(G14+1&gt;15,"버교체요망",G14+1),"")</f>
        <v>2</v>
      </c>
      <c r="H15" s="1" t="s">
        <v>17</v>
      </c>
      <c r="I15" s="1" t="s">
        <v>17</v>
      </c>
      <c r="J15" s="89">
        <f t="shared" ref="J15:L22" si="17">IF(NOT(LEN($A15)=0),IF(J14+1&gt;15,"버교체요망",J14+1),"")</f>
        <v>2</v>
      </c>
      <c r="K15" s="1"/>
      <c r="L15" s="93" t="str">
        <f t="shared" si="5"/>
        <v>VITA</v>
      </c>
      <c r="M15" s="93" t="str">
        <f t="shared" si="6"/>
        <v>MARK II</v>
      </c>
      <c r="N15" s="93">
        <f t="shared" si="10"/>
        <v>160</v>
      </c>
      <c r="O15" s="93" t="str">
        <f t="shared" si="11"/>
        <v>-</v>
      </c>
      <c r="P15" s="25">
        <f>IF(LEN(A15)&gt;0, 종합!$C$27, "")</f>
        <v>2.2599999999999998</v>
      </c>
      <c r="Q15" s="1" t="s">
        <v>17</v>
      </c>
      <c r="R15" s="8" t="str">
        <f t="shared" si="13"/>
        <v>-</v>
      </c>
      <c r="S15" s="8" t="str">
        <f t="shared" si="13"/>
        <v>-</v>
      </c>
      <c r="T15" s="8" t="str">
        <f t="shared" si="13"/>
        <v>-</v>
      </c>
      <c r="U15" s="8" t="str">
        <f t="shared" si="13"/>
        <v>-</v>
      </c>
      <c r="V15" s="8" t="str">
        <f t="shared" si="14"/>
        <v>-</v>
      </c>
      <c r="W15" s="8" t="str">
        <f t="shared" si="14"/>
        <v>-</v>
      </c>
      <c r="X15" s="8" t="str">
        <f t="shared" si="14"/>
        <v>-</v>
      </c>
      <c r="Y15" s="8" t="str">
        <f t="shared" si="14"/>
        <v>-</v>
      </c>
      <c r="Z15" s="8" t="str">
        <f t="shared" si="12"/>
        <v>-</v>
      </c>
      <c r="AA15" s="8" t="str">
        <f t="shared" si="12"/>
        <v>-</v>
      </c>
      <c r="AB15" s="8" t="str">
        <f t="shared" si="12"/>
        <v>-</v>
      </c>
      <c r="AC15" s="8" t="str">
        <f t="shared" si="12"/>
        <v>-</v>
      </c>
      <c r="AD15" s="8" t="str">
        <f t="shared" si="15"/>
        <v>-</v>
      </c>
      <c r="AE15" s="8" t="str">
        <f t="shared" si="4"/>
        <v>-</v>
      </c>
      <c r="AF15" s="8" t="str">
        <f t="shared" si="8"/>
        <v>-</v>
      </c>
      <c r="AG15" s="1" t="s">
        <v>17</v>
      </c>
      <c r="AH15" s="2"/>
    </row>
    <row r="16" spans="1:43" x14ac:dyDescent="0.45">
      <c r="A16" s="4">
        <v>45972</v>
      </c>
      <c r="B16" s="25">
        <f t="shared" si="9"/>
        <v>10</v>
      </c>
      <c r="C16" s="8" t="str">
        <f t="shared" si="0"/>
        <v>Dimensions: L W H</v>
      </c>
      <c r="D16" s="7" t="str">
        <f t="shared" si="1"/>
        <v>완료</v>
      </c>
      <c r="E16" s="1">
        <v>21</v>
      </c>
      <c r="F16" s="3"/>
      <c r="G16" s="89">
        <f t="shared" si="16"/>
        <v>3</v>
      </c>
      <c r="H16" s="1" t="s">
        <v>17</v>
      </c>
      <c r="I16" s="1" t="s">
        <v>17</v>
      </c>
      <c r="J16" s="89">
        <f t="shared" si="17"/>
        <v>3</v>
      </c>
      <c r="K16" s="1"/>
      <c r="L16" s="93" t="str">
        <f t="shared" si="5"/>
        <v>VITA</v>
      </c>
      <c r="M16" s="93" t="str">
        <f t="shared" si="6"/>
        <v>MARK II</v>
      </c>
      <c r="N16" s="93">
        <f t="shared" si="10"/>
        <v>160</v>
      </c>
      <c r="O16" s="93" t="str">
        <f t="shared" si="11"/>
        <v>-</v>
      </c>
      <c r="P16" s="25">
        <f>IF(LEN(A16)&gt;0, 종합!$C$27, "")</f>
        <v>2.2599999999999998</v>
      </c>
      <c r="Q16" s="1" t="s">
        <v>17</v>
      </c>
      <c r="R16" s="8" t="str">
        <f t="shared" si="13"/>
        <v xml:space="preserve">스핀들유격: </v>
      </c>
      <c r="S16" s="8" t="str">
        <f t="shared" si="13"/>
        <v xml:space="preserve">스핀들유격: </v>
      </c>
      <c r="T16" s="8" t="str">
        <f t="shared" si="13"/>
        <v xml:space="preserve">스핀들유격: </v>
      </c>
      <c r="U16" s="8" t="str">
        <f t="shared" si="13"/>
        <v xml:space="preserve">스핀들유격: </v>
      </c>
      <c r="V16" s="8" t="str">
        <f t="shared" si="14"/>
        <v>000-000</v>
      </c>
      <c r="W16" s="8" t="str">
        <f t="shared" si="14"/>
        <v>000-000</v>
      </c>
      <c r="X16" s="8" t="str">
        <f t="shared" si="14"/>
        <v>000-000</v>
      </c>
      <c r="Y16" s="8" t="str">
        <f t="shared" si="14"/>
        <v>000-000</v>
      </c>
      <c r="Z16" s="8" t="str">
        <f t="shared" si="12"/>
        <v>000-000</v>
      </c>
      <c r="AA16" s="8" t="str">
        <f t="shared" si="12"/>
        <v>000-000</v>
      </c>
      <c r="AB16" s="8" t="str">
        <f t="shared" si="12"/>
        <v>000-000</v>
      </c>
      <c r="AC16" s="8" t="str">
        <f t="shared" si="12"/>
        <v>000-000</v>
      </c>
      <c r="AD16" s="8" t="str">
        <f t="shared" si="15"/>
        <v>스핀들소음 :</v>
      </c>
      <c r="AE16" s="8" t="str">
        <f t="shared" si="4"/>
        <v>-</v>
      </c>
      <c r="AF16" s="8" t="str">
        <f t="shared" si="8"/>
        <v>-</v>
      </c>
      <c r="AG16" s="1" t="s">
        <v>17</v>
      </c>
      <c r="AH16" s="2"/>
    </row>
    <row r="17" spans="1:34" x14ac:dyDescent="0.45">
      <c r="A17" s="4">
        <v>45973</v>
      </c>
      <c r="B17" s="25">
        <f t="shared" si="9"/>
        <v>11</v>
      </c>
      <c r="C17" s="8" t="str">
        <f t="shared" si="0"/>
        <v>Dimensions: L W H</v>
      </c>
      <c r="D17" s="7" t="str">
        <f t="shared" si="1"/>
        <v>완료</v>
      </c>
      <c r="E17" s="1">
        <v>21</v>
      </c>
      <c r="F17" s="3"/>
      <c r="G17" s="89">
        <f t="shared" si="16"/>
        <v>4</v>
      </c>
      <c r="H17" s="1" t="s">
        <v>17</v>
      </c>
      <c r="I17" s="1" t="s">
        <v>17</v>
      </c>
      <c r="J17" s="89">
        <f t="shared" si="17"/>
        <v>4</v>
      </c>
      <c r="K17" s="1"/>
      <c r="L17" s="93" t="str">
        <f t="shared" si="5"/>
        <v>VITA</v>
      </c>
      <c r="M17" s="93" t="str">
        <f t="shared" si="6"/>
        <v>MARK II</v>
      </c>
      <c r="N17" s="93">
        <f t="shared" si="10"/>
        <v>160</v>
      </c>
      <c r="O17" s="93" t="str">
        <f t="shared" si="11"/>
        <v>-</v>
      </c>
      <c r="P17" s="25">
        <f>IF(LEN(A17)&gt;0, 종합!$C$27, "")</f>
        <v>2.2599999999999998</v>
      </c>
      <c r="Q17" s="1" t="s">
        <v>17</v>
      </c>
      <c r="R17" s="8" t="str">
        <f t="shared" si="13"/>
        <v>-</v>
      </c>
      <c r="S17" s="8" t="str">
        <f t="shared" si="13"/>
        <v>-</v>
      </c>
      <c r="T17" s="8" t="str">
        <f t="shared" si="13"/>
        <v>-</v>
      </c>
      <c r="U17" s="8" t="str">
        <f t="shared" si="13"/>
        <v>-</v>
      </c>
      <c r="V17" s="8" t="str">
        <f t="shared" si="14"/>
        <v>-</v>
      </c>
      <c r="W17" s="8" t="str">
        <f t="shared" si="14"/>
        <v>-</v>
      </c>
      <c r="X17" s="8" t="str">
        <f t="shared" si="14"/>
        <v>-</v>
      </c>
      <c r="Y17" s="8" t="str">
        <f t="shared" si="14"/>
        <v>-</v>
      </c>
      <c r="Z17" s="8" t="str">
        <f t="shared" si="12"/>
        <v>-</v>
      </c>
      <c r="AA17" s="8" t="str">
        <f t="shared" si="12"/>
        <v>-</v>
      </c>
      <c r="AB17" s="8" t="str">
        <f t="shared" si="12"/>
        <v>-</v>
      </c>
      <c r="AC17" s="8" t="str">
        <f t="shared" si="12"/>
        <v>-</v>
      </c>
      <c r="AD17" s="8" t="str">
        <f t="shared" si="15"/>
        <v>-</v>
      </c>
      <c r="AE17" s="8" t="str">
        <f t="shared" si="4"/>
        <v>-</v>
      </c>
      <c r="AF17" s="8" t="str">
        <f t="shared" ref="AF17" si="18">IF($B17="","",
  IF(MOD(B17,160)=0,
    "TENSION (XL : / ZL : / XR : / ZR : / Y : )" &amp; CHAR(10) &amp;
    "필터교체",
    "-"
  )
)</f>
        <v>-</v>
      </c>
      <c r="AG17" s="1" t="s">
        <v>17</v>
      </c>
      <c r="AH17" s="2"/>
    </row>
    <row r="18" spans="1:34" x14ac:dyDescent="0.45">
      <c r="A18" s="4">
        <v>45973</v>
      </c>
      <c r="B18" s="25">
        <f t="shared" si="9"/>
        <v>12</v>
      </c>
      <c r="C18" s="8" t="str">
        <f t="shared" si="0"/>
        <v>Dimensions: L W H</v>
      </c>
      <c r="D18" s="7" t="str">
        <f>IF(NOT(LEN(B18)=0),"진행중","")</f>
        <v>진행중</v>
      </c>
      <c r="E18" s="1">
        <v>23</v>
      </c>
      <c r="F18" s="1"/>
      <c r="G18" s="89">
        <f t="shared" si="16"/>
        <v>5</v>
      </c>
      <c r="H18" s="1"/>
      <c r="I18" s="1"/>
      <c r="J18" s="89">
        <f t="shared" si="17"/>
        <v>5</v>
      </c>
      <c r="K18" s="1"/>
      <c r="L18" s="93" t="str">
        <f>IF(NOT(LEN($J18)=0),L17,"")</f>
        <v>VITA</v>
      </c>
      <c r="M18" s="93" t="str">
        <f>IF(NOT(LEN($J18)=0),M17,"")</f>
        <v>MARK II</v>
      </c>
      <c r="N18" s="93">
        <f t="shared" si="10"/>
        <v>160</v>
      </c>
      <c r="O18" s="93" t="str">
        <f t="shared" si="11"/>
        <v>-</v>
      </c>
      <c r="P18" s="25">
        <f>IF(LEN(A18)&gt;0, 종합!$C$27, "")</f>
        <v>2.2599999999999998</v>
      </c>
      <c r="Q18" s="1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1"/>
      <c r="AH18" s="2"/>
    </row>
    <row r="19" spans="1:34" x14ac:dyDescent="0.45">
      <c r="A19" s="24"/>
      <c r="B19" s="25" t="str">
        <f t="shared" si="9"/>
        <v/>
      </c>
      <c r="C19" s="8" t="str">
        <f t="shared" si="0"/>
        <v/>
      </c>
      <c r="D19" s="7" t="str">
        <f t="shared" ref="D19:D22" si="19">IF(NOT(LEN(B19)=0),"진행중","")</f>
        <v/>
      </c>
      <c r="E19" s="1"/>
      <c r="F19" s="1"/>
      <c r="G19" s="89" t="str">
        <f t="shared" si="16"/>
        <v/>
      </c>
      <c r="H19" s="1"/>
      <c r="I19" s="1"/>
      <c r="J19" s="89" t="str">
        <f t="shared" si="17"/>
        <v/>
      </c>
      <c r="K19" s="1"/>
      <c r="L19" s="1"/>
      <c r="M19" s="1"/>
      <c r="N19" s="1"/>
      <c r="O19" s="1"/>
      <c r="P19" s="1"/>
      <c r="Q19" s="1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1"/>
      <c r="AH19" s="2"/>
    </row>
    <row r="20" spans="1:34" x14ac:dyDescent="0.45">
      <c r="A20" s="24"/>
      <c r="B20" s="25" t="str">
        <f t="shared" si="9"/>
        <v/>
      </c>
      <c r="C20" s="8" t="str">
        <f t="shared" si="0"/>
        <v/>
      </c>
      <c r="D20" s="7" t="str">
        <f t="shared" si="19"/>
        <v/>
      </c>
      <c r="E20" s="1"/>
      <c r="F20" s="1"/>
      <c r="G20" s="89" t="str">
        <f t="shared" si="16"/>
        <v/>
      </c>
      <c r="H20" s="1"/>
      <c r="I20" s="1"/>
      <c r="J20" s="89" t="str">
        <f t="shared" si="17"/>
        <v/>
      </c>
      <c r="K20" s="1"/>
      <c r="L20" s="1"/>
      <c r="M20" s="1"/>
      <c r="N20" s="1"/>
      <c r="O20" s="1"/>
      <c r="P20" s="1"/>
      <c r="Q20" s="1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1"/>
      <c r="AH20" s="2"/>
    </row>
    <row r="21" spans="1:34" x14ac:dyDescent="0.45">
      <c r="B21" s="25" t="str">
        <f t="shared" si="9"/>
        <v/>
      </c>
      <c r="C21" s="8" t="str">
        <f t="shared" si="0"/>
        <v/>
      </c>
      <c r="D21" s="7" t="str">
        <f t="shared" si="19"/>
        <v/>
      </c>
      <c r="G21" s="89" t="str">
        <f t="shared" si="16"/>
        <v/>
      </c>
      <c r="J21" s="89" t="str">
        <f t="shared" si="17"/>
        <v/>
      </c>
    </row>
    <row r="22" spans="1:34" x14ac:dyDescent="0.45">
      <c r="B22" s="25" t="str">
        <f t="shared" si="9"/>
        <v/>
      </c>
      <c r="C22" s="8" t="str">
        <f t="shared" si="0"/>
        <v/>
      </c>
      <c r="D22" s="7" t="str">
        <f t="shared" si="19"/>
        <v/>
      </c>
      <c r="G22" s="89" t="str">
        <f t="shared" si="16"/>
        <v/>
      </c>
      <c r="J22" s="89" t="str">
        <f t="shared" si="17"/>
        <v/>
      </c>
    </row>
    <row r="23" spans="1:34" x14ac:dyDescent="0.45">
      <c r="A23" s="6" t="s">
        <v>18</v>
      </c>
      <c r="B23" s="26" t="s">
        <v>18</v>
      </c>
      <c r="C23" s="6" t="s">
        <v>18</v>
      </c>
      <c r="D23" s="6" t="s">
        <v>18</v>
      </c>
      <c r="E23" s="6" t="s">
        <v>18</v>
      </c>
      <c r="F23" s="6" t="s">
        <v>18</v>
      </c>
      <c r="G23" s="6" t="s">
        <v>18</v>
      </c>
      <c r="H23" s="6" t="s">
        <v>18</v>
      </c>
      <c r="I23" s="6" t="s">
        <v>18</v>
      </c>
      <c r="J23" s="6" t="s">
        <v>18</v>
      </c>
      <c r="K23" s="6" t="s">
        <v>18</v>
      </c>
      <c r="L23" s="6" t="s">
        <v>18</v>
      </c>
      <c r="M23" s="6" t="s">
        <v>18</v>
      </c>
      <c r="N23" s="6" t="s">
        <v>18</v>
      </c>
      <c r="O23" s="6" t="s">
        <v>18</v>
      </c>
      <c r="P23" s="6" t="s">
        <v>18</v>
      </c>
      <c r="Q23" s="6" t="s">
        <v>18</v>
      </c>
      <c r="R23" s="6" t="s">
        <v>18</v>
      </c>
      <c r="S23" s="6" t="s">
        <v>18</v>
      </c>
      <c r="T23" s="6" t="s">
        <v>18</v>
      </c>
      <c r="U23" s="6" t="s">
        <v>18</v>
      </c>
      <c r="V23" s="6" t="s">
        <v>18</v>
      </c>
      <c r="W23" s="6" t="s">
        <v>18</v>
      </c>
      <c r="X23" s="6" t="s">
        <v>18</v>
      </c>
      <c r="Y23" s="6" t="s">
        <v>18</v>
      </c>
      <c r="Z23" s="6" t="s">
        <v>18</v>
      </c>
      <c r="AA23" s="6" t="s">
        <v>18</v>
      </c>
      <c r="AB23" s="6" t="s">
        <v>18</v>
      </c>
      <c r="AC23" s="6" t="s">
        <v>18</v>
      </c>
      <c r="AD23" s="6" t="s">
        <v>18</v>
      </c>
      <c r="AE23" s="6" t="s">
        <v>18</v>
      </c>
      <c r="AF23" s="6" t="s">
        <v>18</v>
      </c>
      <c r="AG23" s="6" t="s">
        <v>18</v>
      </c>
      <c r="AH23" s="6" t="s">
        <v>18</v>
      </c>
    </row>
  </sheetData>
  <mergeCells count="12">
    <mergeCell ref="A1:AH1"/>
    <mergeCell ref="R5:U5"/>
    <mergeCell ref="V5:Y5"/>
    <mergeCell ref="Z5:AD5"/>
    <mergeCell ref="A2:A5"/>
    <mergeCell ref="Q2:AF3"/>
    <mergeCell ref="AG2:AH6"/>
    <mergeCell ref="R4:AD4"/>
    <mergeCell ref="G5:J5"/>
    <mergeCell ref="B2:F5"/>
    <mergeCell ref="L5:O5"/>
    <mergeCell ref="G2:P4"/>
  </mergeCells>
  <phoneticPr fontId="1" type="noConversion"/>
  <conditionalFormatting sqref="I7:I9 G7:G9 I14:I20">
    <cfRule type="containsText" dxfId="724" priority="166" operator="containsText" text="신품">
      <formula>NOT(ISERROR(SEARCH("신품",G7)))</formula>
    </cfRule>
    <cfRule type="containsText" dxfId="723" priority="167" operator="containsText" text="중고">
      <formula>NOT(ISERROR(SEARCH("중고",G7)))</formula>
    </cfRule>
  </conditionalFormatting>
  <conditionalFormatting sqref="J7:J9">
    <cfRule type="containsText" dxfId="722" priority="164" operator="containsText" text="신품">
      <formula>NOT(ISERROR(SEARCH("신품",J7)))</formula>
    </cfRule>
    <cfRule type="containsText" dxfId="721" priority="165" operator="containsText" text="중고">
      <formula>NOT(ISERROR(SEARCH("중고",J7)))</formula>
    </cfRule>
  </conditionalFormatting>
  <conditionalFormatting sqref="I10 G10">
    <cfRule type="containsText" dxfId="720" priority="160" operator="containsText" text="신품">
      <formula>NOT(ISERROR(SEARCH("신품",G10)))</formula>
    </cfRule>
    <cfRule type="containsText" dxfId="719" priority="161" operator="containsText" text="중고">
      <formula>NOT(ISERROR(SEARCH("중고",G10)))</formula>
    </cfRule>
  </conditionalFormatting>
  <conditionalFormatting sqref="J10">
    <cfRule type="containsText" dxfId="718" priority="158" operator="containsText" text="신품">
      <formula>NOT(ISERROR(SEARCH("신품",J10)))</formula>
    </cfRule>
    <cfRule type="containsText" dxfId="717" priority="159" operator="containsText" text="중고">
      <formula>NOT(ISERROR(SEARCH("중고",J10)))</formula>
    </cfRule>
  </conditionalFormatting>
  <conditionalFormatting sqref="G11 I11">
    <cfRule type="containsText" dxfId="716" priority="154" operator="containsText" text="신품">
      <formula>NOT(ISERROR(SEARCH("신품",G11)))</formula>
    </cfRule>
    <cfRule type="containsText" dxfId="715" priority="155" operator="containsText" text="중고">
      <formula>NOT(ISERROR(SEARCH("중고",G11)))</formula>
    </cfRule>
  </conditionalFormatting>
  <conditionalFormatting sqref="J11">
    <cfRule type="containsText" dxfId="714" priority="152" operator="containsText" text="신품">
      <formula>NOT(ISERROR(SEARCH("신품",J11)))</formula>
    </cfRule>
    <cfRule type="containsText" dxfId="713" priority="153" operator="containsText" text="중고">
      <formula>NOT(ISERROR(SEARCH("중고",J11)))</formula>
    </cfRule>
  </conditionalFormatting>
  <conditionalFormatting sqref="I12:I20 G12">
    <cfRule type="containsText" dxfId="712" priority="148" operator="containsText" text="신품">
      <formula>NOT(ISERROR(SEARCH("신품",G12)))</formula>
    </cfRule>
    <cfRule type="containsText" dxfId="711" priority="149" operator="containsText" text="중고">
      <formula>NOT(ISERROR(SEARCH("중고",G12)))</formula>
    </cfRule>
  </conditionalFormatting>
  <conditionalFormatting sqref="J12">
    <cfRule type="containsText" dxfId="710" priority="146" operator="containsText" text="신품">
      <formula>NOT(ISERROR(SEARCH("신품",J12)))</formula>
    </cfRule>
    <cfRule type="containsText" dxfId="709" priority="147" operator="containsText" text="중고">
      <formula>NOT(ISERROR(SEARCH("중고",J12)))</formula>
    </cfRule>
  </conditionalFormatting>
  <conditionalFormatting sqref="I13">
    <cfRule type="containsText" dxfId="708" priority="142" operator="containsText" text="신품">
      <formula>NOT(ISERROR(SEARCH("신품",I13)))</formula>
    </cfRule>
    <cfRule type="containsText" dxfId="707" priority="143" operator="containsText" text="중고">
      <formula>NOT(ISERROR(SEARCH("중고",I13)))</formula>
    </cfRule>
  </conditionalFormatting>
  <conditionalFormatting sqref="D7:D22">
    <cfRule type="containsText" dxfId="704" priority="138" operator="containsText" text="완료">
      <formula>NOT(ISERROR(SEARCH("완료",D7)))</formula>
    </cfRule>
    <cfRule type="containsText" dxfId="703" priority="139" operator="containsText" text="중단">
      <formula>NOT(ISERROR(SEARCH("중단",D7)))</formula>
    </cfRule>
  </conditionalFormatting>
  <conditionalFormatting sqref="D11">
    <cfRule type="containsText" dxfId="702" priority="136" operator="containsText" text="완료">
      <formula>NOT(ISERROR(SEARCH("완료",D11)))</formula>
    </cfRule>
    <cfRule type="containsText" dxfId="701" priority="137" operator="containsText" text="중단">
      <formula>NOT(ISERROR(SEARCH("중단",D11)))</formula>
    </cfRule>
  </conditionalFormatting>
  <conditionalFormatting sqref="D8:D22">
    <cfRule type="containsText" dxfId="700" priority="134" operator="containsText" text="완료">
      <formula>NOT(ISERROR(SEARCH("완료",D8)))</formula>
    </cfRule>
    <cfRule type="containsText" dxfId="699" priority="135" operator="containsText" text="중단">
      <formula>NOT(ISERROR(SEARCH("중단",D8)))</formula>
    </cfRule>
  </conditionalFormatting>
  <conditionalFormatting sqref="D13:D17">
    <cfRule type="containsText" dxfId="698" priority="132" operator="containsText" text="완료">
      <formula>NOT(ISERROR(SEARCH("완료",D13)))</formula>
    </cfRule>
    <cfRule type="containsText" dxfId="697" priority="133" operator="containsText" text="중단">
      <formula>NOT(ISERROR(SEARCH("중단",D13)))</formula>
    </cfRule>
  </conditionalFormatting>
  <conditionalFormatting sqref="D7:D23">
    <cfRule type="containsText" dxfId="696" priority="131" operator="containsText" text="진행중">
      <formula>NOT(ISERROR(SEARCH("진행중",D7)))</formula>
    </cfRule>
  </conditionalFormatting>
  <conditionalFormatting sqref="G14:G22">
    <cfRule type="containsText" dxfId="614" priority="124" operator="containsText" text="완료">
      <formula>NOT(ISERROR(SEARCH("완료",G14)))</formula>
    </cfRule>
    <cfRule type="containsText" dxfId="613" priority="125" operator="containsText" text="중단">
      <formula>NOT(ISERROR(SEARCH("중단",G14)))</formula>
    </cfRule>
  </conditionalFormatting>
  <conditionalFormatting sqref="G14:G22">
    <cfRule type="containsText" dxfId="612" priority="122" operator="containsText" text="완료">
      <formula>NOT(ISERROR(SEARCH("완료",G14)))</formula>
    </cfRule>
    <cfRule type="containsText" dxfId="611" priority="123" operator="containsText" text="중단">
      <formula>NOT(ISERROR(SEARCH("중단",G14)))</formula>
    </cfRule>
  </conditionalFormatting>
  <conditionalFormatting sqref="G14:G22">
    <cfRule type="containsText" dxfId="610" priority="121" operator="containsText" text="진행중">
      <formula>NOT(ISERROR(SEARCH("진행중",G14)))</formula>
    </cfRule>
  </conditionalFormatting>
  <conditionalFormatting sqref="J14:J22">
    <cfRule type="containsText" dxfId="416" priority="79" operator="containsText" text="완료">
      <formula>NOT(ISERROR(SEARCH("완료",J14)))</formula>
    </cfRule>
    <cfRule type="containsText" dxfId="415" priority="80" operator="containsText" text="중단">
      <formula>NOT(ISERROR(SEARCH("중단",J14)))</formula>
    </cfRule>
  </conditionalFormatting>
  <conditionalFormatting sqref="J14:J22">
    <cfRule type="containsText" dxfId="414" priority="77" operator="containsText" text="완료">
      <formula>NOT(ISERROR(SEARCH("완료",J14)))</formula>
    </cfRule>
    <cfRule type="containsText" dxfId="413" priority="78" operator="containsText" text="중단">
      <formula>NOT(ISERROR(SEARCH("중단",J14)))</formula>
    </cfRule>
  </conditionalFormatting>
  <conditionalFormatting sqref="J14:J22">
    <cfRule type="containsText" dxfId="412" priority="76" operator="containsText" text="진행중">
      <formula>NOT(ISERROR(SEARCH("진행중",J14)))</formula>
    </cfRule>
  </conditionalFormatting>
  <conditionalFormatting sqref="G13">
    <cfRule type="containsText" dxfId="394" priority="74" operator="containsText" text="완료">
      <formula>NOT(ISERROR(SEARCH("완료",G13)))</formula>
    </cfRule>
    <cfRule type="containsText" dxfId="393" priority="75" operator="containsText" text="중단">
      <formula>NOT(ISERROR(SEARCH("중단",G13)))</formula>
    </cfRule>
  </conditionalFormatting>
  <conditionalFormatting sqref="G13">
    <cfRule type="containsText" dxfId="392" priority="72" operator="containsText" text="완료">
      <formula>NOT(ISERROR(SEARCH("완료",G13)))</formula>
    </cfRule>
    <cfRule type="containsText" dxfId="391" priority="73" operator="containsText" text="중단">
      <formula>NOT(ISERROR(SEARCH("중단",G13)))</formula>
    </cfRule>
  </conditionalFormatting>
  <conditionalFormatting sqref="G13">
    <cfRule type="containsText" dxfId="390" priority="71" operator="containsText" text="진행중">
      <formula>NOT(ISERROR(SEARCH("진행중",G13)))</formula>
    </cfRule>
  </conditionalFormatting>
  <conditionalFormatting sqref="J13">
    <cfRule type="containsText" dxfId="372" priority="69" operator="containsText" text="완료">
      <formula>NOT(ISERROR(SEARCH("완료",J13)))</formula>
    </cfRule>
    <cfRule type="containsText" dxfId="371" priority="70" operator="containsText" text="중단">
      <formula>NOT(ISERROR(SEARCH("중단",J13)))</formula>
    </cfRule>
  </conditionalFormatting>
  <conditionalFormatting sqref="J13">
    <cfRule type="containsText" dxfId="370" priority="67" operator="containsText" text="완료">
      <formula>NOT(ISERROR(SEARCH("완료",J13)))</formula>
    </cfRule>
    <cfRule type="containsText" dxfId="369" priority="68" operator="containsText" text="중단">
      <formula>NOT(ISERROR(SEARCH("중단",J13)))</formula>
    </cfRule>
  </conditionalFormatting>
  <conditionalFormatting sqref="J13">
    <cfRule type="containsText" dxfId="368" priority="66" operator="containsText" text="진행중">
      <formula>NOT(ISERROR(SEARCH("진행중",J13)))</formula>
    </cfRule>
  </conditionalFormatting>
  <conditionalFormatting sqref="L18">
    <cfRule type="containsText" dxfId="328" priority="59" operator="containsText" text="완료">
      <formula>NOT(ISERROR(SEARCH("완료",L18)))</formula>
    </cfRule>
    <cfRule type="containsText" dxfId="327" priority="60" operator="containsText" text="중단">
      <formula>NOT(ISERROR(SEARCH("중단",L18)))</formula>
    </cfRule>
  </conditionalFormatting>
  <conditionalFormatting sqref="L18">
    <cfRule type="containsText" dxfId="326" priority="57" operator="containsText" text="완료">
      <formula>NOT(ISERROR(SEARCH("완료",L18)))</formula>
    </cfRule>
    <cfRule type="containsText" dxfId="325" priority="58" operator="containsText" text="중단">
      <formula>NOT(ISERROR(SEARCH("중단",L18)))</formula>
    </cfRule>
  </conditionalFormatting>
  <conditionalFormatting sqref="L18">
    <cfRule type="containsText" dxfId="324" priority="56" operator="containsText" text="진행중">
      <formula>NOT(ISERROR(SEARCH("진행중",L18)))</formula>
    </cfRule>
  </conditionalFormatting>
  <conditionalFormatting sqref="M18">
    <cfRule type="containsText" dxfId="284" priority="49" operator="containsText" text="완료">
      <formula>NOT(ISERROR(SEARCH("완료",M18)))</formula>
    </cfRule>
    <cfRule type="containsText" dxfId="283" priority="50" operator="containsText" text="중단">
      <formula>NOT(ISERROR(SEARCH("중단",M18)))</formula>
    </cfRule>
  </conditionalFormatting>
  <conditionalFormatting sqref="M18">
    <cfRule type="containsText" dxfId="282" priority="47" operator="containsText" text="완료">
      <formula>NOT(ISERROR(SEARCH("완료",M18)))</formula>
    </cfRule>
    <cfRule type="containsText" dxfId="281" priority="48" operator="containsText" text="중단">
      <formula>NOT(ISERROR(SEARCH("중단",M18)))</formula>
    </cfRule>
  </conditionalFormatting>
  <conditionalFormatting sqref="M18">
    <cfRule type="containsText" dxfId="280" priority="46" operator="containsText" text="진행중">
      <formula>NOT(ISERROR(SEARCH("진행중",M18)))</formula>
    </cfRule>
  </conditionalFormatting>
  <conditionalFormatting sqref="O8:O18">
    <cfRule type="containsText" dxfId="218" priority="34" operator="containsText" text="완료">
      <formula>NOT(ISERROR(SEARCH("완료",O8)))</formula>
    </cfRule>
    <cfRule type="containsText" dxfId="217" priority="35" operator="containsText" text="중단">
      <formula>NOT(ISERROR(SEARCH("중단",O8)))</formula>
    </cfRule>
  </conditionalFormatting>
  <conditionalFormatting sqref="O8:O18">
    <cfRule type="containsText" dxfId="216" priority="32" operator="containsText" text="완료">
      <formula>NOT(ISERROR(SEARCH("완료",O8)))</formula>
    </cfRule>
    <cfRule type="containsText" dxfId="215" priority="33" operator="containsText" text="중단">
      <formula>NOT(ISERROR(SEARCH("중단",O8)))</formula>
    </cfRule>
  </conditionalFormatting>
  <conditionalFormatting sqref="O8:O18">
    <cfRule type="containsText" dxfId="214" priority="31" operator="containsText" text="진행중">
      <formula>NOT(ISERROR(SEARCH("진행중",O8)))</formula>
    </cfRule>
  </conditionalFormatting>
  <conditionalFormatting sqref="L8:L17">
    <cfRule type="containsText" dxfId="110" priority="14" operator="containsText" text="완료">
      <formula>NOT(ISERROR(SEARCH("완료",L8)))</formula>
    </cfRule>
    <cfRule type="containsText" dxfId="109" priority="15" operator="containsText" text="중단">
      <formula>NOT(ISERROR(SEARCH("중단",L8)))</formula>
    </cfRule>
  </conditionalFormatting>
  <conditionalFormatting sqref="L8:L17">
    <cfRule type="containsText" dxfId="108" priority="12" operator="containsText" text="완료">
      <formula>NOT(ISERROR(SEARCH("완료",L8)))</formula>
    </cfRule>
    <cfRule type="containsText" dxfId="107" priority="13" operator="containsText" text="중단">
      <formula>NOT(ISERROR(SEARCH("중단",L8)))</formula>
    </cfRule>
  </conditionalFormatting>
  <conditionalFormatting sqref="L8:L17">
    <cfRule type="containsText" dxfId="106" priority="11" operator="containsText" text="진행중">
      <formula>NOT(ISERROR(SEARCH("진행중",L8)))</formula>
    </cfRule>
  </conditionalFormatting>
  <conditionalFormatting sqref="M8:M17">
    <cfRule type="containsText" dxfId="105" priority="9" operator="containsText" text="완료">
      <formula>NOT(ISERROR(SEARCH("완료",M8)))</formula>
    </cfRule>
    <cfRule type="containsText" dxfId="104" priority="10" operator="containsText" text="중단">
      <formula>NOT(ISERROR(SEARCH("중단",M8)))</formula>
    </cfRule>
  </conditionalFormatting>
  <conditionalFormatting sqref="M8:M17">
    <cfRule type="containsText" dxfId="103" priority="7" operator="containsText" text="완료">
      <formula>NOT(ISERROR(SEARCH("완료",M8)))</formula>
    </cfRule>
    <cfRule type="containsText" dxfId="102" priority="8" operator="containsText" text="중단">
      <formula>NOT(ISERROR(SEARCH("중단",M8)))</formula>
    </cfRule>
  </conditionalFormatting>
  <conditionalFormatting sqref="M8:M17">
    <cfRule type="containsText" dxfId="101" priority="6" operator="containsText" text="진행중">
      <formula>NOT(ISERROR(SEARCH("진행중",M8)))</formula>
    </cfRule>
  </conditionalFormatting>
  <conditionalFormatting sqref="N8:N18">
    <cfRule type="containsText" dxfId="100" priority="4" operator="containsText" text="완료">
      <formula>NOT(ISERROR(SEARCH("완료",N8)))</formula>
    </cfRule>
    <cfRule type="containsText" dxfId="99" priority="5" operator="containsText" text="중단">
      <formula>NOT(ISERROR(SEARCH("중단",N8)))</formula>
    </cfRule>
  </conditionalFormatting>
  <conditionalFormatting sqref="N8:N18">
    <cfRule type="containsText" dxfId="98" priority="2" operator="containsText" text="완료">
      <formula>NOT(ISERROR(SEARCH("완료",N8)))</formula>
    </cfRule>
    <cfRule type="containsText" dxfId="97" priority="3" operator="containsText" text="중단">
      <formula>NOT(ISERROR(SEARCH("중단",N8)))</formula>
    </cfRule>
  </conditionalFormatting>
  <conditionalFormatting sqref="N8:N18">
    <cfRule type="containsText" dxfId="96" priority="1" operator="containsText" text="진행중">
      <formula>NOT(ISERROR(SEARCH("진행중",N8)))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AAB5F-D95C-4413-B5EF-9636041F79C9}">
  <sheetPr>
    <tabColor theme="0" tint="-0.499984740745262"/>
  </sheetPr>
  <dimension ref="A1:AQ23"/>
  <sheetViews>
    <sheetView zoomScale="55" zoomScaleNormal="55" workbookViewId="0">
      <selection activeCell="S10" sqref="S10"/>
    </sheetView>
  </sheetViews>
  <sheetFormatPr defaultRowHeight="17" x14ac:dyDescent="0.45"/>
  <cols>
    <col min="1" max="1" width="11.33203125" bestFit="1" customWidth="1"/>
    <col min="2" max="2" width="11.4140625" style="5" customWidth="1"/>
    <col min="3" max="3" width="44.1640625" customWidth="1"/>
    <col min="4" max="4" width="12.9140625" style="5" bestFit="1" customWidth="1"/>
    <col min="5" max="5" width="23.83203125" customWidth="1"/>
    <col min="6" max="6" width="16.75" customWidth="1"/>
    <col min="7" max="10" width="8.33203125" bestFit="1" customWidth="1"/>
    <col min="11" max="11" width="2.9140625" hidden="1" customWidth="1"/>
    <col min="12" max="13" width="16.33203125" bestFit="1" customWidth="1"/>
    <col min="14" max="14" width="16.5" customWidth="1"/>
    <col min="15" max="15" width="16.33203125" bestFit="1" customWidth="1"/>
    <col min="16" max="16" width="16.33203125" customWidth="1"/>
    <col min="17" max="17" width="28.5" hidden="1" customWidth="1"/>
    <col min="18" max="21" width="14.75" customWidth="1"/>
    <col min="24" max="29" width="9.1640625" customWidth="1"/>
    <col min="30" max="30" width="20.6640625" customWidth="1"/>
    <col min="31" max="31" width="35" customWidth="1"/>
    <col min="32" max="32" width="44.1640625" customWidth="1"/>
    <col min="33" max="33" width="89.25" customWidth="1"/>
    <col min="34" max="34" width="88.6640625" customWidth="1"/>
    <col min="37" max="37" width="22.58203125" bestFit="1" customWidth="1"/>
    <col min="38" max="38" width="34.83203125" customWidth="1"/>
  </cols>
  <sheetData>
    <row r="1" spans="1:43" ht="62.5" customHeight="1" x14ac:dyDescent="0.45">
      <c r="A1" s="66" t="s">
        <v>19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</row>
    <row r="2" spans="1:43" x14ac:dyDescent="0.45">
      <c r="A2" s="54" t="s">
        <v>11</v>
      </c>
      <c r="B2" s="55" t="s">
        <v>92</v>
      </c>
      <c r="C2" s="56"/>
      <c r="D2" s="56"/>
      <c r="E2" s="56"/>
      <c r="F2" s="57"/>
      <c r="G2" s="54" t="s">
        <v>111</v>
      </c>
      <c r="H2" s="54"/>
      <c r="I2" s="54"/>
      <c r="J2" s="54"/>
      <c r="K2" s="54"/>
      <c r="L2" s="54"/>
      <c r="M2" s="54"/>
      <c r="N2" s="54"/>
      <c r="O2" s="54"/>
      <c r="P2" s="54"/>
      <c r="Q2" s="55" t="s">
        <v>26</v>
      </c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7"/>
      <c r="AG2" s="55" t="s">
        <v>10</v>
      </c>
      <c r="AH2" s="57"/>
    </row>
    <row r="3" spans="1:43" x14ac:dyDescent="0.45">
      <c r="A3" s="54"/>
      <c r="B3" s="61"/>
      <c r="C3" s="64"/>
      <c r="D3" s="64"/>
      <c r="E3" s="64"/>
      <c r="F3" s="62"/>
      <c r="G3" s="54"/>
      <c r="H3" s="54"/>
      <c r="I3" s="54"/>
      <c r="J3" s="54"/>
      <c r="K3" s="54"/>
      <c r="L3" s="54"/>
      <c r="M3" s="54"/>
      <c r="N3" s="54"/>
      <c r="O3" s="54"/>
      <c r="P3" s="54"/>
      <c r="Q3" s="58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60"/>
      <c r="AG3" s="61"/>
      <c r="AH3" s="62"/>
    </row>
    <row r="4" spans="1:43" x14ac:dyDescent="0.45">
      <c r="A4" s="54"/>
      <c r="B4" s="61"/>
      <c r="C4" s="64"/>
      <c r="D4" s="64"/>
      <c r="E4" s="64"/>
      <c r="F4" s="62"/>
      <c r="G4" s="54"/>
      <c r="H4" s="54"/>
      <c r="I4" s="54"/>
      <c r="J4" s="54"/>
      <c r="K4" s="54"/>
      <c r="L4" s="54"/>
      <c r="M4" s="54"/>
      <c r="N4" s="54"/>
      <c r="O4" s="54"/>
      <c r="P4" s="54"/>
      <c r="Q4" s="19"/>
      <c r="R4" s="52" t="s">
        <v>33</v>
      </c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3"/>
      <c r="AE4" s="12" t="s">
        <v>34</v>
      </c>
      <c r="AF4" s="12" t="s">
        <v>35</v>
      </c>
      <c r="AG4" s="61"/>
      <c r="AH4" s="62"/>
    </row>
    <row r="5" spans="1:43" x14ac:dyDescent="0.45">
      <c r="A5" s="54"/>
      <c r="B5" s="58"/>
      <c r="C5" s="59"/>
      <c r="D5" s="59"/>
      <c r="E5" s="59"/>
      <c r="F5" s="60"/>
      <c r="G5" s="63" t="s">
        <v>36</v>
      </c>
      <c r="H5" s="63"/>
      <c r="I5" s="63"/>
      <c r="J5" s="63"/>
      <c r="K5" s="42"/>
      <c r="L5" s="58" t="s">
        <v>94</v>
      </c>
      <c r="M5" s="59"/>
      <c r="N5" s="59"/>
      <c r="O5" s="60"/>
      <c r="P5" s="43" t="s">
        <v>93</v>
      </c>
      <c r="Q5" s="18" t="s">
        <v>30</v>
      </c>
      <c r="R5" s="51" t="s">
        <v>44</v>
      </c>
      <c r="S5" s="52"/>
      <c r="T5" s="52"/>
      <c r="U5" s="53"/>
      <c r="V5" s="51" t="s">
        <v>20</v>
      </c>
      <c r="W5" s="52"/>
      <c r="X5" s="52"/>
      <c r="Y5" s="53"/>
      <c r="Z5" s="65" t="s">
        <v>123</v>
      </c>
      <c r="AA5" s="54"/>
      <c r="AB5" s="54"/>
      <c r="AC5" s="54"/>
      <c r="AD5" s="54"/>
      <c r="AE5" s="14"/>
      <c r="AF5" s="12"/>
      <c r="AG5" s="61"/>
      <c r="AH5" s="62"/>
    </row>
    <row r="6" spans="1:43" x14ac:dyDescent="0.45">
      <c r="A6" s="22" t="s">
        <v>27</v>
      </c>
      <c r="B6" s="22" t="s">
        <v>3</v>
      </c>
      <c r="C6" s="41" t="s">
        <v>31</v>
      </c>
      <c r="D6" s="41" t="s">
        <v>21</v>
      </c>
      <c r="E6" s="41" t="s">
        <v>124</v>
      </c>
      <c r="F6" s="41" t="s">
        <v>9</v>
      </c>
      <c r="G6" s="22" t="s">
        <v>4</v>
      </c>
      <c r="H6" s="22" t="s">
        <v>13</v>
      </c>
      <c r="I6" s="22" t="s">
        <v>14</v>
      </c>
      <c r="J6" s="22" t="s">
        <v>5</v>
      </c>
      <c r="K6" s="22" t="s">
        <v>16</v>
      </c>
      <c r="L6" s="22" t="s">
        <v>22</v>
      </c>
      <c r="M6" s="22" t="s">
        <v>23</v>
      </c>
      <c r="N6" s="22" t="s">
        <v>28</v>
      </c>
      <c r="O6" s="22" t="s">
        <v>24</v>
      </c>
      <c r="P6" s="22" t="s">
        <v>29</v>
      </c>
      <c r="Q6" s="20" t="s">
        <v>25</v>
      </c>
      <c r="R6" s="20" t="s">
        <v>4</v>
      </c>
      <c r="S6" s="20" t="s">
        <v>13</v>
      </c>
      <c r="T6" s="20" t="s">
        <v>14</v>
      </c>
      <c r="U6" s="20" t="s">
        <v>5</v>
      </c>
      <c r="V6" s="20" t="s">
        <v>4</v>
      </c>
      <c r="W6" s="20" t="s">
        <v>13</v>
      </c>
      <c r="X6" s="20" t="s">
        <v>14</v>
      </c>
      <c r="Y6" s="20" t="s">
        <v>5</v>
      </c>
      <c r="Z6" s="20" t="s">
        <v>4</v>
      </c>
      <c r="AA6" s="20" t="s">
        <v>13</v>
      </c>
      <c r="AB6" s="20" t="s">
        <v>14</v>
      </c>
      <c r="AC6" s="20" t="s">
        <v>5</v>
      </c>
      <c r="AD6" s="20" t="s">
        <v>39</v>
      </c>
      <c r="AE6" s="15" t="s">
        <v>37</v>
      </c>
      <c r="AF6" s="13" t="s">
        <v>38</v>
      </c>
      <c r="AG6" s="58"/>
      <c r="AH6" s="60"/>
      <c r="AM6" s="1"/>
      <c r="AN6" s="1"/>
      <c r="AO6" s="1"/>
      <c r="AP6" s="1"/>
      <c r="AQ6" s="1"/>
    </row>
    <row r="7" spans="1:43" x14ac:dyDescent="0.45">
      <c r="A7" s="4">
        <v>45971</v>
      </c>
      <c r="B7" s="25">
        <v>1</v>
      </c>
      <c r="C7" s="8" t="str">
        <f t="shared" ref="C7:C22" si="0">IF(B7="","",
  IF(MOD($B7,1)=0,
    "Dimensions: L W H",
    "-"
  )
)</f>
        <v>Dimensions: L W H</v>
      </c>
      <c r="D7" s="7" t="str">
        <f t="shared" ref="D7:D17" si="1">IF(E7="","",
  IF(MOD($B7,1)=0,
    "완료",
    "-"
  )
)</f>
        <v>완료</v>
      </c>
      <c r="E7" s="1">
        <v>19</v>
      </c>
      <c r="F7" s="3"/>
      <c r="G7" s="91" t="s">
        <v>40</v>
      </c>
      <c r="H7" s="1" t="s">
        <v>17</v>
      </c>
      <c r="I7" s="1" t="s">
        <v>17</v>
      </c>
      <c r="J7" s="91" t="s">
        <v>40</v>
      </c>
      <c r="K7" s="1"/>
      <c r="L7" s="25" t="s">
        <v>15</v>
      </c>
      <c r="M7" s="25" t="s">
        <v>2</v>
      </c>
      <c r="N7" s="25">
        <v>160</v>
      </c>
      <c r="O7" s="25" t="s">
        <v>17</v>
      </c>
      <c r="P7" s="25">
        <f>IF(LEN(A7)&gt;0, 종합!$C$27, "")</f>
        <v>2.2599999999999998</v>
      </c>
      <c r="Q7" s="1" t="s">
        <v>17</v>
      </c>
      <c r="R7" s="8" t="str">
        <f t="shared" ref="R7:U10" si="2">IF(MOD($B7,5)=0, "스핀들유격: ","-" )</f>
        <v>-</v>
      </c>
      <c r="S7" s="8" t="str">
        <f t="shared" si="2"/>
        <v>-</v>
      </c>
      <c r="T7" s="8" t="str">
        <f t="shared" si="2"/>
        <v>-</v>
      </c>
      <c r="U7" s="8" t="str">
        <f t="shared" si="2"/>
        <v>-</v>
      </c>
      <c r="V7" s="8" t="str">
        <f t="shared" ref="V7:AC10" si="3">IF(MOD($B7,5)=0, "000-000","-" )</f>
        <v>-</v>
      </c>
      <c r="W7" s="8" t="str">
        <f t="shared" si="3"/>
        <v>-</v>
      </c>
      <c r="X7" s="8" t="str">
        <f t="shared" si="3"/>
        <v>-</v>
      </c>
      <c r="Y7" s="8" t="str">
        <f t="shared" si="3"/>
        <v>-</v>
      </c>
      <c r="Z7" s="8" t="str">
        <f t="shared" si="3"/>
        <v>-</v>
      </c>
      <c r="AA7" s="8" t="str">
        <f t="shared" si="3"/>
        <v>-</v>
      </c>
      <c r="AB7" s="8" t="str">
        <f t="shared" si="3"/>
        <v>-</v>
      </c>
      <c r="AC7" s="8" t="str">
        <f t="shared" si="3"/>
        <v>-</v>
      </c>
      <c r="AD7" s="8" t="str">
        <f>IF(MOD($B7,5)=0, "스핀들소음 :","-" )</f>
        <v>-</v>
      </c>
      <c r="AE7" s="8" t="str">
        <f t="shared" ref="AE7:AE17" si="4">IF(MOD($B7,40)=0, "필터세척 :"&amp; CHAR(10) &amp; "FLOW   (T1, T4 : / T2, T3 : / T4 : )","-" )</f>
        <v>-</v>
      </c>
      <c r="AF7" s="8" t="str">
        <f>IF($B7="","",
  IF(MOD($B7,160)=0,
    "TENSION (XL : / ZL : / XR : / ZR : / Y : )" &amp; CHAR(10) &amp;
    "필터교체",
    "-"
  )
)</f>
        <v>-</v>
      </c>
      <c r="AG7" s="1" t="s">
        <v>17</v>
      </c>
      <c r="AH7" s="1"/>
    </row>
    <row r="8" spans="1:43" x14ac:dyDescent="0.45">
      <c r="A8" s="4">
        <v>45971</v>
      </c>
      <c r="B8" s="25">
        <f>IF(NOT(LEN(A8)=0),B7+1,"")</f>
        <v>2</v>
      </c>
      <c r="C8" s="8" t="str">
        <f t="shared" si="0"/>
        <v>Dimensions: L W H</v>
      </c>
      <c r="D8" s="7" t="str">
        <f t="shared" si="1"/>
        <v>완료</v>
      </c>
      <c r="E8" s="1">
        <v>19</v>
      </c>
      <c r="F8" s="3"/>
      <c r="G8" s="91" t="s">
        <v>40</v>
      </c>
      <c r="H8" s="1" t="s">
        <v>17</v>
      </c>
      <c r="I8" s="1" t="s">
        <v>17</v>
      </c>
      <c r="J8" s="91" t="s">
        <v>40</v>
      </c>
      <c r="K8" s="1"/>
      <c r="L8" s="93" t="str">
        <f t="shared" ref="L8:L17" si="5">IF(NOT(LEN($J8)=0),L7,"")</f>
        <v>VITA</v>
      </c>
      <c r="M8" s="93" t="str">
        <f t="shared" ref="M8:M17" si="6">IF(NOT(LEN($J8)=0),M7,"")</f>
        <v>MARK II</v>
      </c>
      <c r="N8" s="93">
        <f t="shared" ref="N8:N17" si="7">IF(NOT(LEN($J8)=0),N7,"")</f>
        <v>160</v>
      </c>
      <c r="O8" s="93" t="str">
        <f>IF(NOT(LEN($J8)=0),O7,"")</f>
        <v>-</v>
      </c>
      <c r="P8" s="25">
        <f>IF(LEN(A8)&gt;0, 종합!$C$27, "")</f>
        <v>2.2599999999999998</v>
      </c>
      <c r="Q8" s="1" t="s">
        <v>17</v>
      </c>
      <c r="R8" s="8" t="str">
        <f t="shared" si="2"/>
        <v>-</v>
      </c>
      <c r="S8" s="8" t="str">
        <f t="shared" si="2"/>
        <v>-</v>
      </c>
      <c r="T8" s="8" t="str">
        <f t="shared" si="2"/>
        <v>-</v>
      </c>
      <c r="U8" s="8" t="str">
        <f t="shared" si="2"/>
        <v>-</v>
      </c>
      <c r="V8" s="8" t="str">
        <f t="shared" si="3"/>
        <v>-</v>
      </c>
      <c r="W8" s="8" t="str">
        <f t="shared" si="3"/>
        <v>-</v>
      </c>
      <c r="X8" s="8" t="str">
        <f t="shared" si="3"/>
        <v>-</v>
      </c>
      <c r="Y8" s="8" t="str">
        <f t="shared" si="3"/>
        <v>-</v>
      </c>
      <c r="Z8" s="8" t="str">
        <f t="shared" si="3"/>
        <v>-</v>
      </c>
      <c r="AA8" s="8" t="str">
        <f t="shared" si="3"/>
        <v>-</v>
      </c>
      <c r="AB8" s="8" t="str">
        <f t="shared" si="3"/>
        <v>-</v>
      </c>
      <c r="AC8" s="8" t="str">
        <f t="shared" si="3"/>
        <v>-</v>
      </c>
      <c r="AD8" s="8" t="str">
        <f>IF(MOD($B8,5)=0, "스핀들소음 :","-" )</f>
        <v>-</v>
      </c>
      <c r="AE8" s="8" t="str">
        <f t="shared" si="4"/>
        <v>-</v>
      </c>
      <c r="AF8" s="8" t="str">
        <f t="shared" ref="AF8:AF16" si="8">IF($B8="","",
  IF(MOD(B8,160)=0,
    "TENSION (XL : / ZL : / XR : / ZR : / Y : )" &amp; CHAR(10) &amp;
    "필터교체",
    "-"
  )
)</f>
        <v>-</v>
      </c>
      <c r="AG8" s="1" t="s">
        <v>17</v>
      </c>
      <c r="AH8" s="2"/>
    </row>
    <row r="9" spans="1:43" x14ac:dyDescent="0.45">
      <c r="A9" s="4">
        <v>45971</v>
      </c>
      <c r="B9" s="25">
        <f t="shared" ref="B9:B22" si="9">IF(NOT(LEN(A9)=0),B8+1,"")</f>
        <v>3</v>
      </c>
      <c r="C9" s="8" t="str">
        <f t="shared" si="0"/>
        <v>Dimensions: L W H</v>
      </c>
      <c r="D9" s="7" t="str">
        <f t="shared" si="1"/>
        <v>완료</v>
      </c>
      <c r="E9" s="1">
        <v>19</v>
      </c>
      <c r="F9" s="3"/>
      <c r="G9" s="91" t="s">
        <v>40</v>
      </c>
      <c r="H9" s="1" t="s">
        <v>17</v>
      </c>
      <c r="I9" s="1" t="s">
        <v>17</v>
      </c>
      <c r="J9" s="91" t="s">
        <v>40</v>
      </c>
      <c r="K9" s="1"/>
      <c r="L9" s="93" t="str">
        <f t="shared" si="5"/>
        <v>VITA</v>
      </c>
      <c r="M9" s="93" t="str">
        <f t="shared" si="6"/>
        <v>MARK II</v>
      </c>
      <c r="N9" s="93">
        <f t="shared" ref="N9:N18" si="10">IF(NOT(LEN($J9)=0),N8,"")</f>
        <v>160</v>
      </c>
      <c r="O9" s="93" t="str">
        <f t="shared" ref="O9:O18" si="11">IF(NOT(LEN($J9)=0),O8,"")</f>
        <v>-</v>
      </c>
      <c r="P9" s="25">
        <f>IF(LEN(A9)&gt;0, 종합!$C$27, "")</f>
        <v>2.2599999999999998</v>
      </c>
      <c r="Q9" s="1" t="s">
        <v>17</v>
      </c>
      <c r="R9" s="8" t="str">
        <f t="shared" si="2"/>
        <v>-</v>
      </c>
      <c r="S9" s="8" t="str">
        <f t="shared" si="2"/>
        <v>-</v>
      </c>
      <c r="T9" s="8" t="str">
        <f t="shared" si="2"/>
        <v>-</v>
      </c>
      <c r="U9" s="8" t="str">
        <f t="shared" si="2"/>
        <v>-</v>
      </c>
      <c r="V9" s="8" t="str">
        <f t="shared" si="3"/>
        <v>-</v>
      </c>
      <c r="W9" s="8" t="str">
        <f t="shared" si="3"/>
        <v>-</v>
      </c>
      <c r="X9" s="8" t="str">
        <f t="shared" si="3"/>
        <v>-</v>
      </c>
      <c r="Y9" s="8" t="str">
        <f t="shared" si="3"/>
        <v>-</v>
      </c>
      <c r="Z9" s="8" t="str">
        <f t="shared" si="3"/>
        <v>-</v>
      </c>
      <c r="AA9" s="8" t="str">
        <f t="shared" si="3"/>
        <v>-</v>
      </c>
      <c r="AB9" s="8" t="str">
        <f t="shared" si="3"/>
        <v>-</v>
      </c>
      <c r="AC9" s="8" t="str">
        <f t="shared" si="3"/>
        <v>-</v>
      </c>
      <c r="AD9" s="8" t="str">
        <f>IF(MOD($B9,5)=0, "스핀들소음 :","-" )</f>
        <v>-</v>
      </c>
      <c r="AE9" s="8" t="str">
        <f t="shared" si="4"/>
        <v>-</v>
      </c>
      <c r="AF9" s="8" t="str">
        <f t="shared" si="8"/>
        <v>-</v>
      </c>
      <c r="AG9" s="1" t="s">
        <v>17</v>
      </c>
      <c r="AH9" s="2"/>
    </row>
    <row r="10" spans="1:43" x14ac:dyDescent="0.45">
      <c r="A10" s="4">
        <v>45971</v>
      </c>
      <c r="B10" s="25">
        <f t="shared" si="9"/>
        <v>4</v>
      </c>
      <c r="C10" s="8" t="str">
        <f t="shared" si="0"/>
        <v>Dimensions: L W H</v>
      </c>
      <c r="D10" s="7" t="str">
        <f t="shared" si="1"/>
        <v>완료</v>
      </c>
      <c r="E10" s="1">
        <v>21</v>
      </c>
      <c r="F10" s="3"/>
      <c r="G10" s="91" t="s">
        <v>40</v>
      </c>
      <c r="H10" s="1" t="s">
        <v>17</v>
      </c>
      <c r="I10" s="1" t="s">
        <v>17</v>
      </c>
      <c r="J10" s="91" t="s">
        <v>40</v>
      </c>
      <c r="K10" s="1"/>
      <c r="L10" s="93" t="str">
        <f t="shared" si="5"/>
        <v>VITA</v>
      </c>
      <c r="M10" s="93" t="str">
        <f t="shared" si="6"/>
        <v>MARK II</v>
      </c>
      <c r="N10" s="93">
        <f t="shared" si="10"/>
        <v>160</v>
      </c>
      <c r="O10" s="93" t="str">
        <f t="shared" si="11"/>
        <v>-</v>
      </c>
      <c r="P10" s="25">
        <f>IF(LEN(A10)&gt;0, 종합!$C$27, "")</f>
        <v>2.2599999999999998</v>
      </c>
      <c r="Q10" s="1" t="s">
        <v>17</v>
      </c>
      <c r="R10" s="8" t="str">
        <f t="shared" si="2"/>
        <v>-</v>
      </c>
      <c r="S10" s="8" t="str">
        <f t="shared" si="2"/>
        <v>-</v>
      </c>
      <c r="T10" s="8" t="str">
        <f t="shared" si="2"/>
        <v>-</v>
      </c>
      <c r="U10" s="8" t="str">
        <f t="shared" si="2"/>
        <v>-</v>
      </c>
      <c r="V10" s="8" t="str">
        <f t="shared" si="3"/>
        <v>-</v>
      </c>
      <c r="W10" s="8" t="str">
        <f t="shared" si="3"/>
        <v>-</v>
      </c>
      <c r="X10" s="8" t="str">
        <f t="shared" si="3"/>
        <v>-</v>
      </c>
      <c r="Y10" s="8" t="str">
        <f t="shared" si="3"/>
        <v>-</v>
      </c>
      <c r="Z10" s="8" t="str">
        <f t="shared" si="3"/>
        <v>-</v>
      </c>
      <c r="AA10" s="8" t="str">
        <f t="shared" si="3"/>
        <v>-</v>
      </c>
      <c r="AB10" s="8" t="str">
        <f t="shared" si="3"/>
        <v>-</v>
      </c>
      <c r="AC10" s="8" t="str">
        <f t="shared" si="3"/>
        <v>-</v>
      </c>
      <c r="AD10" s="8" t="str">
        <f>IF(MOD($B10,5)=0, "스핀들소음 :","-" )</f>
        <v>-</v>
      </c>
      <c r="AE10" s="8" t="str">
        <f t="shared" si="4"/>
        <v>-</v>
      </c>
      <c r="AF10" s="8" t="str">
        <f t="shared" si="8"/>
        <v>-</v>
      </c>
      <c r="AG10" s="1" t="s">
        <v>17</v>
      </c>
      <c r="AH10" s="2"/>
    </row>
    <row r="11" spans="1:43" x14ac:dyDescent="0.45">
      <c r="A11" s="4">
        <v>45971</v>
      </c>
      <c r="B11" s="25">
        <f t="shared" si="9"/>
        <v>5</v>
      </c>
      <c r="C11" s="8" t="str">
        <f t="shared" si="0"/>
        <v>Dimensions: L W H</v>
      </c>
      <c r="D11" s="7" t="str">
        <f t="shared" si="1"/>
        <v>완료</v>
      </c>
      <c r="E11" s="1">
        <v>21</v>
      </c>
      <c r="F11" s="3"/>
      <c r="G11" s="91" t="s">
        <v>40</v>
      </c>
      <c r="H11" s="1" t="s">
        <v>17</v>
      </c>
      <c r="I11" s="1" t="s">
        <v>17</v>
      </c>
      <c r="J11" s="91" t="s">
        <v>40</v>
      </c>
      <c r="K11" s="1"/>
      <c r="L11" s="93" t="str">
        <f t="shared" si="5"/>
        <v>VITA</v>
      </c>
      <c r="M11" s="93" t="str">
        <f t="shared" si="6"/>
        <v>MARK II</v>
      </c>
      <c r="N11" s="93">
        <f t="shared" si="10"/>
        <v>160</v>
      </c>
      <c r="O11" s="93" t="str">
        <f t="shared" si="11"/>
        <v>-</v>
      </c>
      <c r="P11" s="25">
        <f>IF(LEN(A11)&gt;0, 종합!$C$27, "")</f>
        <v>2.2599999999999998</v>
      </c>
      <c r="Q11" s="1" t="s">
        <v>17</v>
      </c>
      <c r="R11" s="8" t="s">
        <v>45</v>
      </c>
      <c r="S11" s="8" t="s">
        <v>45</v>
      </c>
      <c r="T11" s="8" t="s">
        <v>45</v>
      </c>
      <c r="U11" s="8" t="s">
        <v>45</v>
      </c>
      <c r="V11" s="8" t="s">
        <v>46</v>
      </c>
      <c r="W11" s="8" t="s">
        <v>47</v>
      </c>
      <c r="X11" s="8" t="s">
        <v>48</v>
      </c>
      <c r="Y11" s="8" t="s">
        <v>49</v>
      </c>
      <c r="Z11" s="8" t="str">
        <f t="shared" ref="Z11:AC17" si="12">IF(MOD($B11,5)=0, "000-000","-" )</f>
        <v>000-000</v>
      </c>
      <c r="AA11" s="8" t="str">
        <f t="shared" si="12"/>
        <v>000-000</v>
      </c>
      <c r="AB11" s="8" t="str">
        <f t="shared" si="12"/>
        <v>000-000</v>
      </c>
      <c r="AC11" s="8" t="str">
        <f t="shared" si="12"/>
        <v>000-000</v>
      </c>
      <c r="AD11" s="8" t="s">
        <v>67</v>
      </c>
      <c r="AE11" s="8" t="str">
        <f t="shared" si="4"/>
        <v>-</v>
      </c>
      <c r="AF11" s="8" t="str">
        <f t="shared" si="8"/>
        <v>-</v>
      </c>
      <c r="AG11" s="1" t="s">
        <v>17</v>
      </c>
      <c r="AH11" s="2"/>
    </row>
    <row r="12" spans="1:43" x14ac:dyDescent="0.45">
      <c r="A12" s="4">
        <v>45971</v>
      </c>
      <c r="B12" s="25">
        <f t="shared" si="9"/>
        <v>6</v>
      </c>
      <c r="C12" s="8" t="str">
        <f t="shared" si="0"/>
        <v>Dimensions: L W H</v>
      </c>
      <c r="D12" s="7" t="str">
        <f t="shared" si="1"/>
        <v>완료</v>
      </c>
      <c r="E12" s="1">
        <v>19</v>
      </c>
      <c r="F12" s="3"/>
      <c r="G12" s="91" t="s">
        <v>40</v>
      </c>
      <c r="H12" s="1" t="s">
        <v>17</v>
      </c>
      <c r="I12" s="1" t="s">
        <v>17</v>
      </c>
      <c r="J12" s="91" t="s">
        <v>40</v>
      </c>
      <c r="K12" s="1"/>
      <c r="L12" s="93" t="str">
        <f t="shared" si="5"/>
        <v>VITA</v>
      </c>
      <c r="M12" s="93" t="str">
        <f t="shared" si="6"/>
        <v>MARK II</v>
      </c>
      <c r="N12" s="93">
        <f t="shared" si="10"/>
        <v>160</v>
      </c>
      <c r="O12" s="93" t="str">
        <f t="shared" si="11"/>
        <v>-</v>
      </c>
      <c r="P12" s="25">
        <f>IF(LEN(A12)&gt;0, 종합!$C$27, "")</f>
        <v>2.2599999999999998</v>
      </c>
      <c r="Q12" s="1" t="s">
        <v>17</v>
      </c>
      <c r="R12" s="8" t="str">
        <f t="shared" ref="R12:U17" si="13">IF(MOD($B12,5)=0, "스핀들유격: ","-" )</f>
        <v>-</v>
      </c>
      <c r="S12" s="8" t="str">
        <f t="shared" si="13"/>
        <v>-</v>
      </c>
      <c r="T12" s="8" t="str">
        <f t="shared" si="13"/>
        <v>-</v>
      </c>
      <c r="U12" s="8" t="str">
        <f t="shared" si="13"/>
        <v>-</v>
      </c>
      <c r="V12" s="8" t="str">
        <f t="shared" ref="V12:Y17" si="14">IF(MOD($B12,5)=0, "000-000","-" )</f>
        <v>-</v>
      </c>
      <c r="W12" s="8" t="str">
        <f t="shared" si="14"/>
        <v>-</v>
      </c>
      <c r="X12" s="8" t="str">
        <f t="shared" si="14"/>
        <v>-</v>
      </c>
      <c r="Y12" s="8" t="str">
        <f t="shared" si="14"/>
        <v>-</v>
      </c>
      <c r="Z12" s="8" t="str">
        <f t="shared" si="12"/>
        <v>-</v>
      </c>
      <c r="AA12" s="8" t="str">
        <f t="shared" si="12"/>
        <v>-</v>
      </c>
      <c r="AB12" s="8" t="str">
        <f t="shared" si="12"/>
        <v>-</v>
      </c>
      <c r="AC12" s="8" t="str">
        <f t="shared" si="12"/>
        <v>-</v>
      </c>
      <c r="AD12" s="8" t="str">
        <f t="shared" ref="AD12:AD17" si="15">IF(MOD($B12,5)=0, "스핀들소음 :","-" )</f>
        <v>-</v>
      </c>
      <c r="AE12" s="8" t="str">
        <f t="shared" si="4"/>
        <v>-</v>
      </c>
      <c r="AF12" s="8" t="str">
        <f t="shared" si="8"/>
        <v>-</v>
      </c>
      <c r="AG12" s="1" t="s">
        <v>17</v>
      </c>
      <c r="AH12" s="2"/>
    </row>
    <row r="13" spans="1:43" x14ac:dyDescent="0.45">
      <c r="A13" s="4">
        <v>45972</v>
      </c>
      <c r="B13" s="25">
        <f t="shared" si="9"/>
        <v>7</v>
      </c>
      <c r="C13" s="8" t="str">
        <f t="shared" si="0"/>
        <v>Dimensions: L W H</v>
      </c>
      <c r="D13" s="7" t="str">
        <f t="shared" si="1"/>
        <v>완료</v>
      </c>
      <c r="E13" s="1">
        <v>23</v>
      </c>
      <c r="F13" s="3"/>
      <c r="G13" s="89">
        <v>0</v>
      </c>
      <c r="H13" s="1" t="s">
        <v>17</v>
      </c>
      <c r="I13" s="1" t="s">
        <v>17</v>
      </c>
      <c r="J13" s="89">
        <v>0</v>
      </c>
      <c r="K13" s="1"/>
      <c r="L13" s="93" t="str">
        <f t="shared" si="5"/>
        <v>VITA</v>
      </c>
      <c r="M13" s="93" t="str">
        <f t="shared" si="6"/>
        <v>MARK II</v>
      </c>
      <c r="N13" s="93">
        <f t="shared" si="10"/>
        <v>160</v>
      </c>
      <c r="O13" s="93" t="str">
        <f t="shared" si="11"/>
        <v>-</v>
      </c>
      <c r="P13" s="25">
        <f>IF(LEN(A13)&gt;0, 종합!$C$27, "")</f>
        <v>2.2599999999999998</v>
      </c>
      <c r="Q13" s="1" t="s">
        <v>17</v>
      </c>
      <c r="R13" s="8" t="str">
        <f t="shared" si="13"/>
        <v>-</v>
      </c>
      <c r="S13" s="8" t="str">
        <f t="shared" si="13"/>
        <v>-</v>
      </c>
      <c r="T13" s="8" t="str">
        <f t="shared" si="13"/>
        <v>-</v>
      </c>
      <c r="U13" s="8" t="str">
        <f t="shared" si="13"/>
        <v>-</v>
      </c>
      <c r="V13" s="8" t="str">
        <f t="shared" si="14"/>
        <v>-</v>
      </c>
      <c r="W13" s="8" t="str">
        <f t="shared" si="14"/>
        <v>-</v>
      </c>
      <c r="X13" s="8" t="str">
        <f t="shared" si="14"/>
        <v>-</v>
      </c>
      <c r="Y13" s="8" t="str">
        <f t="shared" si="14"/>
        <v>-</v>
      </c>
      <c r="Z13" s="8" t="str">
        <f t="shared" si="12"/>
        <v>-</v>
      </c>
      <c r="AA13" s="8" t="str">
        <f t="shared" si="12"/>
        <v>-</v>
      </c>
      <c r="AB13" s="8" t="str">
        <f t="shared" si="12"/>
        <v>-</v>
      </c>
      <c r="AC13" s="8" t="str">
        <f t="shared" si="12"/>
        <v>-</v>
      </c>
      <c r="AD13" s="8" t="str">
        <f t="shared" si="15"/>
        <v>-</v>
      </c>
      <c r="AE13" s="8" t="str">
        <f t="shared" si="4"/>
        <v>-</v>
      </c>
      <c r="AF13" s="8" t="str">
        <f t="shared" si="8"/>
        <v>-</v>
      </c>
      <c r="AG13" s="1" t="s">
        <v>17</v>
      </c>
      <c r="AH13" s="2"/>
    </row>
    <row r="14" spans="1:43" x14ac:dyDescent="0.45">
      <c r="A14" s="4">
        <v>45972</v>
      </c>
      <c r="B14" s="25">
        <f t="shared" si="9"/>
        <v>8</v>
      </c>
      <c r="C14" s="8" t="str">
        <f t="shared" si="0"/>
        <v>Dimensions: L W H</v>
      </c>
      <c r="D14" s="7" t="str">
        <f t="shared" si="1"/>
        <v>완료</v>
      </c>
      <c r="E14" s="1">
        <v>21</v>
      </c>
      <c r="F14" s="3"/>
      <c r="G14" s="89">
        <f>IF(NOT(LEN($A14)=0),IF(G13+1&gt;15,"버교체요망",G13+1),"")</f>
        <v>1</v>
      </c>
      <c r="H14" s="1" t="s">
        <v>17</v>
      </c>
      <c r="I14" s="1" t="s">
        <v>17</v>
      </c>
      <c r="J14" s="89">
        <f>IF(NOT(LEN($A14)=0),IF(J13+1&gt;15,"버교체요망",J13+1),"")</f>
        <v>1</v>
      </c>
      <c r="K14" s="1"/>
      <c r="L14" s="93" t="str">
        <f t="shared" si="5"/>
        <v>VITA</v>
      </c>
      <c r="M14" s="93" t="str">
        <f t="shared" si="6"/>
        <v>MARK II</v>
      </c>
      <c r="N14" s="93">
        <f t="shared" si="10"/>
        <v>160</v>
      </c>
      <c r="O14" s="93" t="str">
        <f t="shared" si="11"/>
        <v>-</v>
      </c>
      <c r="P14" s="25">
        <f>IF(LEN(A14)&gt;0, 종합!$C$27, "")</f>
        <v>2.2599999999999998</v>
      </c>
      <c r="Q14" s="1" t="s">
        <v>17</v>
      </c>
      <c r="R14" s="8" t="str">
        <f t="shared" si="13"/>
        <v>-</v>
      </c>
      <c r="S14" s="8" t="str">
        <f t="shared" si="13"/>
        <v>-</v>
      </c>
      <c r="T14" s="8" t="str">
        <f t="shared" si="13"/>
        <v>-</v>
      </c>
      <c r="U14" s="8" t="str">
        <f t="shared" si="13"/>
        <v>-</v>
      </c>
      <c r="V14" s="8" t="str">
        <f t="shared" si="14"/>
        <v>-</v>
      </c>
      <c r="W14" s="8" t="str">
        <f t="shared" si="14"/>
        <v>-</v>
      </c>
      <c r="X14" s="8" t="str">
        <f t="shared" si="14"/>
        <v>-</v>
      </c>
      <c r="Y14" s="8" t="str">
        <f t="shared" si="14"/>
        <v>-</v>
      </c>
      <c r="Z14" s="8" t="str">
        <f t="shared" si="12"/>
        <v>-</v>
      </c>
      <c r="AA14" s="8" t="str">
        <f t="shared" si="12"/>
        <v>-</v>
      </c>
      <c r="AB14" s="8" t="str">
        <f t="shared" si="12"/>
        <v>-</v>
      </c>
      <c r="AC14" s="8" t="str">
        <f t="shared" si="12"/>
        <v>-</v>
      </c>
      <c r="AD14" s="8" t="str">
        <f t="shared" si="15"/>
        <v>-</v>
      </c>
      <c r="AE14" s="8" t="str">
        <f t="shared" si="4"/>
        <v>-</v>
      </c>
      <c r="AF14" s="8" t="str">
        <f t="shared" si="8"/>
        <v>-</v>
      </c>
      <c r="AG14" s="1" t="s">
        <v>17</v>
      </c>
      <c r="AH14" s="2"/>
    </row>
    <row r="15" spans="1:43" x14ac:dyDescent="0.45">
      <c r="A15" s="4">
        <v>45972</v>
      </c>
      <c r="B15" s="25">
        <f t="shared" si="9"/>
        <v>9</v>
      </c>
      <c r="C15" s="8" t="str">
        <f t="shared" si="0"/>
        <v>Dimensions: L W H</v>
      </c>
      <c r="D15" s="7" t="str">
        <f t="shared" si="1"/>
        <v>완료</v>
      </c>
      <c r="E15" s="1">
        <v>21</v>
      </c>
      <c r="F15" s="3"/>
      <c r="G15" s="89">
        <f t="shared" ref="G15:G22" si="16">IF(NOT(LEN($A15)=0),IF(G14+1&gt;15,"버교체요망",G14+1),"")</f>
        <v>2</v>
      </c>
      <c r="H15" s="1" t="s">
        <v>17</v>
      </c>
      <c r="I15" s="1" t="s">
        <v>17</v>
      </c>
      <c r="J15" s="89">
        <f t="shared" ref="J15:L22" si="17">IF(NOT(LEN($A15)=0),IF(J14+1&gt;15,"버교체요망",J14+1),"")</f>
        <v>2</v>
      </c>
      <c r="K15" s="1"/>
      <c r="L15" s="93" t="str">
        <f t="shared" si="5"/>
        <v>VITA</v>
      </c>
      <c r="M15" s="93" t="str">
        <f t="shared" si="6"/>
        <v>MARK II</v>
      </c>
      <c r="N15" s="93">
        <f t="shared" si="10"/>
        <v>160</v>
      </c>
      <c r="O15" s="93" t="str">
        <f t="shared" si="11"/>
        <v>-</v>
      </c>
      <c r="P15" s="25">
        <f>IF(LEN(A15)&gt;0, 종합!$C$27, "")</f>
        <v>2.2599999999999998</v>
      </c>
      <c r="Q15" s="1" t="s">
        <v>17</v>
      </c>
      <c r="R15" s="8" t="str">
        <f t="shared" si="13"/>
        <v>-</v>
      </c>
      <c r="S15" s="8" t="str">
        <f t="shared" si="13"/>
        <v>-</v>
      </c>
      <c r="T15" s="8" t="str">
        <f t="shared" si="13"/>
        <v>-</v>
      </c>
      <c r="U15" s="8" t="str">
        <f t="shared" si="13"/>
        <v>-</v>
      </c>
      <c r="V15" s="8" t="str">
        <f t="shared" si="14"/>
        <v>-</v>
      </c>
      <c r="W15" s="8" t="str">
        <f t="shared" si="14"/>
        <v>-</v>
      </c>
      <c r="X15" s="8" t="str">
        <f t="shared" si="14"/>
        <v>-</v>
      </c>
      <c r="Y15" s="8" t="str">
        <f t="shared" si="14"/>
        <v>-</v>
      </c>
      <c r="Z15" s="8" t="str">
        <f t="shared" si="12"/>
        <v>-</v>
      </c>
      <c r="AA15" s="8" t="str">
        <f t="shared" si="12"/>
        <v>-</v>
      </c>
      <c r="AB15" s="8" t="str">
        <f t="shared" si="12"/>
        <v>-</v>
      </c>
      <c r="AC15" s="8" t="str">
        <f t="shared" si="12"/>
        <v>-</v>
      </c>
      <c r="AD15" s="8" t="str">
        <f t="shared" si="15"/>
        <v>-</v>
      </c>
      <c r="AE15" s="8" t="str">
        <f t="shared" si="4"/>
        <v>-</v>
      </c>
      <c r="AF15" s="8" t="str">
        <f t="shared" si="8"/>
        <v>-</v>
      </c>
      <c r="AG15" s="1" t="s">
        <v>17</v>
      </c>
      <c r="AH15" s="2"/>
    </row>
    <row r="16" spans="1:43" x14ac:dyDescent="0.45">
      <c r="A16" s="4">
        <v>45972</v>
      </c>
      <c r="B16" s="25">
        <f t="shared" si="9"/>
        <v>10</v>
      </c>
      <c r="C16" s="8" t="str">
        <f t="shared" si="0"/>
        <v>Dimensions: L W H</v>
      </c>
      <c r="D16" s="7" t="str">
        <f t="shared" si="1"/>
        <v>완료</v>
      </c>
      <c r="E16" s="1">
        <v>21</v>
      </c>
      <c r="F16" s="3"/>
      <c r="G16" s="89">
        <f t="shared" si="16"/>
        <v>3</v>
      </c>
      <c r="H16" s="1" t="s">
        <v>17</v>
      </c>
      <c r="I16" s="1" t="s">
        <v>17</v>
      </c>
      <c r="J16" s="89">
        <f t="shared" si="17"/>
        <v>3</v>
      </c>
      <c r="K16" s="1"/>
      <c r="L16" s="93" t="str">
        <f t="shared" si="5"/>
        <v>VITA</v>
      </c>
      <c r="M16" s="93" t="str">
        <f t="shared" si="6"/>
        <v>MARK II</v>
      </c>
      <c r="N16" s="93">
        <f t="shared" si="10"/>
        <v>160</v>
      </c>
      <c r="O16" s="93" t="str">
        <f t="shared" si="11"/>
        <v>-</v>
      </c>
      <c r="P16" s="25">
        <f>IF(LEN(A16)&gt;0, 종합!$C$27, "")</f>
        <v>2.2599999999999998</v>
      </c>
      <c r="Q16" s="1" t="s">
        <v>17</v>
      </c>
      <c r="R16" s="8" t="str">
        <f t="shared" si="13"/>
        <v xml:space="preserve">스핀들유격: </v>
      </c>
      <c r="S16" s="8" t="str">
        <f t="shared" si="13"/>
        <v xml:space="preserve">스핀들유격: </v>
      </c>
      <c r="T16" s="8" t="str">
        <f t="shared" si="13"/>
        <v xml:space="preserve">스핀들유격: </v>
      </c>
      <c r="U16" s="8" t="str">
        <f t="shared" si="13"/>
        <v xml:space="preserve">스핀들유격: </v>
      </c>
      <c r="V16" s="8" t="str">
        <f t="shared" si="14"/>
        <v>000-000</v>
      </c>
      <c r="W16" s="8" t="str">
        <f t="shared" si="14"/>
        <v>000-000</v>
      </c>
      <c r="X16" s="8" t="str">
        <f t="shared" si="14"/>
        <v>000-000</v>
      </c>
      <c r="Y16" s="8" t="str">
        <f t="shared" si="14"/>
        <v>000-000</v>
      </c>
      <c r="Z16" s="8" t="str">
        <f t="shared" si="12"/>
        <v>000-000</v>
      </c>
      <c r="AA16" s="8" t="str">
        <f t="shared" si="12"/>
        <v>000-000</v>
      </c>
      <c r="AB16" s="8" t="str">
        <f t="shared" si="12"/>
        <v>000-000</v>
      </c>
      <c r="AC16" s="8" t="str">
        <f t="shared" si="12"/>
        <v>000-000</v>
      </c>
      <c r="AD16" s="8" t="str">
        <f t="shared" si="15"/>
        <v>스핀들소음 :</v>
      </c>
      <c r="AE16" s="8" t="str">
        <f t="shared" si="4"/>
        <v>-</v>
      </c>
      <c r="AF16" s="8" t="str">
        <f t="shared" si="8"/>
        <v>-</v>
      </c>
      <c r="AG16" s="1" t="s">
        <v>17</v>
      </c>
      <c r="AH16" s="2"/>
    </row>
    <row r="17" spans="1:34" x14ac:dyDescent="0.45">
      <c r="A17" s="4">
        <v>45973</v>
      </c>
      <c r="B17" s="25">
        <f t="shared" si="9"/>
        <v>11</v>
      </c>
      <c r="C17" s="8" t="str">
        <f t="shared" si="0"/>
        <v>Dimensions: L W H</v>
      </c>
      <c r="D17" s="7" t="str">
        <f t="shared" si="1"/>
        <v>완료</v>
      </c>
      <c r="E17" s="1">
        <v>21</v>
      </c>
      <c r="F17" s="3"/>
      <c r="G17" s="89">
        <f t="shared" si="16"/>
        <v>4</v>
      </c>
      <c r="H17" s="1" t="s">
        <v>17</v>
      </c>
      <c r="I17" s="1" t="s">
        <v>17</v>
      </c>
      <c r="J17" s="89">
        <f t="shared" si="17"/>
        <v>4</v>
      </c>
      <c r="K17" s="1"/>
      <c r="L17" s="93" t="str">
        <f t="shared" si="5"/>
        <v>VITA</v>
      </c>
      <c r="M17" s="93" t="str">
        <f t="shared" si="6"/>
        <v>MARK II</v>
      </c>
      <c r="N17" s="93">
        <f t="shared" si="10"/>
        <v>160</v>
      </c>
      <c r="O17" s="93" t="str">
        <f t="shared" si="11"/>
        <v>-</v>
      </c>
      <c r="P17" s="25">
        <f>IF(LEN(A17)&gt;0, 종합!$C$27, "")</f>
        <v>2.2599999999999998</v>
      </c>
      <c r="Q17" s="1" t="s">
        <v>17</v>
      </c>
      <c r="R17" s="8" t="str">
        <f t="shared" si="13"/>
        <v>-</v>
      </c>
      <c r="S17" s="8" t="str">
        <f t="shared" si="13"/>
        <v>-</v>
      </c>
      <c r="T17" s="8" t="str">
        <f t="shared" si="13"/>
        <v>-</v>
      </c>
      <c r="U17" s="8" t="str">
        <f t="shared" si="13"/>
        <v>-</v>
      </c>
      <c r="V17" s="8" t="str">
        <f t="shared" si="14"/>
        <v>-</v>
      </c>
      <c r="W17" s="8" t="str">
        <f t="shared" si="14"/>
        <v>-</v>
      </c>
      <c r="X17" s="8" t="str">
        <f t="shared" si="14"/>
        <v>-</v>
      </c>
      <c r="Y17" s="8" t="str">
        <f t="shared" si="14"/>
        <v>-</v>
      </c>
      <c r="Z17" s="8" t="str">
        <f t="shared" si="12"/>
        <v>-</v>
      </c>
      <c r="AA17" s="8" t="str">
        <f t="shared" si="12"/>
        <v>-</v>
      </c>
      <c r="AB17" s="8" t="str">
        <f t="shared" si="12"/>
        <v>-</v>
      </c>
      <c r="AC17" s="8" t="str">
        <f t="shared" si="12"/>
        <v>-</v>
      </c>
      <c r="AD17" s="8" t="str">
        <f t="shared" si="15"/>
        <v>-</v>
      </c>
      <c r="AE17" s="8" t="str">
        <f t="shared" si="4"/>
        <v>-</v>
      </c>
      <c r="AF17" s="8" t="str">
        <f t="shared" ref="AF17" si="18">IF($B17="","",
  IF(MOD(B17,160)=0,
    "TENSION (XL : / ZL : / XR : / ZR : / Y : )" &amp; CHAR(10) &amp;
    "필터교체",
    "-"
  )
)</f>
        <v>-</v>
      </c>
      <c r="AG17" s="1" t="s">
        <v>17</v>
      </c>
      <c r="AH17" s="2"/>
    </row>
    <row r="18" spans="1:34" x14ac:dyDescent="0.45">
      <c r="A18" s="4">
        <v>45973</v>
      </c>
      <c r="B18" s="25">
        <f t="shared" si="9"/>
        <v>12</v>
      </c>
      <c r="C18" s="8" t="str">
        <f t="shared" si="0"/>
        <v>Dimensions: L W H</v>
      </c>
      <c r="D18" s="7" t="str">
        <f>IF(NOT(LEN(B18)=0),"진행중","")</f>
        <v>진행중</v>
      </c>
      <c r="E18" s="1">
        <v>23</v>
      </c>
      <c r="F18" s="1"/>
      <c r="G18" s="89">
        <f t="shared" si="16"/>
        <v>5</v>
      </c>
      <c r="H18" s="1"/>
      <c r="I18" s="1"/>
      <c r="J18" s="89">
        <f t="shared" si="17"/>
        <v>5</v>
      </c>
      <c r="K18" s="1"/>
      <c r="L18" s="93" t="str">
        <f>IF(NOT(LEN($J18)=0),L17,"")</f>
        <v>VITA</v>
      </c>
      <c r="M18" s="93" t="str">
        <f>IF(NOT(LEN($J18)=0),M17,"")</f>
        <v>MARK II</v>
      </c>
      <c r="N18" s="93">
        <f t="shared" si="10"/>
        <v>160</v>
      </c>
      <c r="O18" s="93" t="str">
        <f t="shared" si="11"/>
        <v>-</v>
      </c>
      <c r="P18" s="25">
        <f>IF(LEN(A18)&gt;0, 종합!$C$27, "")</f>
        <v>2.2599999999999998</v>
      </c>
      <c r="Q18" s="1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1"/>
      <c r="AH18" s="2"/>
    </row>
    <row r="19" spans="1:34" x14ac:dyDescent="0.45">
      <c r="A19" s="24"/>
      <c r="B19" s="25" t="str">
        <f t="shared" si="9"/>
        <v/>
      </c>
      <c r="C19" s="8" t="str">
        <f t="shared" si="0"/>
        <v/>
      </c>
      <c r="D19" s="7" t="str">
        <f t="shared" ref="D19:D22" si="19">IF(NOT(LEN(B19)=0),"진행중","")</f>
        <v/>
      </c>
      <c r="E19" s="1"/>
      <c r="F19" s="1"/>
      <c r="G19" s="89" t="str">
        <f t="shared" si="16"/>
        <v/>
      </c>
      <c r="H19" s="1"/>
      <c r="I19" s="1"/>
      <c r="J19" s="89" t="str">
        <f t="shared" si="17"/>
        <v/>
      </c>
      <c r="K19" s="1"/>
      <c r="L19" s="1"/>
      <c r="M19" s="1"/>
      <c r="N19" s="1"/>
      <c r="O19" s="1"/>
      <c r="P19" s="1"/>
      <c r="Q19" s="1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1"/>
      <c r="AH19" s="2"/>
    </row>
    <row r="20" spans="1:34" x14ac:dyDescent="0.45">
      <c r="A20" s="24"/>
      <c r="B20" s="25" t="str">
        <f t="shared" si="9"/>
        <v/>
      </c>
      <c r="C20" s="8" t="str">
        <f t="shared" si="0"/>
        <v/>
      </c>
      <c r="D20" s="7" t="str">
        <f t="shared" si="19"/>
        <v/>
      </c>
      <c r="E20" s="1"/>
      <c r="F20" s="1"/>
      <c r="G20" s="89" t="str">
        <f t="shared" si="16"/>
        <v/>
      </c>
      <c r="H20" s="1"/>
      <c r="I20" s="1"/>
      <c r="J20" s="89" t="str">
        <f t="shared" si="17"/>
        <v/>
      </c>
      <c r="K20" s="1"/>
      <c r="L20" s="1"/>
      <c r="M20" s="1"/>
      <c r="N20" s="1"/>
      <c r="O20" s="1"/>
      <c r="P20" s="1"/>
      <c r="Q20" s="1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1"/>
      <c r="AH20" s="2"/>
    </row>
    <row r="21" spans="1:34" x14ac:dyDescent="0.45">
      <c r="B21" s="25" t="str">
        <f t="shared" si="9"/>
        <v/>
      </c>
      <c r="C21" s="8" t="str">
        <f t="shared" si="0"/>
        <v/>
      </c>
      <c r="D21" s="7" t="str">
        <f t="shared" si="19"/>
        <v/>
      </c>
      <c r="G21" s="89" t="str">
        <f t="shared" si="16"/>
        <v/>
      </c>
      <c r="J21" s="89" t="str">
        <f t="shared" si="17"/>
        <v/>
      </c>
    </row>
    <row r="22" spans="1:34" x14ac:dyDescent="0.45">
      <c r="B22" s="25" t="str">
        <f t="shared" si="9"/>
        <v/>
      </c>
      <c r="C22" s="8" t="str">
        <f t="shared" si="0"/>
        <v/>
      </c>
      <c r="D22" s="7" t="str">
        <f t="shared" si="19"/>
        <v/>
      </c>
      <c r="G22" s="89" t="str">
        <f t="shared" si="16"/>
        <v/>
      </c>
      <c r="J22" s="89" t="str">
        <f t="shared" si="17"/>
        <v/>
      </c>
    </row>
    <row r="23" spans="1:34" x14ac:dyDescent="0.45">
      <c r="A23" s="6" t="s">
        <v>18</v>
      </c>
      <c r="B23" s="26" t="s">
        <v>18</v>
      </c>
      <c r="C23" s="6" t="s">
        <v>18</v>
      </c>
      <c r="D23" s="6" t="s">
        <v>18</v>
      </c>
      <c r="E23" s="6" t="s">
        <v>18</v>
      </c>
      <c r="F23" s="6" t="s">
        <v>18</v>
      </c>
      <c r="G23" s="6" t="s">
        <v>18</v>
      </c>
      <c r="H23" s="6" t="s">
        <v>18</v>
      </c>
      <c r="I23" s="6" t="s">
        <v>18</v>
      </c>
      <c r="J23" s="6" t="s">
        <v>18</v>
      </c>
      <c r="K23" s="6" t="s">
        <v>18</v>
      </c>
      <c r="L23" s="6" t="s">
        <v>18</v>
      </c>
      <c r="M23" s="6" t="s">
        <v>18</v>
      </c>
      <c r="N23" s="6" t="s">
        <v>18</v>
      </c>
      <c r="O23" s="6" t="s">
        <v>18</v>
      </c>
      <c r="P23" s="6" t="s">
        <v>18</v>
      </c>
      <c r="Q23" s="6" t="s">
        <v>18</v>
      </c>
      <c r="R23" s="6" t="s">
        <v>18</v>
      </c>
      <c r="S23" s="6" t="s">
        <v>18</v>
      </c>
      <c r="T23" s="6" t="s">
        <v>18</v>
      </c>
      <c r="U23" s="6" t="s">
        <v>18</v>
      </c>
      <c r="V23" s="6" t="s">
        <v>18</v>
      </c>
      <c r="W23" s="6" t="s">
        <v>18</v>
      </c>
      <c r="X23" s="6" t="s">
        <v>18</v>
      </c>
      <c r="Y23" s="6" t="s">
        <v>18</v>
      </c>
      <c r="Z23" s="6" t="s">
        <v>18</v>
      </c>
      <c r="AA23" s="6" t="s">
        <v>18</v>
      </c>
      <c r="AB23" s="6" t="s">
        <v>18</v>
      </c>
      <c r="AC23" s="6" t="s">
        <v>18</v>
      </c>
      <c r="AD23" s="6" t="s">
        <v>18</v>
      </c>
      <c r="AE23" s="6" t="s">
        <v>18</v>
      </c>
      <c r="AF23" s="6" t="s">
        <v>18</v>
      </c>
      <c r="AG23" s="6" t="s">
        <v>18</v>
      </c>
      <c r="AH23" s="6" t="s">
        <v>18</v>
      </c>
    </row>
  </sheetData>
  <mergeCells count="12">
    <mergeCell ref="A1:AH1"/>
    <mergeCell ref="R5:U5"/>
    <mergeCell ref="V5:Y5"/>
    <mergeCell ref="Z5:AD5"/>
    <mergeCell ref="A2:A5"/>
    <mergeCell ref="Q2:AF3"/>
    <mergeCell ref="AG2:AH6"/>
    <mergeCell ref="R4:AD4"/>
    <mergeCell ref="G5:J5"/>
    <mergeCell ref="B2:F5"/>
    <mergeCell ref="L5:O5"/>
    <mergeCell ref="G2:P4"/>
  </mergeCells>
  <phoneticPr fontId="1" type="noConversion"/>
  <conditionalFormatting sqref="I7:I9 G7:G9 I14:I20">
    <cfRule type="containsText" dxfId="695" priority="166" operator="containsText" text="신품">
      <formula>NOT(ISERROR(SEARCH("신품",G7)))</formula>
    </cfRule>
    <cfRule type="containsText" dxfId="694" priority="167" operator="containsText" text="중고">
      <formula>NOT(ISERROR(SEARCH("중고",G7)))</formula>
    </cfRule>
  </conditionalFormatting>
  <conditionalFormatting sqref="J7:J9">
    <cfRule type="containsText" dxfId="693" priority="164" operator="containsText" text="신품">
      <formula>NOT(ISERROR(SEARCH("신품",J7)))</formula>
    </cfRule>
    <cfRule type="containsText" dxfId="692" priority="165" operator="containsText" text="중고">
      <formula>NOT(ISERROR(SEARCH("중고",J7)))</formula>
    </cfRule>
  </conditionalFormatting>
  <conditionalFormatting sqref="I10 G10">
    <cfRule type="containsText" dxfId="691" priority="160" operator="containsText" text="신품">
      <formula>NOT(ISERROR(SEARCH("신품",G10)))</formula>
    </cfRule>
    <cfRule type="containsText" dxfId="690" priority="161" operator="containsText" text="중고">
      <formula>NOT(ISERROR(SEARCH("중고",G10)))</formula>
    </cfRule>
  </conditionalFormatting>
  <conditionalFormatting sqref="J10">
    <cfRule type="containsText" dxfId="689" priority="158" operator="containsText" text="신품">
      <formula>NOT(ISERROR(SEARCH("신품",J10)))</formula>
    </cfRule>
    <cfRule type="containsText" dxfId="688" priority="159" operator="containsText" text="중고">
      <formula>NOT(ISERROR(SEARCH("중고",J10)))</formula>
    </cfRule>
  </conditionalFormatting>
  <conditionalFormatting sqref="G11 I11">
    <cfRule type="containsText" dxfId="687" priority="154" operator="containsText" text="신품">
      <formula>NOT(ISERROR(SEARCH("신품",G11)))</formula>
    </cfRule>
    <cfRule type="containsText" dxfId="686" priority="155" operator="containsText" text="중고">
      <formula>NOT(ISERROR(SEARCH("중고",G11)))</formula>
    </cfRule>
  </conditionalFormatting>
  <conditionalFormatting sqref="J11">
    <cfRule type="containsText" dxfId="685" priority="152" operator="containsText" text="신품">
      <formula>NOT(ISERROR(SEARCH("신품",J11)))</formula>
    </cfRule>
    <cfRule type="containsText" dxfId="684" priority="153" operator="containsText" text="중고">
      <formula>NOT(ISERROR(SEARCH("중고",J11)))</formula>
    </cfRule>
  </conditionalFormatting>
  <conditionalFormatting sqref="I12:I20 G12">
    <cfRule type="containsText" dxfId="683" priority="148" operator="containsText" text="신품">
      <formula>NOT(ISERROR(SEARCH("신품",G12)))</formula>
    </cfRule>
    <cfRule type="containsText" dxfId="682" priority="149" operator="containsText" text="중고">
      <formula>NOT(ISERROR(SEARCH("중고",G12)))</formula>
    </cfRule>
  </conditionalFormatting>
  <conditionalFormatting sqref="J12">
    <cfRule type="containsText" dxfId="681" priority="146" operator="containsText" text="신품">
      <formula>NOT(ISERROR(SEARCH("신품",J12)))</formula>
    </cfRule>
    <cfRule type="containsText" dxfId="680" priority="147" operator="containsText" text="중고">
      <formula>NOT(ISERROR(SEARCH("중고",J12)))</formula>
    </cfRule>
  </conditionalFormatting>
  <conditionalFormatting sqref="I13">
    <cfRule type="containsText" dxfId="679" priority="142" operator="containsText" text="신품">
      <formula>NOT(ISERROR(SEARCH("신품",I13)))</formula>
    </cfRule>
    <cfRule type="containsText" dxfId="678" priority="143" operator="containsText" text="중고">
      <formula>NOT(ISERROR(SEARCH("중고",I13)))</formula>
    </cfRule>
  </conditionalFormatting>
  <conditionalFormatting sqref="D7:D22">
    <cfRule type="containsText" dxfId="675" priority="138" operator="containsText" text="완료">
      <formula>NOT(ISERROR(SEARCH("완료",D7)))</formula>
    </cfRule>
    <cfRule type="containsText" dxfId="674" priority="139" operator="containsText" text="중단">
      <formula>NOT(ISERROR(SEARCH("중단",D7)))</formula>
    </cfRule>
  </conditionalFormatting>
  <conditionalFormatting sqref="D11">
    <cfRule type="containsText" dxfId="673" priority="136" operator="containsText" text="완료">
      <formula>NOT(ISERROR(SEARCH("완료",D11)))</formula>
    </cfRule>
    <cfRule type="containsText" dxfId="672" priority="137" operator="containsText" text="중단">
      <formula>NOT(ISERROR(SEARCH("중단",D11)))</formula>
    </cfRule>
  </conditionalFormatting>
  <conditionalFormatting sqref="D8:D22">
    <cfRule type="containsText" dxfId="671" priority="134" operator="containsText" text="완료">
      <formula>NOT(ISERROR(SEARCH("완료",D8)))</formula>
    </cfRule>
    <cfRule type="containsText" dxfId="670" priority="135" operator="containsText" text="중단">
      <formula>NOT(ISERROR(SEARCH("중단",D8)))</formula>
    </cfRule>
  </conditionalFormatting>
  <conditionalFormatting sqref="D13:D17">
    <cfRule type="containsText" dxfId="669" priority="132" operator="containsText" text="완료">
      <formula>NOT(ISERROR(SEARCH("완료",D13)))</formula>
    </cfRule>
    <cfRule type="containsText" dxfId="668" priority="133" operator="containsText" text="중단">
      <formula>NOT(ISERROR(SEARCH("중단",D13)))</formula>
    </cfRule>
  </conditionalFormatting>
  <conditionalFormatting sqref="D7:D23">
    <cfRule type="containsText" dxfId="667" priority="131" operator="containsText" text="진행중">
      <formula>NOT(ISERROR(SEARCH("진행중",D7)))</formula>
    </cfRule>
  </conditionalFormatting>
  <conditionalFormatting sqref="G14:G22">
    <cfRule type="containsText" dxfId="619" priority="124" operator="containsText" text="완료">
      <formula>NOT(ISERROR(SEARCH("완료",G14)))</formula>
    </cfRule>
    <cfRule type="containsText" dxfId="618" priority="125" operator="containsText" text="중단">
      <formula>NOT(ISERROR(SEARCH("중단",G14)))</formula>
    </cfRule>
  </conditionalFormatting>
  <conditionalFormatting sqref="G14:G22">
    <cfRule type="containsText" dxfId="617" priority="122" operator="containsText" text="완료">
      <formula>NOT(ISERROR(SEARCH("완료",G14)))</formula>
    </cfRule>
    <cfRule type="containsText" dxfId="616" priority="123" operator="containsText" text="중단">
      <formula>NOT(ISERROR(SEARCH("중단",G14)))</formula>
    </cfRule>
  </conditionalFormatting>
  <conditionalFormatting sqref="G14:G22">
    <cfRule type="containsText" dxfId="615" priority="121" operator="containsText" text="진행중">
      <formula>NOT(ISERROR(SEARCH("진행중",G14)))</formula>
    </cfRule>
  </conditionalFormatting>
  <conditionalFormatting sqref="J14:J22">
    <cfRule type="containsText" dxfId="421" priority="79" operator="containsText" text="완료">
      <formula>NOT(ISERROR(SEARCH("완료",J14)))</formula>
    </cfRule>
    <cfRule type="containsText" dxfId="420" priority="80" operator="containsText" text="중단">
      <formula>NOT(ISERROR(SEARCH("중단",J14)))</formula>
    </cfRule>
  </conditionalFormatting>
  <conditionalFormatting sqref="J14:J22">
    <cfRule type="containsText" dxfId="419" priority="77" operator="containsText" text="완료">
      <formula>NOT(ISERROR(SEARCH("완료",J14)))</formula>
    </cfRule>
    <cfRule type="containsText" dxfId="418" priority="78" operator="containsText" text="중단">
      <formula>NOT(ISERROR(SEARCH("중단",J14)))</formula>
    </cfRule>
  </conditionalFormatting>
  <conditionalFormatting sqref="J14:J22">
    <cfRule type="containsText" dxfId="417" priority="76" operator="containsText" text="진행중">
      <formula>NOT(ISERROR(SEARCH("진행중",J14)))</formula>
    </cfRule>
  </conditionalFormatting>
  <conditionalFormatting sqref="G13">
    <cfRule type="containsText" dxfId="399" priority="74" operator="containsText" text="완료">
      <formula>NOT(ISERROR(SEARCH("완료",G13)))</formula>
    </cfRule>
    <cfRule type="containsText" dxfId="398" priority="75" operator="containsText" text="중단">
      <formula>NOT(ISERROR(SEARCH("중단",G13)))</formula>
    </cfRule>
  </conditionalFormatting>
  <conditionalFormatting sqref="G13">
    <cfRule type="containsText" dxfId="397" priority="72" operator="containsText" text="완료">
      <formula>NOT(ISERROR(SEARCH("완료",G13)))</formula>
    </cfRule>
    <cfRule type="containsText" dxfId="396" priority="73" operator="containsText" text="중단">
      <formula>NOT(ISERROR(SEARCH("중단",G13)))</formula>
    </cfRule>
  </conditionalFormatting>
  <conditionalFormatting sqref="G13">
    <cfRule type="containsText" dxfId="395" priority="71" operator="containsText" text="진행중">
      <formula>NOT(ISERROR(SEARCH("진행중",G13)))</formula>
    </cfRule>
  </conditionalFormatting>
  <conditionalFormatting sqref="J13">
    <cfRule type="containsText" dxfId="377" priority="69" operator="containsText" text="완료">
      <formula>NOT(ISERROR(SEARCH("완료",J13)))</formula>
    </cfRule>
    <cfRule type="containsText" dxfId="376" priority="70" operator="containsText" text="중단">
      <formula>NOT(ISERROR(SEARCH("중단",J13)))</formula>
    </cfRule>
  </conditionalFormatting>
  <conditionalFormatting sqref="J13">
    <cfRule type="containsText" dxfId="375" priority="67" operator="containsText" text="완료">
      <formula>NOT(ISERROR(SEARCH("완료",J13)))</formula>
    </cfRule>
    <cfRule type="containsText" dxfId="374" priority="68" operator="containsText" text="중단">
      <formula>NOT(ISERROR(SEARCH("중단",J13)))</formula>
    </cfRule>
  </conditionalFormatting>
  <conditionalFormatting sqref="J13">
    <cfRule type="containsText" dxfId="373" priority="66" operator="containsText" text="진행중">
      <formula>NOT(ISERROR(SEARCH("진행중",J13)))</formula>
    </cfRule>
  </conditionalFormatting>
  <conditionalFormatting sqref="L18">
    <cfRule type="containsText" dxfId="333" priority="59" operator="containsText" text="완료">
      <formula>NOT(ISERROR(SEARCH("완료",L18)))</formula>
    </cfRule>
    <cfRule type="containsText" dxfId="332" priority="60" operator="containsText" text="중단">
      <formula>NOT(ISERROR(SEARCH("중단",L18)))</formula>
    </cfRule>
  </conditionalFormatting>
  <conditionalFormatting sqref="L18">
    <cfRule type="containsText" dxfId="331" priority="57" operator="containsText" text="완료">
      <formula>NOT(ISERROR(SEARCH("완료",L18)))</formula>
    </cfRule>
    <cfRule type="containsText" dxfId="330" priority="58" operator="containsText" text="중단">
      <formula>NOT(ISERROR(SEARCH("중단",L18)))</formula>
    </cfRule>
  </conditionalFormatting>
  <conditionalFormatting sqref="L18">
    <cfRule type="containsText" dxfId="329" priority="56" operator="containsText" text="진행중">
      <formula>NOT(ISERROR(SEARCH("진행중",L18)))</formula>
    </cfRule>
  </conditionalFormatting>
  <conditionalFormatting sqref="M18">
    <cfRule type="containsText" dxfId="289" priority="49" operator="containsText" text="완료">
      <formula>NOT(ISERROR(SEARCH("완료",M18)))</formula>
    </cfRule>
    <cfRule type="containsText" dxfId="288" priority="50" operator="containsText" text="중단">
      <formula>NOT(ISERROR(SEARCH("중단",M18)))</formula>
    </cfRule>
  </conditionalFormatting>
  <conditionalFormatting sqref="M18">
    <cfRule type="containsText" dxfId="287" priority="47" operator="containsText" text="완료">
      <formula>NOT(ISERROR(SEARCH("완료",M18)))</formula>
    </cfRule>
    <cfRule type="containsText" dxfId="286" priority="48" operator="containsText" text="중단">
      <formula>NOT(ISERROR(SEARCH("중단",M18)))</formula>
    </cfRule>
  </conditionalFormatting>
  <conditionalFormatting sqref="M18">
    <cfRule type="containsText" dxfId="285" priority="46" operator="containsText" text="진행중">
      <formula>NOT(ISERROR(SEARCH("진행중",M18)))</formula>
    </cfRule>
  </conditionalFormatting>
  <conditionalFormatting sqref="O8:O18">
    <cfRule type="containsText" dxfId="223" priority="34" operator="containsText" text="완료">
      <formula>NOT(ISERROR(SEARCH("완료",O8)))</formula>
    </cfRule>
    <cfRule type="containsText" dxfId="222" priority="35" operator="containsText" text="중단">
      <formula>NOT(ISERROR(SEARCH("중단",O8)))</formula>
    </cfRule>
  </conditionalFormatting>
  <conditionalFormatting sqref="O8:O18">
    <cfRule type="containsText" dxfId="221" priority="32" operator="containsText" text="완료">
      <formula>NOT(ISERROR(SEARCH("완료",O8)))</formula>
    </cfRule>
    <cfRule type="containsText" dxfId="220" priority="33" operator="containsText" text="중단">
      <formula>NOT(ISERROR(SEARCH("중단",O8)))</formula>
    </cfRule>
  </conditionalFormatting>
  <conditionalFormatting sqref="O8:O18">
    <cfRule type="containsText" dxfId="219" priority="31" operator="containsText" text="진행중">
      <formula>NOT(ISERROR(SEARCH("진행중",O8)))</formula>
    </cfRule>
  </conditionalFormatting>
  <conditionalFormatting sqref="L8:L17">
    <cfRule type="containsText" dxfId="125" priority="14" operator="containsText" text="완료">
      <formula>NOT(ISERROR(SEARCH("완료",L8)))</formula>
    </cfRule>
    <cfRule type="containsText" dxfId="124" priority="15" operator="containsText" text="중단">
      <formula>NOT(ISERROR(SEARCH("중단",L8)))</formula>
    </cfRule>
  </conditionalFormatting>
  <conditionalFormatting sqref="L8:L17">
    <cfRule type="containsText" dxfId="123" priority="12" operator="containsText" text="완료">
      <formula>NOT(ISERROR(SEARCH("완료",L8)))</formula>
    </cfRule>
    <cfRule type="containsText" dxfId="122" priority="13" operator="containsText" text="중단">
      <formula>NOT(ISERROR(SEARCH("중단",L8)))</formula>
    </cfRule>
  </conditionalFormatting>
  <conditionalFormatting sqref="L8:L17">
    <cfRule type="containsText" dxfId="121" priority="11" operator="containsText" text="진행중">
      <formula>NOT(ISERROR(SEARCH("진행중",L8)))</formula>
    </cfRule>
  </conditionalFormatting>
  <conditionalFormatting sqref="M8:M17">
    <cfRule type="containsText" dxfId="120" priority="9" operator="containsText" text="완료">
      <formula>NOT(ISERROR(SEARCH("완료",M8)))</formula>
    </cfRule>
    <cfRule type="containsText" dxfId="119" priority="10" operator="containsText" text="중단">
      <formula>NOT(ISERROR(SEARCH("중단",M8)))</formula>
    </cfRule>
  </conditionalFormatting>
  <conditionalFormatting sqref="M8:M17">
    <cfRule type="containsText" dxfId="118" priority="7" operator="containsText" text="완료">
      <formula>NOT(ISERROR(SEARCH("완료",M8)))</formula>
    </cfRule>
    <cfRule type="containsText" dxfId="117" priority="8" operator="containsText" text="중단">
      <formula>NOT(ISERROR(SEARCH("중단",M8)))</formula>
    </cfRule>
  </conditionalFormatting>
  <conditionalFormatting sqref="M8:M17">
    <cfRule type="containsText" dxfId="116" priority="6" operator="containsText" text="진행중">
      <formula>NOT(ISERROR(SEARCH("진행중",M8)))</formula>
    </cfRule>
  </conditionalFormatting>
  <conditionalFormatting sqref="N8:N18">
    <cfRule type="containsText" dxfId="115" priority="4" operator="containsText" text="완료">
      <formula>NOT(ISERROR(SEARCH("완료",N8)))</formula>
    </cfRule>
    <cfRule type="containsText" dxfId="114" priority="5" operator="containsText" text="중단">
      <formula>NOT(ISERROR(SEARCH("중단",N8)))</formula>
    </cfRule>
  </conditionalFormatting>
  <conditionalFormatting sqref="N8:N18">
    <cfRule type="containsText" dxfId="113" priority="2" operator="containsText" text="완료">
      <formula>NOT(ISERROR(SEARCH("완료",N8)))</formula>
    </cfRule>
    <cfRule type="containsText" dxfId="112" priority="3" operator="containsText" text="중단">
      <formula>NOT(ISERROR(SEARCH("중단",N8)))</formula>
    </cfRule>
  </conditionalFormatting>
  <conditionalFormatting sqref="N8:N18">
    <cfRule type="containsText" dxfId="111" priority="1" operator="containsText" text="진행중">
      <formula>NOT(ISERROR(SEARCH("진행중",N8)))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E1FBC-324E-48B5-B22E-5909EB0247F3}">
  <sheetPr>
    <tabColor theme="0" tint="-0.14999847407452621"/>
  </sheetPr>
  <dimension ref="A1:P41"/>
  <sheetViews>
    <sheetView zoomScale="85" zoomScaleNormal="85" workbookViewId="0">
      <selection activeCell="J26" sqref="J26"/>
    </sheetView>
  </sheetViews>
  <sheetFormatPr defaultRowHeight="17" x14ac:dyDescent="0.45"/>
  <cols>
    <col min="1" max="1" width="37.4140625" customWidth="1"/>
    <col min="2" max="2" width="13.33203125" customWidth="1"/>
    <col min="3" max="4" width="6.25" bestFit="1" customWidth="1"/>
    <col min="5" max="8" width="6.4140625" bestFit="1" customWidth="1"/>
    <col min="9" max="9" width="6.33203125" bestFit="1" customWidth="1"/>
    <col min="10" max="10" width="36.9140625" bestFit="1" customWidth="1"/>
    <col min="11" max="16" width="2.4140625" bestFit="1" customWidth="1"/>
  </cols>
  <sheetData>
    <row r="1" spans="1:16" ht="25.5" x14ac:dyDescent="0.45">
      <c r="A1" s="71" t="s">
        <v>43</v>
      </c>
      <c r="B1" s="72"/>
      <c r="C1" s="72"/>
      <c r="D1" s="72"/>
      <c r="E1" s="72"/>
      <c r="F1" s="72"/>
      <c r="G1" s="72"/>
      <c r="H1" s="73"/>
    </row>
    <row r="3" spans="1:16" x14ac:dyDescent="0.45">
      <c r="A3" s="51" t="s">
        <v>57</v>
      </c>
      <c r="B3" s="52"/>
      <c r="C3" s="52"/>
      <c r="D3" s="52"/>
      <c r="E3" s="52"/>
      <c r="F3" s="52"/>
      <c r="G3" s="52"/>
      <c r="H3" s="53"/>
    </row>
    <row r="4" spans="1:16" x14ac:dyDescent="0.45">
      <c r="A4" s="22"/>
      <c r="B4" s="28" t="s">
        <v>104</v>
      </c>
      <c r="C4" s="28" t="s">
        <v>50</v>
      </c>
      <c r="D4" s="28" t="s">
        <v>51</v>
      </c>
      <c r="E4" s="28" t="s">
        <v>52</v>
      </c>
      <c r="F4" s="28" t="s">
        <v>53</v>
      </c>
      <c r="G4" s="28" t="s">
        <v>54</v>
      </c>
      <c r="H4" s="28" t="s">
        <v>55</v>
      </c>
    </row>
    <row r="5" spans="1:16" x14ac:dyDescent="0.45">
      <c r="A5" s="30" t="s">
        <v>108</v>
      </c>
      <c r="B5" s="17">
        <f>SUM(C5:H5)</f>
        <v>32</v>
      </c>
      <c r="C5" s="31">
        <f>COUNTIF('ES#8'!$A$7:$A$23,LEFT(A5,10))</f>
        <v>4</v>
      </c>
      <c r="D5" s="31">
        <f>COUNTIF('ES#9'!$A$7:$A$23,LEFT(A5,10))</f>
        <v>4</v>
      </c>
      <c r="E5" s="31">
        <f>COUNTIF('PP#2'!$A$7:$A$15,LEFT(A5,10))</f>
        <v>6</v>
      </c>
      <c r="F5" s="31">
        <f>COUNTIF('PP#3'!$A$7:$A$15,LEFT(A5,10))</f>
        <v>6</v>
      </c>
      <c r="G5" s="31">
        <f>COUNTIF('PP#4'!$A$7:$A$15,LEFT(A5,10))</f>
        <v>6</v>
      </c>
      <c r="H5" s="31">
        <f>COUNTIF('PP#5'!$A$7:$A$15,LEFT(A5,10))</f>
        <v>6</v>
      </c>
    </row>
    <row r="6" spans="1:16" x14ac:dyDescent="0.45">
      <c r="A6" s="30" t="s">
        <v>109</v>
      </c>
      <c r="B6" s="17">
        <f>SUM(C6:H6)</f>
        <v>18</v>
      </c>
      <c r="C6" s="31">
        <f>COUNTIF('ES#8'!$A$7:$A$23,LEFT(A6,10))</f>
        <v>3</v>
      </c>
      <c r="D6" s="31">
        <f>COUNTIF('ES#9'!$A$7:$A$23,LEFT(A6,10))</f>
        <v>3</v>
      </c>
      <c r="E6" s="31">
        <f>COUNTIF('PP#2'!$A$7:$A$15,LEFT(A6,10))</f>
        <v>3</v>
      </c>
      <c r="F6" s="31">
        <f>COUNTIF('PP#3'!$A$7:$A$15,LEFT(A6,10))</f>
        <v>3</v>
      </c>
      <c r="G6" s="31">
        <f>COUNTIF('PP#4'!$A$7:$A$15,LEFT(A6,10))</f>
        <v>3</v>
      </c>
      <c r="H6" s="31">
        <f>COUNTIF('PP#5'!$A$7:$A$15,LEFT(A6,10))</f>
        <v>3</v>
      </c>
    </row>
    <row r="7" spans="1:16" x14ac:dyDescent="0.45">
      <c r="A7" s="30" t="s">
        <v>121</v>
      </c>
      <c r="B7" s="17"/>
      <c r="C7" s="31"/>
      <c r="D7" s="31"/>
      <c r="E7" s="31"/>
      <c r="F7" s="31"/>
      <c r="G7" s="31"/>
      <c r="H7" s="31"/>
    </row>
    <row r="8" spans="1:16" x14ac:dyDescent="0.45">
      <c r="A8" s="47"/>
      <c r="B8" s="17"/>
      <c r="C8" s="48"/>
      <c r="D8" s="48"/>
      <c r="E8" s="48"/>
      <c r="F8" s="48"/>
      <c r="G8" s="48"/>
      <c r="H8" s="48"/>
    </row>
    <row r="10" spans="1:16" x14ac:dyDescent="0.45">
      <c r="A10" s="51" t="s">
        <v>56</v>
      </c>
      <c r="B10" s="52"/>
      <c r="C10" s="52"/>
      <c r="D10" s="52"/>
      <c r="E10" s="52"/>
      <c r="F10" s="52"/>
      <c r="G10" s="52"/>
      <c r="H10" s="53"/>
    </row>
    <row r="11" spans="1:16" x14ac:dyDescent="0.45">
      <c r="A11" s="22"/>
      <c r="B11" s="28" t="s">
        <v>104</v>
      </c>
      <c r="C11" s="28" t="s">
        <v>50</v>
      </c>
      <c r="D11" s="28" t="s">
        <v>51</v>
      </c>
      <c r="E11" s="28" t="s">
        <v>52</v>
      </c>
      <c r="F11" s="28" t="s">
        <v>53</v>
      </c>
      <c r="G11" s="28" t="s">
        <v>54</v>
      </c>
      <c r="H11" s="28" t="s">
        <v>55</v>
      </c>
    </row>
    <row r="12" spans="1:16" x14ac:dyDescent="0.45">
      <c r="A12" s="39" t="s">
        <v>105</v>
      </c>
      <c r="B12" s="17">
        <f>SUM(C12:H12)</f>
        <v>56</v>
      </c>
      <c r="C12" s="33">
        <f>_xlfn.LET(
  _xlpm.ym, LEFT($A12,7),
  _xlpm.d0, DATEVALUE(_xlpm.ym &amp; "-01"),
  COUNTIFS('ES#8'!$A$7:$A$23, "&gt;=" &amp; _xlpm.d0,
           'ES#8'!$A$7:$A$23, "&lt;"  &amp; EOMONTH(_xlpm.d0,0)+1)
)</f>
        <v>10</v>
      </c>
      <c r="D12" s="33">
        <f>_xlfn.LET(
  _xlpm.ym, LEFT($A12,7),
  _xlpm.d0, DATEVALUE(_xlpm.ym &amp; "-01"),
  COUNTIFS('ES#9'!$A$7:$A$23, "&gt;=" &amp; _xlpm.d0,
           'ES#9'!$A$7:$A$23, "&lt;"  &amp; EOMONTH(_xlpm.d0,0)+1)
)</f>
        <v>10</v>
      </c>
      <c r="E12" s="33">
        <f>_xlfn.LET(
  _xlpm.ym, LEFT($A12,7),
  _xlpm.d0, DATEVALUE(_xlpm.ym &amp; "-01"),
  COUNTIFS('PP#2'!$A$7:$A$15, "&gt;=" &amp; _xlpm.d0,
           'PP#2'!$A$7:$A$15, "&lt;"  &amp; EOMONTH(_xlpm.d0,0)+1)
)</f>
        <v>9</v>
      </c>
      <c r="F12" s="33">
        <f>_xlfn.LET(
  _xlpm.ym, LEFT($A12,7),
  _xlpm.d0, DATEVALUE(_xlpm.ym &amp; "-01"),
  COUNTIFS('PP#3'!$A$7:$A$15, "&gt;=" &amp; _xlpm.d0,
           'PP#3'!$A$7:$A$15, "&lt;"  &amp; EOMONTH(_xlpm.d0,0)+1)
)</f>
        <v>9</v>
      </c>
      <c r="G12" s="33">
        <f>_xlfn.LET(
  _xlpm.ym, LEFT($A12,7),
  _xlpm.d0, DATEVALUE(_xlpm.ym &amp; "-01"),
  COUNTIFS('PP#4'!$A$7:$A$15, "&gt;=" &amp; _xlpm.d0,
           'PP#4'!$A$7:$A$15, "&lt;"  &amp; EOMONTH(_xlpm.d0,0)+1)
)</f>
        <v>9</v>
      </c>
      <c r="H12" s="33">
        <f>_xlfn.LET(
  _xlpm.ym, LEFT($A12,7),
  _xlpm.d0, DATEVALUE(_xlpm.ym &amp; "-01"),
  COUNTIFS('PP#5'!$A$7:$A$15, "&gt;=" &amp; _xlpm.d0,
           'PP#5'!$A$7:$A$15, "&lt;"  &amp; EOMONTH(_xlpm.d0,0)+1)
)</f>
        <v>9</v>
      </c>
      <c r="J12" s="39" t="s">
        <v>115</v>
      </c>
      <c r="K12" s="33">
        <f t="shared" ref="K12:P12" si="0">SUM(C5:C6)</f>
        <v>7</v>
      </c>
      <c r="L12" s="33">
        <f t="shared" si="0"/>
        <v>7</v>
      </c>
      <c r="M12" s="33">
        <f t="shared" si="0"/>
        <v>9</v>
      </c>
      <c r="N12" s="33">
        <f t="shared" si="0"/>
        <v>9</v>
      </c>
      <c r="O12" s="33">
        <f t="shared" si="0"/>
        <v>9</v>
      </c>
      <c r="P12" s="33">
        <f t="shared" si="0"/>
        <v>9</v>
      </c>
    </row>
    <row r="13" spans="1:16" x14ac:dyDescent="0.45">
      <c r="A13" s="39" t="s">
        <v>110</v>
      </c>
      <c r="B13" s="17"/>
      <c r="C13" s="33"/>
      <c r="D13" s="33"/>
      <c r="E13" s="33"/>
      <c r="F13" s="33"/>
      <c r="G13" s="33"/>
      <c r="H13" s="33"/>
    </row>
    <row r="16" spans="1:16" x14ac:dyDescent="0.45">
      <c r="A16" s="59" t="s">
        <v>120</v>
      </c>
      <c r="B16" s="59"/>
      <c r="C16" s="59"/>
      <c r="D16" s="59"/>
      <c r="E16" s="59"/>
      <c r="F16" s="59"/>
      <c r="G16" s="59"/>
      <c r="H16" s="60"/>
    </row>
    <row r="17" spans="1:8" x14ac:dyDescent="0.45">
      <c r="A17" s="30" t="s">
        <v>114</v>
      </c>
      <c r="B17" s="30" t="s">
        <v>102</v>
      </c>
      <c r="C17" s="68" t="s">
        <v>103</v>
      </c>
      <c r="D17" s="69"/>
      <c r="E17" s="69"/>
      <c r="F17" s="69"/>
      <c r="G17" s="69"/>
      <c r="H17" s="70"/>
    </row>
    <row r="18" spans="1:8" x14ac:dyDescent="0.45">
      <c r="A18" s="32" t="s">
        <v>42</v>
      </c>
      <c r="B18" s="17">
        <f>SUM(B5:B6)</f>
        <v>50</v>
      </c>
      <c r="C18" s="85"/>
      <c r="D18" s="80"/>
      <c r="E18" s="80"/>
      <c r="F18" s="80"/>
      <c r="G18" s="80"/>
      <c r="H18" s="81"/>
    </row>
    <row r="19" spans="1:8" x14ac:dyDescent="0.45">
      <c r="A19" s="41" t="s">
        <v>58</v>
      </c>
      <c r="B19" s="17">
        <f>COUNT(B5:B6)</f>
        <v>2</v>
      </c>
      <c r="C19" s="85"/>
      <c r="D19" s="80"/>
      <c r="E19" s="80"/>
      <c r="F19" s="80"/>
      <c r="G19" s="80"/>
      <c r="H19" s="81"/>
    </row>
    <row r="20" spans="1:8" x14ac:dyDescent="0.45">
      <c r="A20" s="41" t="s">
        <v>106</v>
      </c>
      <c r="B20" s="17">
        <f>COUNT(B12:B13)</f>
        <v>1</v>
      </c>
      <c r="C20" s="85"/>
      <c r="D20" s="80"/>
      <c r="E20" s="80"/>
      <c r="F20" s="80"/>
      <c r="G20" s="80"/>
      <c r="H20" s="81"/>
    </row>
    <row r="21" spans="1:8" x14ac:dyDescent="0.45">
      <c r="A21" s="44" t="s">
        <v>95</v>
      </c>
      <c r="B21" s="17">
        <f>ROUNDDOWN(B18/B19,1)</f>
        <v>25</v>
      </c>
      <c r="C21" s="82" t="s">
        <v>107</v>
      </c>
      <c r="D21" s="83"/>
      <c r="E21" s="83"/>
      <c r="F21" s="83"/>
      <c r="G21" s="83"/>
      <c r="H21" s="84"/>
    </row>
    <row r="22" spans="1:8" x14ac:dyDescent="0.45">
      <c r="A22" s="41" t="s">
        <v>100</v>
      </c>
      <c r="B22" s="17"/>
      <c r="C22" s="79" t="s">
        <v>101</v>
      </c>
      <c r="D22" s="80"/>
      <c r="E22" s="80"/>
      <c r="F22" s="80"/>
      <c r="G22" s="80"/>
      <c r="H22" s="81"/>
    </row>
    <row r="25" spans="1:8" ht="17" customHeight="1" x14ac:dyDescent="0.45">
      <c r="A25" s="71" t="s">
        <v>112</v>
      </c>
      <c r="B25" s="72"/>
      <c r="C25" s="72"/>
      <c r="D25" s="72"/>
      <c r="E25" s="72"/>
      <c r="F25" s="72"/>
      <c r="G25" s="72"/>
      <c r="H25" s="73"/>
    </row>
    <row r="26" spans="1:8" ht="17" customHeight="1" x14ac:dyDescent="0.45">
      <c r="A26" s="76"/>
      <c r="B26" s="77"/>
      <c r="C26" s="77"/>
      <c r="D26" s="77"/>
      <c r="E26" s="77"/>
      <c r="F26" s="77"/>
      <c r="G26" s="77"/>
      <c r="H26" s="78"/>
    </row>
    <row r="27" spans="1:8" x14ac:dyDescent="0.45">
      <c r="A27" s="74" t="s">
        <v>113</v>
      </c>
      <c r="B27" s="37" t="s">
        <v>29</v>
      </c>
      <c r="C27" s="17">
        <v>2.2599999999999998</v>
      </c>
      <c r="D27" s="38"/>
      <c r="E27" s="38"/>
      <c r="F27" s="34"/>
      <c r="G27" s="34"/>
      <c r="H27" s="29"/>
    </row>
    <row r="28" spans="1:8" x14ac:dyDescent="0.45">
      <c r="A28" s="75"/>
      <c r="B28" s="39" t="s">
        <v>41</v>
      </c>
      <c r="C28" s="17"/>
      <c r="D28" s="40"/>
      <c r="E28" s="40"/>
      <c r="F28" s="34"/>
      <c r="G28" s="34"/>
      <c r="H28" s="29"/>
    </row>
    <row r="29" spans="1:8" x14ac:dyDescent="0.45">
      <c r="A29" s="75"/>
      <c r="B29" s="40"/>
      <c r="C29" s="17"/>
      <c r="D29" s="40"/>
      <c r="E29" s="40"/>
      <c r="F29" s="34"/>
      <c r="G29" s="34"/>
      <c r="H29" s="29"/>
    </row>
    <row r="30" spans="1:8" x14ac:dyDescent="0.45">
      <c r="A30" s="75"/>
      <c r="B30" s="40"/>
      <c r="C30" s="17"/>
      <c r="D30" s="40"/>
      <c r="E30" s="40"/>
      <c r="F30" s="34"/>
      <c r="G30" s="34"/>
      <c r="H30" s="29"/>
    </row>
    <row r="31" spans="1:8" x14ac:dyDescent="0.45">
      <c r="A31" s="75"/>
      <c r="B31" s="40"/>
      <c r="C31" s="17"/>
      <c r="D31" s="40"/>
      <c r="E31" s="40"/>
      <c r="F31" s="34"/>
      <c r="G31" s="34"/>
      <c r="H31" s="29"/>
    </row>
    <row r="34" spans="1:8" x14ac:dyDescent="0.45">
      <c r="A34" s="71" t="s">
        <v>127</v>
      </c>
      <c r="B34" s="72"/>
      <c r="C34" s="72"/>
      <c r="D34" s="72"/>
      <c r="E34" s="72"/>
      <c r="F34" s="72"/>
      <c r="G34" s="72"/>
      <c r="H34" s="73"/>
    </row>
    <row r="35" spans="1:8" x14ac:dyDescent="0.45">
      <c r="A35" s="76"/>
      <c r="B35" s="77"/>
      <c r="C35" s="77"/>
      <c r="D35" s="77"/>
      <c r="E35" s="77"/>
      <c r="F35" s="77"/>
      <c r="G35" s="77"/>
      <c r="H35" s="78"/>
    </row>
    <row r="36" spans="1:8" x14ac:dyDescent="0.45">
      <c r="A36" s="75" t="s">
        <v>126</v>
      </c>
      <c r="B36" s="30" t="s">
        <v>32</v>
      </c>
      <c r="C36" s="17"/>
      <c r="D36" s="40"/>
      <c r="E36" s="40"/>
      <c r="F36" s="34"/>
      <c r="G36" s="34"/>
      <c r="H36" s="29"/>
    </row>
    <row r="37" spans="1:8" x14ac:dyDescent="0.45">
      <c r="A37" s="75"/>
      <c r="B37" s="40"/>
      <c r="C37" s="17"/>
      <c r="D37" s="40"/>
      <c r="E37" s="40"/>
      <c r="F37" s="34"/>
      <c r="G37" s="34"/>
      <c r="H37" s="29"/>
    </row>
    <row r="38" spans="1:8" x14ac:dyDescent="0.45">
      <c r="A38" s="75"/>
      <c r="B38" s="40"/>
      <c r="C38" s="17"/>
      <c r="D38" s="40"/>
      <c r="E38" s="40"/>
      <c r="F38" s="34"/>
      <c r="G38" s="34"/>
      <c r="H38" s="29"/>
    </row>
    <row r="39" spans="1:8" x14ac:dyDescent="0.45">
      <c r="A39" s="75"/>
      <c r="B39" s="40"/>
      <c r="C39" s="17"/>
      <c r="D39" s="40"/>
      <c r="E39" s="40"/>
      <c r="F39" s="34"/>
      <c r="G39" s="34"/>
      <c r="H39" s="29"/>
    </row>
    <row r="40" spans="1:8" x14ac:dyDescent="0.45">
      <c r="A40" s="75"/>
      <c r="B40" s="40"/>
      <c r="C40" s="17"/>
      <c r="D40" s="40"/>
      <c r="E40" s="40"/>
      <c r="F40" s="34"/>
      <c r="G40" s="34"/>
      <c r="H40" s="29"/>
    </row>
    <row r="41" spans="1:8" x14ac:dyDescent="0.45">
      <c r="A41" s="75"/>
      <c r="B41" s="40"/>
      <c r="C41" s="17"/>
      <c r="D41" s="40"/>
      <c r="E41" s="40"/>
      <c r="F41" s="35"/>
      <c r="G41" s="35"/>
      <c r="H41" s="36"/>
    </row>
  </sheetData>
  <mergeCells count="14">
    <mergeCell ref="C17:H17"/>
    <mergeCell ref="A1:H1"/>
    <mergeCell ref="A16:H16"/>
    <mergeCell ref="A27:A31"/>
    <mergeCell ref="A36:A41"/>
    <mergeCell ref="A25:H26"/>
    <mergeCell ref="A3:H3"/>
    <mergeCell ref="A10:H10"/>
    <mergeCell ref="A34:H35"/>
    <mergeCell ref="C22:H22"/>
    <mergeCell ref="C21:H21"/>
    <mergeCell ref="C20:H20"/>
    <mergeCell ref="C19:H19"/>
    <mergeCell ref="C18:H18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4FB6B-4A32-4870-A87D-4420F9F6B8F4}">
  <sheetPr>
    <tabColor theme="0" tint="-0.14999847407452621"/>
  </sheetPr>
  <dimension ref="B4:D6"/>
  <sheetViews>
    <sheetView workbookViewId="0">
      <selection activeCell="D6" sqref="D6"/>
    </sheetView>
  </sheetViews>
  <sheetFormatPr defaultRowHeight="17" x14ac:dyDescent="0.45"/>
  <cols>
    <col min="2" max="2" width="21.08203125" bestFit="1" customWidth="1"/>
    <col min="3" max="3" width="84.83203125" bestFit="1" customWidth="1"/>
    <col min="4" max="4" width="12.33203125" bestFit="1" customWidth="1"/>
  </cols>
  <sheetData>
    <row r="4" spans="2:4" x14ac:dyDescent="0.45">
      <c r="B4" s="16" t="s">
        <v>97</v>
      </c>
      <c r="C4" s="27" t="s">
        <v>98</v>
      </c>
      <c r="D4" s="16" t="s">
        <v>118</v>
      </c>
    </row>
    <row r="5" spans="2:4" ht="170" x14ac:dyDescent="0.45">
      <c r="B5" s="16" t="s">
        <v>99</v>
      </c>
      <c r="C5" s="27" t="s">
        <v>96</v>
      </c>
      <c r="D5" s="16" t="s">
        <v>119</v>
      </c>
    </row>
    <row r="6" spans="2:4" ht="170" x14ac:dyDescent="0.45">
      <c r="B6" s="16" t="s">
        <v>116</v>
      </c>
      <c r="C6" s="27" t="s">
        <v>117</v>
      </c>
      <c r="D6" s="16" t="s">
        <v>119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시험</vt:lpstr>
      <vt:lpstr>ES#8</vt:lpstr>
      <vt:lpstr>ES#9</vt:lpstr>
      <vt:lpstr>PP#2</vt:lpstr>
      <vt:lpstr>PP#3</vt:lpstr>
      <vt:lpstr>PP#4</vt:lpstr>
      <vt:lpstr>PP#5</vt:lpstr>
      <vt:lpstr>종합</vt:lpstr>
      <vt:lpstr>특이사항 상세(raw)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용환 김</dc:creator>
  <cp:lastModifiedBy>USER</cp:lastModifiedBy>
  <cp:lastPrinted>2025-11-07T00:32:12Z</cp:lastPrinted>
  <dcterms:created xsi:type="dcterms:W3CDTF">2025-11-05T00:03:51Z</dcterms:created>
  <dcterms:modified xsi:type="dcterms:W3CDTF">2025-11-12T02:26:43Z</dcterms:modified>
</cp:coreProperties>
</file>